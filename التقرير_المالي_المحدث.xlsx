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دخلات" sheetId="1" state="visible" r:id="rId3"/>
    <sheet name="الحسابات" sheetId="2" state="visible" r:id="rId4"/>
    <sheet name="لوحة التحكم" sheetId="3" state="visible" r:id="rId5"/>
    <sheet name="الرسوم البيانية" sheetId="4" state="visible" r:id="rId6"/>
    <sheet name="تقرير السيولة" sheetId="5" state="visible" r:id="rId7"/>
  </sheets>
  <definedNames>
    <definedName function="false" hidden="false" localSheetId="1" name="_xlnm.Print_Titles" vbProcedure="false">الحسابات!$1:$3</definedName>
    <definedName function="false" hidden="false" localSheetId="3" name="_xlnm.Print_Titles" vbProcedure="false">'الرسوم البيانية'!$1:$3</definedName>
    <definedName function="false" hidden="false" localSheetId="0" name="_xlnm.Print_Titles" vbProcedure="false">المدخلات!$1:$3</definedName>
    <definedName function="false" hidden="false" localSheetId="4" name="_xlnm.Print_Titles" vbProcedure="false">'تقرير السيولة'!$1:$3</definedName>
    <definedName function="false" hidden="false" localSheetId="2" name="_xlnm.Print_Titles" vbProcedure="false">'لوحة التحكم'!$1:$3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<sst xmlns="http://schemas.openxmlformats.org/spreadsheetml/2006/main" count="117" uniqueCount="73">
  <si>
    <t xml:space="preserve">📋  جدول المدخلات الشهرية</t>
  </si>
  <si>
    <t xml:space="preserve">المبيعات والتشغيل</t>
  </si>
  <si>
    <t xml:space="preserve">🏦 الصندوق (الكاش الفعلي)</t>
  </si>
  <si>
    <t xml:space="preserve">الديون التي لنا</t>
  </si>
  <si>
    <t xml:space="preserve">الديون التي علينا</t>
  </si>
  <si>
    <t xml:space="preserve">الشهر</t>
  </si>
  <si>
    <t xml:space="preserve">المبيعات (ل.س)</t>
  </si>
  <si>
    <t xml:space="preserve">المشتريات (ل.س)</t>
  </si>
  <si>
    <t xml:space="preserve">المصاريف (ل.س)</t>
  </si>
  <si>
    <t xml:space="preserve">الربح/الخسارة (آلي)</t>
  </si>
  <si>
    <t xml:space="preserve">صندوق (ل.س)</t>
  </si>
  <si>
    <t xml:space="preserve">صندوق (دولار)</t>
  </si>
  <si>
    <t xml:space="preserve">دين لنا (ل.س)</t>
  </si>
  <si>
    <t xml:space="preserve">دين لنا ($)</t>
  </si>
  <si>
    <t xml:space="preserve">دين علينا (ل.س)</t>
  </si>
  <si>
    <t xml:space="preserve">دين علينا ($)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</si>
  <si>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</si>
  <si>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</si>
  <si>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</si>
  <si>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</si>
  <si>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</si>
  <si>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</si>
  <si>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</si>
  <si>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</si>
  <si>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</si>
  <si>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</si>
  <si>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</si>
  <si>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</si>
  <si>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💡 الأزرق = أرقام يدوية  |  الأسود = محسوب تلقائياً  |  الصندوق: أدخل الكاش الموجود فعلاً بالليرة السورية والدولار</t>
  </si>
  <si>
    <t xml:space="preserve">📊  الحسابات الشهرية</t>
  </si>
  <si>
    <t xml:space="preserve">الربح/الخسارة</t>
  </si>
  <si>
    <t xml:space="preserve">هامش الربح %</t>
  </si>
  <si>
    <t xml:space="preserve">نمو المبيعات %</t>
  </si>
  <si>
    <t xml:space="preserve">نسبة المصاريف %</t>
  </si>
  <si>
    <t xml:space="preserve">صندوق ($)</t>
  </si>
  <si>
    <t xml:space="preserve">صافي الدين (ل.س)</t>
  </si>
  <si>
    <t xml:space="preserve">صافي الدين ($)</t>
  </si>
  <si>
    <t xml:space="preserve">الحالة</t>
  </si>
  <si>
    <t xml:space="preserve">🏢  لوحة التحكم المالية الذكية</t>
  </si>
  <si>
    <t xml:space="preserve">💰
المبيعات</t>
  </si>
  <si>
    <t xml:space="preserve">آخر شهر</t>
  </si>
  <si>
    <t xml:space="preserve">الشهر السابق</t>
  </si>
  <si>
    <t xml:space="preserve">التغير %</t>
  </si>
  <si>
    <t xml:space="preserve">📈</t>
  </si>
  <si>
    <t xml:space="preserve">الوضع</t>
  </si>
  <si>
    <t xml:space="preserve">📈
الربح/الخسارة</t>
  </si>
  <si>
    <t xml:space="preserve">💸
المصاريف</t>
  </si>
  <si>
    <t xml:space="preserve">🏦
صافي الدين (ل.س)</t>
  </si>
  <si>
    <t xml:space="preserve">💵
صافي الدين ($)</t>
  </si>
  <si>
    <t xml:space="preserve">🏦  الكاش المتاح في الصندوق</t>
  </si>
  <si>
    <t xml:space="preserve">كاش الصندوق</t>
  </si>
  <si>
    <t xml:space="preserve">ليرة سورية</t>
  </si>
  <si>
    <t xml:space="preserve">دولار أمريكي</t>
  </si>
  <si>
    <t xml:space="preserve">📋  تفصيل الديون بالعملتين</t>
  </si>
  <si>
    <t xml:space="preserve">البيان</t>
  </si>
  <si>
    <t xml:space="preserve">دولار</t>
  </si>
  <si>
    <t xml:space="preserve">ديون لنا 🟢</t>
  </si>
  <si>
    <t xml:space="preserve">ديون علينا 🔴</t>
  </si>
  <si>
    <t xml:space="preserve">صافي الدين</t>
  </si>
  <si>
    <t xml:space="preserve">📊  الرسوم البيانية</t>
  </si>
  <si>
    <t xml:space="preserve">🟠 مصاريف  |  🟢 ديون لنا  |  🔴 ديون علينا  |  💜 صافي الدين  |  💵 دولار  —  كل نقطة = شهر واحد، الخط المتموج يوضح الاتجاه العام</t>
  </si>
  <si>
    <t xml:space="preserve">المصاريف</t>
  </si>
  <si>
    <t xml:space="preserve">نسبة المصاريف</t>
  </si>
  <si>
    <t xml:space="preserve">💧  تقرير السيولة</t>
  </si>
  <si>
    <t xml:space="preserve">🇸🇾  السيولة بالليرة السورية</t>
  </si>
  <si>
    <t xml:space="preserve">المبلغ</t>
  </si>
  <si>
    <t xml:space="preserve">ملاحظة</t>
  </si>
  <si>
    <t xml:space="preserve">المبيعات</t>
  </si>
  <si>
    <t xml:space="preserve">المشتريات</t>
  </si>
  <si>
    <t xml:space="preserve">الربح التشغيلي</t>
  </si>
  <si>
    <t xml:space="preserve">ديون لنا</t>
  </si>
  <si>
    <t xml:space="preserve">ديون علينا</t>
  </si>
  <si>
    <t xml:space="preserve">🇺🇸  السيولة بالدولار الأمريكي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</si>
</sst>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ل.س&quot;"/>
    <numFmt numFmtId="166" formatCode="\$#,##0"/>
    <numFmt numFmtId="167" formatCode="0.0%"/>
    <numFmt numFmtId="168" formatCode="General"/>
    <numFmt numFmtId="169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8"/>
      <name val="FreeSans"/>
      <family val="2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064D8E"/>
      </patternFill>
    </fill>
    <fill>
      <patternFill patternType="solid">
        <fgColor rgb="FF2E75B6"/>
        <bgColor rgb="FF008080"/>
      </patternFill>
    </fill>
    <fill>
      <patternFill patternType="solid">
        <fgColor rgb="FF00B050"/>
        <bgColor rgb="FF008828"/>
      </patternFill>
    </fill>
    <fill>
      <patternFill patternType="solid">
        <fgColor rgb="FF7030A0"/>
        <bgColor rgb="FF492479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3FF"/>
      </patternFill>
    </fill>
    <fill>
      <patternFill patternType="solid">
        <fgColor rgb="FFEBFAEB"/>
        <bgColor rgb="FFEFF4FB"/>
      </patternFill>
    </fill>
    <fill>
      <patternFill patternType="solid">
        <fgColor rgb="FFF3EBF9"/>
        <bgColor rgb="FFF2F2F2"/>
      </patternFill>
    </fill>
    <fill>
      <patternFill patternType="solid">
        <fgColor rgb="FFF9F3FF"/>
        <bgColor rgb="FFEFF4FB"/>
      </patternFill>
    </fill>
    <fill>
      <patternFill patternType="solid">
        <fgColor rgb="FFFCEAEA"/>
        <bgColor rgb="FFFBEAEA"/>
      </patternFill>
    </fill>
    <fill>
      <patternFill patternType="solid">
        <fgColor rgb="FFFFF0F0"/>
        <bgColor rgb="FFFCEAEA"/>
      </patternFill>
    </fill>
    <fill>
      <patternFill patternType="solid">
        <fgColor rgb="FFEFF4FB"/>
        <bgColor rgb="FFF2F2F2"/>
      </patternFill>
    </fill>
    <fill>
      <patternFill patternType="solid">
        <fgColor rgb="FFFFFFD7"/>
        <bgColor rgb="FFFFF2CC"/>
      </patternFill>
    </fill>
    <fill>
      <patternFill patternType="solid">
        <fgColor rgb="FF375623"/>
        <bgColor rgb="FF1A4D2E"/>
      </patternFill>
    </fill>
    <fill>
      <patternFill patternType="solid">
        <fgColor rgb="FF1A4D2E"/>
        <bgColor rgb="FF375623"/>
      </patternFill>
    </fill>
    <fill>
      <patternFill patternType="solid">
        <fgColor rgb="FFF2F2F2"/>
        <bgColor rgb="FFEFF4FB"/>
      </patternFill>
    </fill>
    <fill>
      <patternFill patternType="solid">
        <fgColor rgb="FF492479"/>
        <bgColor rgb="FF7030A0"/>
      </patternFill>
    </fill>
    <fill>
      <patternFill patternType="solid">
        <fgColor rgb="FFFBEAEA"/>
        <bgColor rgb="FFFCEAEA"/>
      </patternFill>
    </fill>
    <fill>
      <patternFill patternType="solid">
        <fgColor rgb="FFFFF2CC"/>
        <bgColor rgb="FFFFFFD7"/>
      </patternFill>
    </fill>
    <fill>
      <patternFill patternType="solid">
        <fgColor rgb="FF064D8E"/>
        <bgColor rgb="FF1F4E79"/>
      </patternFill>
    </fill>
    <fill>
      <patternFill patternType="solid">
        <fgColor rgb="FF008828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/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8" fillId="9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8" fillId="11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8" fillId="12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8" fillId="13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8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9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8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8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8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4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1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7" fontId="14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16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17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4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1" fillId="1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9" fillId="9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9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4" fillId="9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4" fillId="9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4" fillId="2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4" fillId="2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21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4" fillId="1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1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2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4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4" fillId="1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FFFFFF"/>
      </font>
      <fill>
        <patternFill>
          <bgColor rgb="FF00B05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B05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0F0"/>
      <rgbColor rgb="FFFF00FF"/>
      <rgbColor rgb="FF00FFFF"/>
      <rgbColor rgb="FF800000"/>
      <rgbColor rgb="FF008828"/>
      <rgbColor rgb="FF000080"/>
      <rgbColor rgb="FF808000"/>
      <rgbColor rgb="FF800080"/>
      <rgbColor rgb="FF008080"/>
      <rgbColor rgb="FFB8B8B8"/>
      <rgbColor rgb="FF808080"/>
      <rgbColor rgb="FFF9F3FF"/>
      <rgbColor rgb="FF7030A0"/>
      <rgbColor rgb="FFFFFFD7"/>
      <rgbColor rgb="FFEBFAEB"/>
      <rgbColor rgb="FF660066"/>
      <rgbColor rgb="FFFF8080"/>
      <rgbColor rgb="FF1F4E79"/>
      <rgbColor rgb="FFCCCCC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FF4FB"/>
      <rgbColor rgb="FFD6E4F0"/>
      <rgbColor rgb="FFFFF2CC"/>
      <rgbColor rgb="FFF3EBF9"/>
      <rgbColor rgb="FFFCEAEA"/>
      <rgbColor rgb="FFFBEAEA"/>
      <rgbColor rgb="FFD9D9D9"/>
      <rgbColor rgb="FF2E75B6"/>
      <rgbColor rgb="FF33CCCC"/>
      <rgbColor rgb="FF99CC00"/>
      <rgbColor rgb="FFFFCC00"/>
      <rgbColor rgb="FFFF9900"/>
      <rgbColor rgb="FFED7D31"/>
      <rgbColor rgb="FF595959"/>
      <rgbColor rgb="FFB3B3B3"/>
      <rgbColor rgb="FF064D8E"/>
      <rgbColor rgb="FF00B050"/>
      <rgbColor rgb="FF003300"/>
      <rgbColor rgb="FF375623"/>
      <rgbColor rgb="FF993300"/>
      <rgbColor rgb="FF993366"/>
      <rgbColor rgb="FF492479"/>
      <rgbColor rgb="FF1A4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📊 تطور المصاريف الشهرية
يوضح هذا الرسم كيف تتغير المصاريف من شهر لآخر — الارتفاع يعني زيادة الإنفاق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'الرسوم البيانية'!R3</c:f>
              <c:strCache>
                <c:ptCount val="1"/>
                <c:pt idx="0">
                  <c:v>المصاريف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البيانية'!$R$4:$R$15</c:f>
              <c:numCache>
                <c:formatCode>#,##0" ل.س"</c:formatCode>
                <c:ptCount val="12"/>
                <c:pt idx="0">
                  <c:v>38000000</c:v>
                </c:pt>
                <c:pt idx="1">
                  <c:v>36215000</c:v>
                </c:pt>
                <c:pt idx="2">
                  <c:v>37203000</c:v>
                </c:pt>
                <c:pt idx="3">
                  <c:v>38371000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0864631"/>
        <c:axId val="79286997"/>
      </c:lineChart>
      <c:catAx>
        <c:axId val="208646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86997"/>
        <c:crosses val="autoZero"/>
        <c:auto val="1"/>
        <c:lblAlgn val="ctr"/>
        <c:lblOffset val="100"/>
        <c:noMultiLvlLbl val="0"/>
      </c:catAx>
      <c:valAx>
        <c:axId val="792869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المبلغ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646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🟢 الديون التي لنا — ليرة سورية
المبالغ المستحقة لنا من العملاء والموردين — الارتفاع إيجابي يعني زيادة حقوقنا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'الرسوم البيانية'!T3</c:f>
              <c:strCache>
                <c:ptCount val="1"/>
                <c:pt idx="0">
                  <c:v>دين لنا (ل.س)</c:v>
                </c:pt>
              </c:strCache>
            </c:strRef>
          </c:tx>
          <c:spPr>
            <a:solidFill>
              <a:srgbClr val="00b050"/>
            </a:solidFill>
            <a:ln w="24840">
              <a:solidFill>
                <a:srgbClr val="00b050"/>
              </a:solidFill>
              <a:round/>
            </a:ln>
          </c:spPr>
          <c:marker>
            <c:symbol val="circle"/>
            <c:size val="6"/>
            <c:spPr>
              <a:solidFill>
                <a:srgbClr val="00b05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البيانية'!$T$4:$T$15</c:f>
              <c:numCache>
                <c:formatCode>#,##0" ل.س"</c:formatCode>
                <c:ptCount val="12"/>
                <c:pt idx="0">
                  <c:v>70767000</c:v>
                </c:pt>
                <c:pt idx="1">
                  <c:v>58684000</c:v>
                </c:pt>
                <c:pt idx="2">
                  <c:v>66327000</c:v>
                </c:pt>
                <c:pt idx="3">
                  <c:v>70574000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879065"/>
        <c:axId val="89001912"/>
      </c:lineChart>
      <c:catAx>
        <c:axId val="45879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01912"/>
        <c:crosses val="autoZero"/>
        <c:auto val="1"/>
        <c:lblAlgn val="ctr"/>
        <c:lblOffset val="100"/>
        <c:noMultiLvlLbl val="0"/>
      </c:catAx>
      <c:valAx>
        <c:axId val="890019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المبلغ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790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🔴 الديون التي علينا — ليرة سورية
المبالغ التي ندين بها للموردين والجهات الأخرى — الارتفاع يعني تزايد التزاماتنا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'الرسوم البيانية'!U3</c:f>
              <c:strCache>
                <c:ptCount val="1"/>
                <c:pt idx="0">
                  <c:v>دين علينا (ل.س)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البيانية'!$U$4:$U$15</c:f>
              <c:numCache>
                <c:formatCode>#,##0" ل.س"</c:formatCode>
                <c:ptCount val="12"/>
                <c:pt idx="0">
                  <c:v>4123000</c:v>
                </c:pt>
                <c:pt idx="1">
                  <c:v>3838000</c:v>
                </c:pt>
                <c:pt idx="2">
                  <c:v>4536000</c:v>
                </c:pt>
                <c:pt idx="3">
                  <c:v>5924000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5720832"/>
        <c:axId val="55469350"/>
      </c:lineChart>
      <c:catAx>
        <c:axId val="557208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69350"/>
        <c:crosses val="autoZero"/>
        <c:auto val="1"/>
        <c:lblAlgn val="ctr"/>
        <c:lblOffset val="100"/>
        <c:noMultiLvlLbl val="0"/>
      </c:catAx>
      <c:valAx>
        <c:axId val="554693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المبلغ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208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💜 صافي الدين — ليرة سورية
الفرق بين ما لنا وما علينا — الموجب يعني المديونون لنا أكثر، السالب يعني العكس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'الرسوم البيانية'!V3</c:f>
              <c:strCache>
                <c:ptCount val="1"/>
                <c:pt idx="0">
                  <c:v>صافي الدين (ل.س)</c:v>
                </c:pt>
              </c:strCache>
            </c:strRef>
          </c:tx>
          <c:spPr>
            <a:solidFill>
              <a:srgbClr val="7030a0"/>
            </a:solidFill>
            <a:ln w="24840">
              <a:solidFill>
                <a:srgbClr val="7030a0"/>
              </a:solidFill>
              <a:round/>
            </a:ln>
          </c:spPr>
          <c:marker>
            <c:symbol val="circle"/>
            <c:size val="6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البيانية'!$V$4:$V$15</c:f>
              <c:numCache>
                <c:formatCode>General</c:formatCode>
                <c:ptCount val="12"/>
                <c:pt idx="0">
                  <c:v>66644000</c:v>
                </c:pt>
                <c:pt idx="1">
                  <c:v>54846000</c:v>
                </c:pt>
                <c:pt idx="2">
                  <c:v>61791000</c:v>
                </c:pt>
                <c:pt idx="3">
                  <c:v>64650000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5951396"/>
        <c:axId val="32865408"/>
      </c:lineChart>
      <c:catAx>
        <c:axId val="159513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5408"/>
        <c:crosses val="autoZero"/>
        <c:auto val="1"/>
        <c:lblAlgn val="ctr"/>
        <c:lblOffset val="100"/>
        <c:noMultiLvlLbl val="0"/>
      </c:catAx>
      <c:valAx>
        <c:axId val="328654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المبلغ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513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💵 الديون بالدولار الأمريكي
مقارنة ديون لنا (أخضر) وديون علينا (أحمر) وصافي الدين (بنفسجي) بالدولار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'الرسوم البيانية'!W3</c:f>
              <c:strCache>
                <c:ptCount val="1"/>
                <c:pt idx="0">
                  <c:v>دين لنا ($)</c:v>
                </c:pt>
              </c:strCache>
            </c:strRef>
          </c:tx>
          <c:spPr>
            <a:solidFill>
              <a:srgbClr val="00b050"/>
            </a:solidFill>
            <a:ln w="24840">
              <a:solidFill>
                <a:srgbClr val="00b050"/>
              </a:solidFill>
              <a:round/>
            </a:ln>
          </c:spPr>
          <c:marker>
            <c:symbol val="circle"/>
            <c:size val="6"/>
            <c:spPr>
              <a:solidFill>
                <a:srgbClr val="00b05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البيانية'!$W$4:$W$15</c:f>
              <c:numCache>
                <c:formatCode>\$#,##0</c:formatCode>
                <c:ptCount val="12"/>
                <c:pt idx="0">
                  <c:v>6080</c:v>
                </c:pt>
                <c:pt idx="1">
                  <c:v>5052</c:v>
                </c:pt>
                <c:pt idx="2">
                  <c:v>5156</c:v>
                </c:pt>
                <c:pt idx="3">
                  <c:v>7360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'الرسوم البيانية'!X3</c:f>
              <c:strCache>
                <c:ptCount val="1"/>
                <c:pt idx="0">
                  <c:v>دين علينا ($)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البيانية'!$X$4:$X$15</c:f>
              <c:numCache>
                <c:formatCode>\$#,##0</c:formatCode>
                <c:ptCount val="12"/>
                <c:pt idx="0">
                  <c:v>14534</c:v>
                </c:pt>
                <c:pt idx="1">
                  <c:v>12974</c:v>
                </c:pt>
                <c:pt idx="2">
                  <c:v>12826</c:v>
                </c:pt>
                <c:pt idx="3">
                  <c:v>11459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'الرسوم البيانية'!Y3</c:f>
              <c:strCache>
                <c:ptCount val="1"/>
                <c:pt idx="0">
                  <c:v>صافي الدين ($)</c:v>
                </c:pt>
              </c:strCache>
            </c:strRef>
          </c:tx>
          <c:spPr>
            <a:solidFill>
              <a:srgbClr val="7030a0"/>
            </a:solidFill>
            <a:ln w="24840">
              <a:solidFill>
                <a:srgbClr val="7030a0"/>
              </a:solidFill>
              <a:round/>
            </a:ln>
          </c:spPr>
          <c:marker>
            <c:symbol val="circle"/>
            <c:size val="6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'الرسوم البيانية'!$Q$4:$Q$15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'الرسوم البيانية'!$Y$4:$Y$15</c:f>
              <c:numCache>
                <c:formatCode>General</c:formatCode>
                <c:ptCount val="12"/>
                <c:pt idx="0">
                  <c:v>-8454</c:v>
                </c:pt>
                <c:pt idx="1">
                  <c:v>-7922</c:v>
                </c:pt>
                <c:pt idx="2">
                  <c:v>-7670</c:v>
                </c:pt>
                <c:pt idx="3">
                  <c:v>-4099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840063"/>
        <c:axId val="4854146"/>
      </c:lineChart>
      <c:catAx>
        <c:axId val="1840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4146"/>
        <c:crosses val="autoZero"/>
        <c:auto val="1"/>
        <c:lblAlgn val="ctr"/>
        <c:lblOffset val="100"/>
        <c:noMultiLvlLbl val="0"/>
      </c:catAx>
      <c:valAx>
        <c:axId val="4854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المبلغ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00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-551160</xdr:colOff>
      <xdr:row>2</xdr:row>
      <xdr:rowOff>0</xdr:rowOff>
    </xdr:from>
    <xdr:to>
      <xdr:col>12</xdr:col>
      <xdr:colOff>0</xdr:colOff>
      <xdr:row>26</xdr:row>
      <xdr:rowOff>107640</xdr:rowOff>
    </xdr:to>
    <xdr:graphicFrame>
      <xdr:nvGraphicFramePr>
        <xdr:cNvPr id="0" name="Chart 1"/>
        <xdr:cNvGraphicFramePr/>
      </xdr:nvGraphicFramePr>
      <xdr:xfrm>
        <a:off x="-7919640" y="704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-550800</xdr:colOff>
      <xdr:row>2</xdr:row>
      <xdr:rowOff>0</xdr:rowOff>
    </xdr:from>
    <xdr:to>
      <xdr:col>23</xdr:col>
      <xdr:colOff>0</xdr:colOff>
      <xdr:row>26</xdr:row>
      <xdr:rowOff>107640</xdr:rowOff>
    </xdr:to>
    <xdr:graphicFrame>
      <xdr:nvGraphicFramePr>
        <xdr:cNvPr id="1" name="Chart 2"/>
        <xdr:cNvGraphicFramePr/>
      </xdr:nvGraphicFramePr>
      <xdr:xfrm>
        <a:off x="-14673960" y="704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-551160</xdr:colOff>
      <xdr:row>20</xdr:row>
      <xdr:rowOff>0</xdr:rowOff>
    </xdr:from>
    <xdr:to>
      <xdr:col>12</xdr:col>
      <xdr:colOff>0</xdr:colOff>
      <xdr:row>44</xdr:row>
      <xdr:rowOff>107640</xdr:rowOff>
    </xdr:to>
    <xdr:graphicFrame>
      <xdr:nvGraphicFramePr>
        <xdr:cNvPr id="2" name="Chart 3"/>
        <xdr:cNvGraphicFramePr/>
      </xdr:nvGraphicFramePr>
      <xdr:xfrm>
        <a:off x="-7919640" y="4133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-550800</xdr:colOff>
      <xdr:row>20</xdr:row>
      <xdr:rowOff>0</xdr:rowOff>
    </xdr:from>
    <xdr:to>
      <xdr:col>23</xdr:col>
      <xdr:colOff>0</xdr:colOff>
      <xdr:row>44</xdr:row>
      <xdr:rowOff>107640</xdr:rowOff>
    </xdr:to>
    <xdr:graphicFrame>
      <xdr:nvGraphicFramePr>
        <xdr:cNvPr id="3" name="Chart 4"/>
        <xdr:cNvGraphicFramePr/>
      </xdr:nvGraphicFramePr>
      <xdr:xfrm>
        <a:off x="-14673960" y="4133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-488520</xdr:colOff>
      <xdr:row>38</xdr:row>
      <xdr:rowOff>0</xdr:rowOff>
    </xdr:from>
    <xdr:to>
      <xdr:col>25</xdr:col>
      <xdr:colOff>0</xdr:colOff>
      <xdr:row>62</xdr:row>
      <xdr:rowOff>107640</xdr:rowOff>
    </xdr:to>
    <xdr:graphicFrame>
      <xdr:nvGraphicFramePr>
        <xdr:cNvPr id="4" name="Chart 5"/>
        <xdr:cNvGraphicFramePr/>
      </xdr:nvGraphicFramePr>
      <xdr:xfrm>
        <a:off x="-15839640" y="7562880"/>
        <a:ext cx="158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true" tabSelected="true" showOutlineSymbols="true" defaultGridColor="true" view="normal" topLeftCell="A2" colorId="64" zoomScale="100" zoomScaleNormal="100" zoomScalePageLayoutView="100" workbookViewId="0">
      <selection pane="topLeft" activeCell="K8" activeCellId="0" sqref="K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3" t="s">
        <v>2</v>
      </c>
      <c r="G2" s="3"/>
      <c r="H2" s="4" t="s">
        <v>3</v>
      </c>
      <c r="I2" s="4"/>
      <c r="J2" s="5" t="s">
        <v>4</v>
      </c>
      <c r="K2" s="5"/>
    </row>
    <row r="3" customFormat="false" ht="30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</row>
    <row r="4" customFormat="false" ht="15" hidden="false" customHeight="false" outlineLevel="0" collapsed="false">
      <c r="A4" s="7" t="s">
        <v>16</v>
      </c>
      <c r="B4" s="8" t="n">
        <v>118926000</v>
      </c>
      <c r="C4" s="8" t="n">
        <v>74709000</v>
      </c>
      <c r="D4" s="8" t="n">
        <v>38000000</v>
      </c>
      <c r="E4" s="8" t="n">
        <f aca="false">IF(B4="","",B4-C4-D4)</f>
        <v>6217000</v>
      </c>
      <c r="F4" s="9" t="n">
        <v>1000000</v>
      </c>
      <c r="G4" s="10" t="n">
        <v>0</v>
      </c>
      <c r="H4" s="11" t="n">
        <v>70767000</v>
      </c>
      <c r="I4" s="12" t="n">
        <v>6080</v>
      </c>
      <c r="J4" s="13" t="n">
        <v>4123000</v>
      </c>
      <c r="K4" s="14" t="n">
        <v>14534</v>
      </c>
    </row>
    <row r="5" customFormat="false" ht="15" hidden="false" customHeight="false" outlineLevel="0" collapsed="false">
      <c r="A5" s="7" t="s">
        <v>17</v>
      </c>
      <c r="B5" s="15" t="n">
        <v>87859000</v>
      </c>
      <c r="C5" s="15" t="n">
        <v>41296000</v>
      </c>
      <c r="D5" s="15" t="n">
        <v>36215000</v>
      </c>
      <c r="E5" s="15" t="n">
        <f aca="false">IF(B5="","",B5-C5-D5)</f>
        <v>10348000</v>
      </c>
      <c r="F5" s="9" t="n">
        <v>2489000</v>
      </c>
      <c r="G5" s="10" t="n">
        <v>325</v>
      </c>
      <c r="H5" s="11" t="n">
        <v>58684000</v>
      </c>
      <c r="I5" s="12" t="n">
        <v>5052</v>
      </c>
      <c r="J5" s="13" t="n">
        <v>3838000</v>
      </c>
      <c r="K5" s="14" t="n">
        <v>12974</v>
      </c>
    </row>
    <row r="6" customFormat="false" ht="15" hidden="false" customHeight="false" outlineLevel="0" collapsed="false">
      <c r="A6" s="7" t="s">
        <v>18</v>
      </c>
      <c r="B6" s="8" t="n">
        <v>105443000</v>
      </c>
      <c r="C6" s="8" t="n">
        <v>45155000</v>
      </c>
      <c r="D6" s="8" t="n">
        <v>37203000</v>
      </c>
      <c r="E6" s="8" t="n">
        <f aca="false">IF(B6="","",B6-C6-D6)</f>
        <v>23085000</v>
      </c>
      <c r="F6" s="9" t="n">
        <v>1684000</v>
      </c>
      <c r="G6" s="10" t="n">
        <v>270</v>
      </c>
      <c r="H6" s="11" t="n">
        <v>66327000</v>
      </c>
      <c r="I6" s="12" t="n">
        <v>5156</v>
      </c>
      <c r="J6" s="13" t="n">
        <v>4536000</v>
      </c>
      <c r="K6" s="14" t="n">
        <v>12826</v>
      </c>
    </row>
    <row r="7" customFormat="false" ht="15" hidden="false" customHeight="false" outlineLevel="0" collapsed="false">
      <c r="A7" s="7" t="s">
        <v>19</v>
      </c>
      <c r="B7" s="15" t="n">
        <v>166691000</v>
      </c>
      <c r="C7" s="15" t="n">
        <v>91555000</v>
      </c>
      <c r="D7" s="15" t="n">
        <v>38371000</v>
      </c>
      <c r="E7" s="15" t="n">
        <f aca="false">IF(B7="","",B7-C7-D7)</f>
        <v>36765000</v>
      </c>
      <c r="F7" s="9" t="n">
        <v>1436000</v>
      </c>
      <c r="G7" s="10" t="n">
        <v>295</v>
      </c>
      <c r="H7" s="11" t="n">
        <v>70574000</v>
      </c>
      <c r="I7" s="12" t="n">
        <v>7360</v>
      </c>
      <c r="J7" s="13" t="n">
        <v>5924000</v>
      </c>
      <c r="K7" s="14" t="n">
        <v>11459</v>
      </c>
    </row>
    <row r="8" customFormat="false" ht="15" hidden="false" customHeight="false" outlineLevel="0" collapsed="false">
      <c r="A8" s="7" t="s">
        <v>20</v>
      </c>
      <c r="B8" s="8"/>
      <c r="C8" s="8"/>
      <c r="D8" s="8"/>
      <c r="E8" s="8" t="str">
        <f aca="false">IF(B8="","",B8-C8-D8)</f>
        <v/>
      </c>
      <c r="F8" s="9"/>
      <c r="G8" s="10"/>
      <c r="H8" s="11"/>
      <c r="I8" s="12"/>
      <c r="J8" s="13"/>
      <c r="K8" s="14"/>
    </row>
    <row r="9" customFormat="false" ht="15" hidden="false" customHeight="false" outlineLevel="0" collapsed="false">
      <c r="A9" s="7" t="s">
        <v>21</v>
      </c>
      <c r="B9" s="15"/>
      <c r="C9" s="15"/>
      <c r="D9" s="15"/>
      <c r="E9" s="15" t="str">
        <f aca="false">IF(B9="","",B9-C9-D9)</f>
        <v/>
      </c>
      <c r="F9" s="9"/>
      <c r="G9" s="10"/>
      <c r="H9" s="11"/>
      <c r="I9" s="12"/>
      <c r="J9" s="13"/>
      <c r="K9" s="14"/>
    </row>
    <row r="10" customFormat="false" ht="15" hidden="false" customHeight="false" outlineLevel="0" collapsed="false">
      <c r="A10" s="7" t="s">
        <v>22</v>
      </c>
      <c r="B10" s="8"/>
      <c r="C10" s="8"/>
      <c r="D10" s="8"/>
      <c r="E10" s="8" t="str">
        <f aca="false">IF(B10="","",B10-C10-D10)</f>
        <v/>
      </c>
      <c r="F10" s="9"/>
      <c r="G10" s="10"/>
      <c r="H10" s="11"/>
      <c r="I10" s="12"/>
      <c r="J10" s="13"/>
      <c r="K10" s="14"/>
    </row>
    <row r="11" customFormat="false" ht="15" hidden="false" customHeight="false" outlineLevel="0" collapsed="false">
      <c r="A11" s="7" t="s">
        <v>23</v>
      </c>
      <c r="B11" s="15"/>
      <c r="C11" s="15"/>
      <c r="D11" s="15"/>
      <c r="E11" s="15" t="str">
        <f aca="false">IF(B11="","",B11-C11-D11)</f>
        <v/>
      </c>
      <c r="F11" s="9"/>
      <c r="G11" s="10"/>
      <c r="H11" s="11"/>
      <c r="I11" s="12"/>
      <c r="J11" s="13"/>
      <c r="K11" s="14"/>
    </row>
    <row r="12" customFormat="false" ht="15" hidden="false" customHeight="false" outlineLevel="0" collapsed="false">
      <c r="A12" s="7" t="s">
        <v>24</v>
      </c>
      <c r="B12" s="8"/>
      <c r="C12" s="8"/>
      <c r="D12" s="8"/>
      <c r="E12" s="8" t="str">
        <f aca="false">IF(B12="","",B12-C12-D12)</f>
        <v/>
      </c>
      <c r="F12" s="9"/>
      <c r="G12" s="10"/>
      <c r="H12" s="11"/>
      <c r="I12" s="12"/>
      <c r="J12" s="13"/>
      <c r="K12" s="14"/>
    </row>
    <row r="13" customFormat="false" ht="15" hidden="false" customHeight="false" outlineLevel="0" collapsed="false">
      <c r="A13" s="7" t="s">
        <v>25</v>
      </c>
      <c r="B13" s="15"/>
      <c r="C13" s="15"/>
      <c r="D13" s="15"/>
      <c r="E13" s="15" t="str">
        <f aca="false">IF(B13="","",B13-C13-D13)</f>
        <v/>
      </c>
      <c r="F13" s="9"/>
      <c r="G13" s="10"/>
      <c r="H13" s="11"/>
      <c r="I13" s="12"/>
      <c r="J13" s="13"/>
      <c r="K13" s="14"/>
    </row>
    <row r="14" customFormat="false" ht="15" hidden="false" customHeight="false" outlineLevel="0" collapsed="false">
      <c r="A14" s="7" t="s">
        <v>26</v>
      </c>
      <c r="B14" s="16"/>
      <c r="C14" s="16"/>
      <c r="D14" s="16"/>
      <c r="E14" s="8" t="str">
        <f aca="false">IF(B14="","",B14-C14-D14)</f>
        <v/>
      </c>
      <c r="F14" s="9"/>
      <c r="G14" s="10"/>
      <c r="H14" s="17"/>
      <c r="I14" s="12"/>
      <c r="J14" s="18"/>
      <c r="K14" s="14"/>
    </row>
    <row r="15" customFormat="false" ht="15" hidden="false" customHeight="false" outlineLevel="0" collapsed="false">
      <c r="A15" s="7" t="s">
        <v>27</v>
      </c>
      <c r="B15" s="19"/>
      <c r="C15" s="19"/>
      <c r="D15" s="19"/>
      <c r="E15" s="15" t="str">
        <f aca="false">IF(B15="","",B15-C15-D15)</f>
        <v/>
      </c>
      <c r="F15" s="9"/>
      <c r="G15" s="10"/>
      <c r="H15" s="17"/>
      <c r="I15" s="12"/>
      <c r="J15" s="18"/>
      <c r="K15" s="14"/>
    </row>
    <row r="17" customFormat="false" ht="19.5" hidden="false" customHeight="true" outlineLevel="0" collapsed="false">
      <c r="A17" s="20" t="s">
        <v>28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</sheetData>
  <mergeCells count="6">
    <mergeCell ref="A1:K1"/>
    <mergeCell ref="B2:E2"/>
    <mergeCell ref="F2:G2"/>
    <mergeCell ref="H2:I2"/>
    <mergeCell ref="J2:K2"/>
    <mergeCell ref="A17:K17"/>
  </mergeCells>
  <conditionalFormatting sqref="E4:E1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14"/>
  </cols>
  <sheetData>
    <row r="1" customFormat="false" ht="37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6" t="s">
        <v>5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10</v>
      </c>
      <c r="G2" s="6" t="s">
        <v>34</v>
      </c>
      <c r="H2" s="6" t="s">
        <v>35</v>
      </c>
      <c r="I2" s="6" t="s">
        <v>36</v>
      </c>
      <c r="J2" s="6" t="s">
        <v>37</v>
      </c>
    </row>
    <row r="3" customFormat="false" ht="15" hidden="false" customHeight="false" outlineLevel="0" collapsed="false">
      <c r="A3" s="7" t="str">
        <f aca="false">المدخلات!A4</f>
        <v>يناير</v>
      </c>
      <c r="B3" s="8" t="n">
        <f aca="false">IF(المدخلات!B4="","",المدخلات!B4-المدخلات!C4-المدخلات!D4)</f>
        <v>6217000</v>
      </c>
      <c r="C3" s="21" t="n">
        <f aca="false">IF(المدخلات!B4=0,"",B3/المدخلات!B4)</f>
        <v>0.0522762053714074</v>
      </c>
      <c r="D3" s="22"/>
      <c r="E3" s="21" t="n">
        <f aca="false">IF(المدخلات!B4=0,"",المدخلات!D4/المدخلات!B4)</f>
        <v>0.319526428199048</v>
      </c>
      <c r="F3" s="8" t="n">
        <f aca="false">IF(المدخلات!F4="","",المدخلات!F4)</f>
        <v>1000000</v>
      </c>
      <c r="G3" s="23" t="n">
        <f aca="false">IF(المدخلات!G4="","",المدخلات!G4)</f>
        <v>0</v>
      </c>
      <c r="H3" s="8" t="n">
        <f aca="false">IF(OR(المدخلات!H4="",المدخلات!J4=""),"",المدخلات!H4-المدخلات!J4)</f>
        <v>66644000</v>
      </c>
      <c r="I3" s="23" t="n">
        <f aca="false">IF(OR(المدخلات!I4="",المدخلات!K4=""),"",المدخلات!I4-المدخلات!K4)</f>
        <v>-8454</v>
      </c>
      <c r="J3" s="24" t="str">
        <f aca="false">IF(B3="","",IF(B3&gt;0,"✅ ربح","🔴 خسارة"))</f>
        <v>✅ ربح</v>
      </c>
    </row>
    <row r="4" customFormat="false" ht="15" hidden="false" customHeight="false" outlineLevel="0" collapsed="false">
      <c r="A4" s="7" t="str">
        <f aca="false">المدخلات!A5</f>
        <v>فبراير</v>
      </c>
      <c r="B4" s="15" t="n">
        <f aca="false">IF(المدخلات!B5="","",المدخلات!B5-المدخلات!C5-المدخلات!D5)</f>
        <v>10348000</v>
      </c>
      <c r="C4" s="25" t="n">
        <f aca="false">IF(المدخلات!B5=0,"",B4/المدخلات!B5)</f>
        <v>0.117779624170546</v>
      </c>
      <c r="D4" s="25" t="n">
        <f aca="false">IF(OR(المدخلات!B4=0,المدخلات!B5=""),"",(المدخلات!B5-المدخلات!B4)/المدخلات!B4)</f>
        <v>-0.261229672233153</v>
      </c>
      <c r="E4" s="25" t="n">
        <f aca="false">IF(المدخلات!B5=0,"",المدخلات!D5/المدخلات!B5)</f>
        <v>0.412194538977225</v>
      </c>
      <c r="F4" s="15" t="n">
        <f aca="false">IF(المدخلات!F5="","",المدخلات!F5)</f>
        <v>2489000</v>
      </c>
      <c r="G4" s="26" t="n">
        <f aca="false">IF(المدخلات!G5="","",المدخلات!G5)</f>
        <v>325</v>
      </c>
      <c r="H4" s="15" t="n">
        <f aca="false">IF(OR(المدخلات!H5="",المدخلات!J5=""),"",المدخلات!H5-المدخلات!J5)</f>
        <v>54846000</v>
      </c>
      <c r="I4" s="26" t="n">
        <f aca="false">IF(OR(المدخلات!I5="",المدخلات!K5=""),"",المدخلات!I5-المدخلات!K5)</f>
        <v>-7922</v>
      </c>
      <c r="J4" s="27" t="str">
        <f aca="false">IF(B4="","",IF(B4&gt;0,"✅ ربح","🔴 خسارة"))</f>
        <v>✅ ربح</v>
      </c>
    </row>
    <row r="5" customFormat="false" ht="15" hidden="false" customHeight="false" outlineLevel="0" collapsed="false">
      <c r="A5" s="7" t="str">
        <f aca="false">المدخلات!A6</f>
        <v>مارس</v>
      </c>
      <c r="B5" s="8" t="n">
        <f aca="false">IF(المدخلات!B6="","",المدخلات!B6-المدخلات!C6-المدخلات!D6)</f>
        <v>23085000</v>
      </c>
      <c r="C5" s="21" t="n">
        <f aca="false">IF(المدخلات!B6=0,"",B5/المدخلات!B6)</f>
        <v>0.218933452196922</v>
      </c>
      <c r="D5" s="21" t="n">
        <f aca="false">IF(OR(المدخلات!B5=0,المدخلات!B6=""),"",(المدخلات!B6-المدخلات!B5)/المدخلات!B5)</f>
        <v>0.20013885885339</v>
      </c>
      <c r="E5" s="21" t="n">
        <f aca="false">IF(المدخلات!B6=0,"",المدخلات!D6/المدخلات!B6)</f>
        <v>0.352825697296169</v>
      </c>
      <c r="F5" s="8" t="n">
        <f aca="false">IF(المدخلات!F6="","",المدخلات!F6)</f>
        <v>1684000</v>
      </c>
      <c r="G5" s="23" t="n">
        <f aca="false">IF(المدخلات!G6="","",المدخلات!G6)</f>
        <v>270</v>
      </c>
      <c r="H5" s="8" t="n">
        <f aca="false">IF(OR(المدخلات!H6="",المدخلات!J6=""),"",المدخلات!H6-المدخلات!J6)</f>
        <v>61791000</v>
      </c>
      <c r="I5" s="23" t="n">
        <f aca="false">IF(OR(المدخلات!I6="",المدخلات!K6=""),"",المدخلات!I6-المدخلات!K6)</f>
        <v>-7670</v>
      </c>
      <c r="J5" s="24" t="str">
        <f aca="false">IF(B5="","",IF(B5&gt;0,"✅ ربح","🔴 خسارة"))</f>
        <v>✅ ربح</v>
      </c>
    </row>
    <row r="6" customFormat="false" ht="15" hidden="false" customHeight="false" outlineLevel="0" collapsed="false">
      <c r="A6" s="7" t="str">
        <f aca="false">المدخلات!A7</f>
        <v>أبريل</v>
      </c>
      <c r="B6" s="15" t="n">
        <f aca="false">IF(المدخلات!B7="","",المدخلات!B7-المدخلات!C7-المدخلات!D7)</f>
        <v>36765000</v>
      </c>
      <c r="C6" s="25" t="n">
        <f aca="false">IF(المدخلات!B7=0,"",B6/المدخلات!B7)</f>
        <v>0.22055779856141</v>
      </c>
      <c r="D6" s="25" t="n">
        <f aca="false">IF(OR(المدخلات!B6=0,المدخلات!B7=""),"",(المدخلات!B7-المدخلات!B6)/المدخلات!B6)</f>
        <v>0.580863594548714</v>
      </c>
      <c r="E6" s="25" t="n">
        <f aca="false">IF(المدخلات!B7=0,"",المدخلات!D7/المدخلات!B7)</f>
        <v>0.230192391910781</v>
      </c>
      <c r="F6" s="15" t="n">
        <f aca="false">IF(المدخلات!F7="","",المدخلات!F7)</f>
        <v>1436000</v>
      </c>
      <c r="G6" s="26" t="n">
        <f aca="false">IF(المدخلات!G7="","",المدخلات!G7)</f>
        <v>295</v>
      </c>
      <c r="H6" s="15" t="n">
        <f aca="false">IF(OR(المدخلات!H7="",المدخلات!J7=""),"",المدخلات!H7-المدخلات!J7)</f>
        <v>64650000</v>
      </c>
      <c r="I6" s="26" t="n">
        <f aca="false">IF(OR(المدخلات!I7="",المدخلات!K7=""),"",المدخلات!I7-المدخلات!K7)</f>
        <v>-4099</v>
      </c>
      <c r="J6" s="27" t="str">
        <f aca="false">IF(B6="","",IF(B6&gt;0,"✅ ربح","🔴 خسارة"))</f>
        <v>✅ ربح</v>
      </c>
    </row>
    <row r="7" customFormat="false" ht="15" hidden="false" customHeight="false" outlineLevel="0" collapsed="false">
      <c r="A7" s="7" t="str">
        <f aca="false">المدخلات!A8</f>
        <v>مايو</v>
      </c>
      <c r="B7" s="8" t="str">
        <f aca="false">IF(المدخلات!B8="","",المدخلات!B8-المدخلات!C8-المدخلات!D8)</f>
        <v/>
      </c>
      <c r="C7" s="21" t="str">
        <f aca="false">IF(المدخلات!B8=0,"",B7/المدخلات!B8)</f>
        <v/>
      </c>
      <c r="D7" s="21" t="str">
        <f aca="false">IF(OR(المدخلات!B7=0,المدخلات!B8=""),"",(المدخلات!B8-المدخلات!B7)/المدخلات!B7)</f>
        <v/>
      </c>
      <c r="E7" s="21" t="str">
        <f aca="false">IF(المدخلات!B8=0,"",المدخلات!D8/المدخلات!B8)</f>
        <v/>
      </c>
      <c r="F7" s="8" t="str">
        <f aca="false">IF(المدخلات!F8="","",المدخلات!F8)</f>
        <v/>
      </c>
      <c r="G7" s="23" t="str">
        <f aca="false">IF(المدخلات!G8="","",المدخلات!G8)</f>
        <v/>
      </c>
      <c r="H7" s="8" t="str">
        <f aca="false">IF(OR(المدخلات!H8="",المدخلات!J8=""),"",المدخلات!H8-المدخلات!J8)</f>
        <v/>
      </c>
      <c r="I7" s="23" t="str">
        <f aca="false">IF(OR(المدخلات!I8="",المدخلات!K8=""),"",المدخلات!I8-المدخلات!K8)</f>
        <v/>
      </c>
      <c r="J7" s="24" t="str">
        <f aca="false">IF(B7="","",IF(B7&gt;0,"✅ ربح","🔴 خسارة"))</f>
        <v/>
      </c>
    </row>
    <row r="8" customFormat="false" ht="15" hidden="false" customHeight="false" outlineLevel="0" collapsed="false">
      <c r="A8" s="7" t="str">
        <f aca="false">المدخلات!A9</f>
        <v>يونيو</v>
      </c>
      <c r="B8" s="15" t="str">
        <f aca="false">IF(المدخلات!B9="","",المدخلات!B9-المدخلات!C9-المدخلات!D9)</f>
        <v/>
      </c>
      <c r="C8" s="25" t="str">
        <f aca="false">IF(المدخلات!B9=0,"",B8/المدخلات!B9)</f>
        <v/>
      </c>
      <c r="D8" s="25" t="str">
        <f aca="false">IF(OR(المدخلات!B8=0,المدخلات!B9=""),"",(المدخلات!B9-المدخلات!B8)/المدخلات!B8)</f>
        <v/>
      </c>
      <c r="E8" s="25" t="str">
        <f aca="false">IF(المدخلات!B9=0,"",المدخلات!D9/المدخلات!B9)</f>
        <v/>
      </c>
      <c r="F8" s="15" t="str">
        <f aca="false">IF(المدخلات!F9="","",المدخلات!F9)</f>
        <v/>
      </c>
      <c r="G8" s="26" t="str">
        <f aca="false">IF(المدخلات!G9="","",المدخلات!G9)</f>
        <v/>
      </c>
      <c r="H8" s="15" t="str">
        <f aca="false">IF(OR(المدخلات!H9="",المدخلات!J9=""),"",المدخلات!H9-المدخلات!J9)</f>
        <v/>
      </c>
      <c r="I8" s="26" t="str">
        <f aca="false">IF(OR(المدخلات!I9="",المدخلات!K9=""),"",المدخلات!I9-المدخلات!K9)</f>
        <v/>
      </c>
      <c r="J8" s="27" t="str">
        <f aca="false">IF(B8="","",IF(B8&gt;0,"✅ ربح","🔴 خسارة"))</f>
        <v/>
      </c>
    </row>
    <row r="9" customFormat="false" ht="15" hidden="false" customHeight="false" outlineLevel="0" collapsed="false">
      <c r="A9" s="7" t="str">
        <f aca="false">المدخلات!A10</f>
        <v>يوليو</v>
      </c>
      <c r="B9" s="8" t="str">
        <f aca="false">IF(المدخلات!B10="","",المدخلات!B10-المدخلات!C10-المدخلات!D10)</f>
        <v/>
      </c>
      <c r="C9" s="21" t="str">
        <f aca="false">IF(المدخلات!B10=0,"",B9/المدخلات!B10)</f>
        <v/>
      </c>
      <c r="D9" s="21" t="str">
        <f aca="false">IF(OR(المدخلات!B9=0,المدخلات!B10=""),"",(المدخلات!B10-المدخلات!B9)/المدخلات!B9)</f>
        <v/>
      </c>
      <c r="E9" s="21" t="str">
        <f aca="false">IF(المدخلات!B10=0,"",المدخلات!D10/المدخلات!B10)</f>
        <v/>
      </c>
      <c r="F9" s="8" t="str">
        <f aca="false">IF(المدخلات!F10="","",المدخلات!F10)</f>
        <v/>
      </c>
      <c r="G9" s="23" t="str">
        <f aca="false">IF(المدخلات!G10="","",المدخلات!G10)</f>
        <v/>
      </c>
      <c r="H9" s="8" t="str">
        <f aca="false">IF(OR(المدخلات!H10="",المدخلات!J10=""),"",المدخلات!H10-المدخلات!J10)</f>
        <v/>
      </c>
      <c r="I9" s="23" t="str">
        <f aca="false">IF(OR(المدخلات!I10="",المدخلات!K10=""),"",المدخلات!I10-المدخلات!K10)</f>
        <v/>
      </c>
      <c r="J9" s="24" t="str">
        <f aca="false">IF(B9="","",IF(B9&gt;0,"✅ ربح","🔴 خسارة"))</f>
        <v/>
      </c>
    </row>
    <row r="10" customFormat="false" ht="15" hidden="false" customHeight="false" outlineLevel="0" collapsed="false">
      <c r="A10" s="7" t="str">
        <f aca="false">المدخلات!A11</f>
        <v>أغسطس</v>
      </c>
      <c r="B10" s="15" t="str">
        <f aca="false">IF(المدخلات!B11="","",المدخلات!B11-المدخلات!C11-المدخلات!D11)</f>
        <v/>
      </c>
      <c r="C10" s="25" t="str">
        <f aca="false">IF(المدخلات!B11=0,"",B10/المدخلات!B11)</f>
        <v/>
      </c>
      <c r="D10" s="25" t="str">
        <f aca="false">IF(OR(المدخلات!B10=0,المدخلات!B11=""),"",(المدخلات!B11-المدخلات!B10)/المدخلات!B10)</f>
        <v/>
      </c>
      <c r="E10" s="25" t="str">
        <f aca="false">IF(المدخلات!B11=0,"",المدخلات!D11/المدخلات!B11)</f>
        <v/>
      </c>
      <c r="F10" s="15" t="str">
        <f aca="false">IF(المدخلات!F11="","",المدخلات!F11)</f>
        <v/>
      </c>
      <c r="G10" s="26" t="str">
        <f aca="false">IF(المدخلات!G11="","",المدخلات!G11)</f>
        <v/>
      </c>
      <c r="H10" s="15" t="str">
        <f aca="false">IF(OR(المدخلات!H11="",المدخلات!J11=""),"",المدخلات!H11-المدخلات!J11)</f>
        <v/>
      </c>
      <c r="I10" s="26" t="str">
        <f aca="false">IF(OR(المدخلات!I11="",المدخلات!K11=""),"",المدخلات!I11-المدخلات!K11)</f>
        <v/>
      </c>
      <c r="J10" s="27" t="str">
        <f aca="false">IF(B10="","",IF(B10&gt;0,"✅ ربح","🔴 خسارة"))</f>
        <v/>
      </c>
    </row>
    <row r="11" customFormat="false" ht="15" hidden="false" customHeight="false" outlineLevel="0" collapsed="false">
      <c r="A11" s="7" t="str">
        <f aca="false">المدخلات!A12</f>
        <v>سبتمبر</v>
      </c>
      <c r="B11" s="8" t="str">
        <f aca="false">IF(المدخلات!B12="","",المدخلات!B12-المدخلات!C12-المدخلات!D12)</f>
        <v/>
      </c>
      <c r="C11" s="21" t="str">
        <f aca="false">IF(المدخلات!B12=0,"",B11/المدخلات!B12)</f>
        <v/>
      </c>
      <c r="D11" s="21" t="str">
        <f aca="false">IF(OR(المدخلات!B11=0,المدخلات!B12=""),"",(المدخلات!B12-المدخلات!B11)/المدخلات!B11)</f>
        <v/>
      </c>
      <c r="E11" s="21" t="str">
        <f aca="false">IF(المدخلات!B12=0,"",المدخلات!D12/المدخلات!B12)</f>
        <v/>
      </c>
      <c r="F11" s="8" t="str">
        <f aca="false">IF(المدخلات!F12="","",المدخلات!F12)</f>
        <v/>
      </c>
      <c r="G11" s="23" t="str">
        <f aca="false">IF(المدخلات!G12="","",المدخلات!G12)</f>
        <v/>
      </c>
      <c r="H11" s="8" t="str">
        <f aca="false">IF(OR(المدخلات!H12="",المدخلات!J12=""),"",المدخلات!H12-المدخلات!J12)</f>
        <v/>
      </c>
      <c r="I11" s="23" t="str">
        <f aca="false">IF(OR(المدخلات!I12="",المدخلات!K12=""),"",المدخلات!I12-المدخلات!K12)</f>
        <v/>
      </c>
      <c r="J11" s="24" t="str">
        <f aca="false">IF(B11="","",IF(B11&gt;0,"✅ ربح","🔴 خسارة"))</f>
        <v/>
      </c>
    </row>
    <row r="12" customFormat="false" ht="15" hidden="false" customHeight="false" outlineLevel="0" collapsed="false">
      <c r="A12" s="7" t="str">
        <f aca="false">المدخلات!A13</f>
        <v>أكتوبر</v>
      </c>
      <c r="B12" s="15" t="str">
        <f aca="false">IF(المدخلات!B13="","",المدخلات!B13-المدخلات!C13-المدخلات!D13)</f>
        <v/>
      </c>
      <c r="C12" s="25" t="str">
        <f aca="false">IF(المدخلات!B13=0,"",B12/المدخلات!B13)</f>
        <v/>
      </c>
      <c r="D12" s="25" t="str">
        <f aca="false">IF(OR(المدخلات!B12=0,المدخلات!B13=""),"",(المدخلات!B13-المدخلات!B12)/المدخلات!B12)</f>
        <v/>
      </c>
      <c r="E12" s="25" t="str">
        <f aca="false">IF(المدخلات!B13=0,"",المدخلات!D13/المدخلات!B13)</f>
        <v/>
      </c>
      <c r="F12" s="15" t="str">
        <f aca="false">IF(المدخلات!F13="","",المدخلات!F13)</f>
        <v/>
      </c>
      <c r="G12" s="26" t="str">
        <f aca="false">IF(المدخلات!G13="","",المدخلات!G13)</f>
        <v/>
      </c>
      <c r="H12" s="15" t="str">
        <f aca="false">IF(OR(المدخلات!H13="",المدخلات!J13=""),"",المدخلات!H13-المدخلات!J13)</f>
        <v/>
      </c>
      <c r="I12" s="26" t="str">
        <f aca="false">IF(OR(المدخلات!I13="",المدخلات!K13=""),"",المدخلات!I13-المدخلات!K13)</f>
        <v/>
      </c>
      <c r="J12" s="27" t="str">
        <f aca="false">IF(B12="","",IF(B12&gt;0,"✅ ربح","🔴 خسارة"))</f>
        <v/>
      </c>
    </row>
    <row r="13" customFormat="false" ht="15" hidden="false" customHeight="false" outlineLevel="0" collapsed="false">
      <c r="A13" s="7" t="str">
        <f aca="false">المدخلات!A14</f>
        <v>نوفمبر</v>
      </c>
      <c r="B13" s="8" t="str">
        <f aca="false">IF(المدخلات!B14="","",المدخلات!B14-المدخلات!C14-المدخلات!D14)</f>
        <v/>
      </c>
      <c r="C13" s="21" t="str">
        <f aca="false">IF(المدخلات!B14=0,"",B13/المدخلات!B14)</f>
        <v/>
      </c>
      <c r="D13" s="21" t="str">
        <f aca="false">IF(OR(المدخلات!B13=0,المدخلات!B14=""),"",(المدخلات!B14-المدخلات!B13)/المدخلات!B13)</f>
        <v/>
      </c>
      <c r="E13" s="21" t="str">
        <f aca="false">IF(المدخلات!B14=0,"",المدخلات!D14/المدخلات!B14)</f>
        <v/>
      </c>
      <c r="F13" s="8" t="str">
        <f aca="false">IF(المدخلات!F14="","",المدخلات!F14)</f>
        <v/>
      </c>
      <c r="G13" s="23" t="str">
        <f aca="false">IF(المدخلات!G14="","",المدخلات!G14)</f>
        <v/>
      </c>
      <c r="H13" s="8" t="str">
        <f aca="false">IF(OR(المدخلات!H14="",المدخلات!J14=""),"",المدخلات!H14-المدخلات!J14)</f>
        <v/>
      </c>
      <c r="I13" s="23" t="str">
        <f aca="false">IF(OR(المدخلات!I14="",المدخلات!K14=""),"",المدخلات!I14-المدخلات!K14)</f>
        <v/>
      </c>
      <c r="J13" s="24" t="str">
        <f aca="false">IF(B13="","",IF(B13&gt;0,"✅ ربح","🔴 خسارة"))</f>
        <v/>
      </c>
    </row>
    <row r="14" customFormat="false" ht="15" hidden="false" customHeight="false" outlineLevel="0" collapsed="false">
      <c r="A14" s="7" t="str">
        <f aca="false">المدخلات!A15</f>
        <v>ديسمبر</v>
      </c>
      <c r="B14" s="15" t="str">
        <f aca="false">IF(المدخلات!B15="","",المدخلات!B15-المدخلات!C15-المدخلات!D15)</f>
        <v/>
      </c>
      <c r="C14" s="25" t="str">
        <f aca="false">IF(المدخلات!B15=0,"",B14/المدخلات!B15)</f>
        <v/>
      </c>
      <c r="D14" s="25" t="str">
        <f aca="false">IF(OR(المدخلات!B14=0,المدخلات!B15=""),"",(المدخلات!B15-المدخلات!B14)/المدخلات!B14)</f>
        <v/>
      </c>
      <c r="E14" s="25" t="str">
        <f aca="false">IF(المدخلات!B15=0,"",المدخلات!D15/المدخلات!B15)</f>
        <v/>
      </c>
      <c r="F14" s="15" t="str">
        <f aca="false">IF(المدخلات!F15="","",المدخلات!F15)</f>
        <v/>
      </c>
      <c r="G14" s="26" t="str">
        <f aca="false">IF(المدخلات!G15="","",المدخلات!G15)</f>
        <v/>
      </c>
      <c r="H14" s="15" t="str">
        <f aca="false">IF(OR(المدخلات!H15="",المدخلات!J15=""),"",المدخلات!H15-المدخلات!J15)</f>
        <v/>
      </c>
      <c r="I14" s="26" t="str">
        <f aca="false">IF(OR(المدخلات!I15="",المدخلات!K15=""),"",المدخلات!I15-المدخلات!K15)</f>
        <v/>
      </c>
      <c r="J14" s="27" t="str">
        <f aca="false">IF(B14="","",IF(B14&gt;0,"✅ ربح","🔴 خسارة"))</f>
        <v/>
      </c>
    </row>
  </sheetData>
  <mergeCells count="1">
    <mergeCell ref="A1:K1"/>
  </mergeCells>
  <conditionalFormatting sqref="B3:B1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3:I14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D3:D14">
    <cfRule type="cellIs" priority="6" operator="greaterThan" aboveAverage="0" equalAverage="0" bottom="0" percent="0" rank="0" text="" dxfId="2">
      <formula>0</formula>
    </cfRule>
    <cfRule type="cellIs" priority="7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true" tabSelected="false" showOutlineSymbols="true" defaultGridColor="true" view="normal" topLeftCell="A14" colorId="64" zoomScale="100" zoomScaleNormal="100" zoomScalePageLayoutView="100" workbookViewId="0">
      <selection pane="topLeft" activeCell="B5" activeCellId="0" sqref="B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42" hidden="false" customHeight="true" outlineLevel="0" collapsed="false">
      <c r="A1" s="28" t="s">
        <v>38</v>
      </c>
      <c r="B1" s="28"/>
      <c r="C1" s="28"/>
      <c r="D1" s="28"/>
      <c r="E1" s="28"/>
      <c r="F1" s="28"/>
    </row>
    <row r="2" customFormat="false" ht="27.75" hidden="false" customHeight="true" outlineLevel="0" collapsed="false">
      <c r="A2" s="29" t="str">
        <f aca="false">"📅 آخر شهر تم إدخاله: "&amp;IFERROR(LOOKUP(2,1/(المدخلات!B4:B15&lt;&gt;""),المدخلات!A4:A15),"")</f>
        <v>📅 آخر شهر تم إدخاله: أبريل</v>
      </c>
      <c r="B2" s="29"/>
      <c r="C2" s="29"/>
      <c r="D2" s="29"/>
      <c r="E2" s="29"/>
      <c r="F2" s="29"/>
    </row>
    <row r="4" customFormat="false" ht="19.5" hidden="false" customHeight="true" outlineLevel="0" collapsed="false">
      <c r="A4" s="30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</row>
    <row r="5" customFormat="false" ht="25.5" hidden="false" customHeight="true" outlineLevel="0" collapsed="false">
      <c r="A5" s="30"/>
      <c r="B5" s="31" t="n">
        <f aca="false">IFERROR(LOOKUP(2,1/(المدخلات!B4:B15&lt;&gt;""),المدخلات!B4:B15),"")</f>
        <v>166691000</v>
      </c>
      <c r="C5" s="32" t="n">
        <f aca="false">IFERROR(INDEX(المدخلات!B4:B15,COUNTA(المدخلات!B4:B15)-1),"")</f>
        <v>105443000</v>
      </c>
      <c r="D5" s="33" t="n">
        <f aca="false">IF(OR(C5=0,C5=""),"",(B5-C5)/C5)</f>
        <v>0.580863594548714</v>
      </c>
      <c r="E5" s="34" t="str">
        <f aca="false">IF(D5="","",IF(D5&gt;0,"▲  ","▼  "))</f>
        <v>▲  </v>
      </c>
      <c r="F5" s="35" t="str">
        <f aca="false">IF(D5="","",IF(D5&gt;0,"✅","🔴"))</f>
        <v>✅</v>
      </c>
    </row>
    <row r="6" customFormat="false" ht="6" hidden="false" customHeight="true" outlineLevel="0" collapsed="false"/>
    <row r="7" customFormat="false" ht="19.5" hidden="false" customHeight="true" outlineLevel="0" collapsed="false">
      <c r="A7" s="36" t="s">
        <v>45</v>
      </c>
      <c r="B7" s="6" t="s">
        <v>40</v>
      </c>
      <c r="C7" s="6" t="s">
        <v>41</v>
      </c>
      <c r="D7" s="6" t="s">
        <v>42</v>
      </c>
      <c r="E7" s="6" t="s">
        <v>43</v>
      </c>
      <c r="F7" s="6" t="s">
        <v>44</v>
      </c>
    </row>
    <row r="8" customFormat="false" ht="25.5" hidden="false" customHeight="true" outlineLevel="0" collapsed="false">
      <c r="A8" s="36"/>
      <c r="B8" s="31" t="n">
        <f aca="false">IFERROR(LOOKUP(2,1/(المدخلات!B4:B15&lt;&gt;""),الحسابات!B3:B14),"")</f>
        <v>36765000</v>
      </c>
      <c r="C8" s="32" t="n">
        <f aca="false">IFERROR(INDEX(الحسابات!B3:B14,COUNTA(المدخلات!B4:B15)-1),"")</f>
        <v>23085000</v>
      </c>
      <c r="D8" s="33" t="n">
        <f aca="false">IF(OR(C8=0,C8=""),"",(B8-C8)/C8)</f>
        <v>0.592592592592593</v>
      </c>
      <c r="E8" s="34" t="str">
        <f aca="false">IF(D8="","",IF(D8&gt;0,"▲  ","▼  "))</f>
        <v>▲  </v>
      </c>
      <c r="F8" s="35" t="str">
        <f aca="false">IF(D8="","",IF(D8&gt;0,"✅","🔴"))</f>
        <v>✅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37" t="s">
        <v>46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44</v>
      </c>
    </row>
    <row r="11" customFormat="false" ht="25.5" hidden="false" customHeight="true" outlineLevel="0" collapsed="false">
      <c r="A11" s="37"/>
      <c r="B11" s="31" t="n">
        <f aca="false">IFERROR(LOOKUP(2,1/(المدخلات!B4:B15&lt;&gt;""),المدخلات!D4:D15),"")</f>
        <v>38371000</v>
      </c>
      <c r="C11" s="32" t="n">
        <f aca="false">IFERROR(INDEX(المدخلات!D4:D15,COUNTA(المدخلات!B4:B15)-1),"")</f>
        <v>37203000</v>
      </c>
      <c r="D11" s="33" t="n">
        <f aca="false">IF(OR(C11=0,C11=""),"",(B11-C11)/C11)</f>
        <v>0.0313953175819154</v>
      </c>
      <c r="E11" s="34" t="str">
        <f aca="false">IF(D11="","",IF(D11&gt;0,"▲  ","▼  "))</f>
        <v>▲  </v>
      </c>
      <c r="F11" s="35" t="str">
        <f aca="false">IF(D11="","",IF(D11&gt;0,"✅","🔴"))</f>
        <v>✅</v>
      </c>
    </row>
    <row r="12" customFormat="false" ht="6" hidden="false" customHeight="true" outlineLevel="0" collapsed="false"/>
    <row r="13" customFormat="false" ht="19.5" hidden="false" customHeight="true" outlineLevel="0" collapsed="false">
      <c r="A13" s="38" t="s">
        <v>47</v>
      </c>
      <c r="B13" s="6" t="s">
        <v>40</v>
      </c>
      <c r="C13" s="6" t="s">
        <v>41</v>
      </c>
      <c r="D13" s="6" t="s">
        <v>42</v>
      </c>
      <c r="E13" s="6" t="s">
        <v>43</v>
      </c>
      <c r="F13" s="6" t="s">
        <v>44</v>
      </c>
    </row>
    <row r="14" customFormat="false" ht="25.5" hidden="false" customHeight="true" outlineLevel="0" collapsed="false">
      <c r="A14" s="38"/>
      <c r="B14" s="31" t="n">
        <f aca="false">IFERROR(LOOKUP(2,1/(المدخلات!B4:B15&lt;&gt;""),الحسابات!H3:H14),"")</f>
        <v>64650000</v>
      </c>
      <c r="C14" s="32" t="n">
        <f aca="false">IFERROR(INDEX(الحسابات!H3:H14,COUNTA(المدخلات!B4:B15)-1),"")</f>
        <v>61791000</v>
      </c>
      <c r="D14" s="33" t="n">
        <f aca="false">IF(OR(C14=0,C14=""),"",(B14-C14)/C14)</f>
        <v>0.0462688741078798</v>
      </c>
      <c r="E14" s="34" t="str">
        <f aca="false">IF(D14="","",IF(D14&gt;0,"▲  ","▼  "))</f>
        <v>▲  </v>
      </c>
      <c r="F14" s="35" t="str">
        <f aca="false">IF(D14="","",IF(D14&gt;0,"✅","🔴"))</f>
        <v>✅</v>
      </c>
    </row>
    <row r="15" customFormat="false" ht="6" hidden="false" customHeight="true" outlineLevel="0" collapsed="false"/>
    <row r="16" customFormat="false" ht="19.5" hidden="false" customHeight="true" outlineLevel="0" collapsed="false">
      <c r="A16" s="39" t="s">
        <v>48</v>
      </c>
      <c r="B16" s="6" t="s">
        <v>40</v>
      </c>
      <c r="C16" s="6" t="s">
        <v>41</v>
      </c>
      <c r="D16" s="6" t="s">
        <v>42</v>
      </c>
      <c r="E16" s="6" t="s">
        <v>43</v>
      </c>
      <c r="F16" s="6" t="s">
        <v>44</v>
      </c>
    </row>
    <row r="17" customFormat="false" ht="25.5" hidden="false" customHeight="true" outlineLevel="0" collapsed="false">
      <c r="A17" s="39"/>
      <c r="B17" s="40" t="n">
        <f aca="false">IFERROR(LOOKUP(2,1/(المدخلات!B4:B15&lt;&gt;""),الحسابات!I3:I14),"")</f>
        <v>-4099</v>
      </c>
      <c r="C17" s="41" t="n">
        <f aca="false">IFERROR(INDEX(الحسابات!I3:I14,COUNTA(المدخلات!B4:B15)-1),"")</f>
        <v>-7670</v>
      </c>
      <c r="D17" s="33" t="n">
        <f aca="false">IF(OR(C17=0,C17=""),"",(B17-C17)/C17)</f>
        <v>-0.465580182529335</v>
      </c>
      <c r="E17" s="34" t="str">
        <f aca="false">IF(D17="","",IF(D17&gt;0,"▲  ","▼  "))</f>
        <v>▼  </v>
      </c>
      <c r="F17" s="35" t="str">
        <f aca="false">IF(D17="","",IF(D17&gt;0,"✅","🔴"))</f>
        <v>🔴</v>
      </c>
    </row>
    <row r="19" customFormat="false" ht="25.5" hidden="false" customHeight="true" outlineLevel="0" collapsed="false">
      <c r="A19" s="42" t="s">
        <v>49</v>
      </c>
      <c r="B19" s="42"/>
      <c r="C19" s="42"/>
      <c r="D19" s="42"/>
      <c r="E19" s="42"/>
      <c r="F19" s="42"/>
    </row>
    <row r="20" customFormat="false" ht="21.75" hidden="false" customHeight="true" outlineLevel="0" collapsed="false">
      <c r="A20" s="43" t="s">
        <v>50</v>
      </c>
      <c r="B20" s="44" t="n">
        <f aca="false">IFERROR(LOOKUP(2,1/(المدخلات!B4:B15&lt;&gt;""),المدخلات!F4:F15),"")</f>
        <v>1436000</v>
      </c>
      <c r="C20" s="45" t="s">
        <v>51</v>
      </c>
      <c r="D20" s="46"/>
      <c r="E20" s="46"/>
      <c r="F20" s="46"/>
    </row>
    <row r="21" customFormat="false" ht="21.75" hidden="false" customHeight="true" outlineLevel="0" collapsed="false">
      <c r="A21" s="43" t="s">
        <v>50</v>
      </c>
      <c r="B21" s="47" t="n">
        <f aca="false">IFERROR(LOOKUP(2,1/(المدخلات!B4:B15&lt;&gt;""),المدخلات!G4:G15),"")</f>
        <v>295</v>
      </c>
      <c r="C21" s="45" t="s">
        <v>52</v>
      </c>
      <c r="D21" s="46"/>
      <c r="E21" s="46"/>
      <c r="F21" s="46"/>
    </row>
    <row r="23" customFormat="false" ht="25.5" hidden="false" customHeight="true" outlineLevel="0" collapsed="false">
      <c r="A23" s="48" t="s">
        <v>53</v>
      </c>
      <c r="B23" s="48"/>
      <c r="C23" s="48"/>
      <c r="D23" s="48"/>
      <c r="E23" s="48"/>
      <c r="F23" s="48"/>
    </row>
    <row r="24" customFormat="false" ht="19.5" hidden="false" customHeight="true" outlineLevel="0" collapsed="false">
      <c r="A24" s="49" t="s">
        <v>54</v>
      </c>
      <c r="B24" s="49" t="s">
        <v>51</v>
      </c>
      <c r="C24" s="49" t="s">
        <v>55</v>
      </c>
    </row>
    <row r="25" customFormat="false" ht="21.75" hidden="false" customHeight="true" outlineLevel="0" collapsed="false">
      <c r="A25" s="43" t="s">
        <v>56</v>
      </c>
      <c r="B25" s="50" t="n">
        <f aca="false">IFERROR(LOOKUP(2,1/(المدخلات!B4:B15&lt;&gt;""),المدخلات!H4:H15),"")</f>
        <v>70574000</v>
      </c>
      <c r="C25" s="51" t="n">
        <f aca="false">IFERROR(LOOKUP(2,1/(المدخلات!B4:B15&lt;&gt;""),المدخلات!I4:I15),"")</f>
        <v>7360</v>
      </c>
    </row>
    <row r="26" customFormat="false" ht="21.75" hidden="false" customHeight="true" outlineLevel="0" collapsed="false">
      <c r="A26" s="43" t="s">
        <v>57</v>
      </c>
      <c r="B26" s="52" t="n">
        <f aca="false">IFERROR(LOOKUP(2,1/(المدخلات!B4:B15&lt;&gt;""),المدخلات!J4:J15),"")</f>
        <v>5924000</v>
      </c>
      <c r="C26" s="53" t="n">
        <f aca="false">IFERROR(LOOKUP(2,1/(المدخلات!B4:B15&lt;&gt;""),المدخلات!K4:K15),"")</f>
        <v>11459</v>
      </c>
    </row>
    <row r="27" customFormat="false" ht="21.75" hidden="false" customHeight="true" outlineLevel="0" collapsed="false">
      <c r="A27" s="43" t="s">
        <v>58</v>
      </c>
      <c r="B27" s="31" t="n">
        <f aca="false">IFERROR(LOOKUP(2,1/(المدخلات!B4:B15&lt;&gt;""),الحسابات!H3:H14),"")</f>
        <v>64650000</v>
      </c>
      <c r="C27" s="40" t="n">
        <f aca="false">IFERROR(LOOKUP(2,1/(المدخلات!B4:B15&lt;&gt;""),الحسابات!I3:I14),"")</f>
        <v>-4099</v>
      </c>
    </row>
  </sheetData>
  <mergeCells count="11">
    <mergeCell ref="A1:F1"/>
    <mergeCell ref="A2:F2"/>
    <mergeCell ref="A4:A5"/>
    <mergeCell ref="A7:A8"/>
    <mergeCell ref="A10:A11"/>
    <mergeCell ref="A13:A14"/>
    <mergeCell ref="A16:A17"/>
    <mergeCell ref="A19:F19"/>
    <mergeCell ref="D20:F20"/>
    <mergeCell ref="D21:F21"/>
    <mergeCell ref="A23:F23"/>
  </mergeCells>
  <conditionalFormatting sqref="D5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E5">
    <cfRule type="cellIs" priority="4" operator="equal" aboveAverage="0" equalAverage="0" bottom="0" percent="0" rank="0" text="" dxfId="2">
      <formula>"▲  "</formula>
    </cfRule>
    <cfRule type="cellIs" priority="5" operator="equal" aboveAverage="0" equalAverage="0" bottom="0" percent="0" rank="0" text="" dxfId="3">
      <formula>"▼  "</formula>
    </cfRule>
  </conditionalFormatting>
  <conditionalFormatting sqref="B5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D8">
    <cfRule type="cellIs" priority="8" operator="greaterThan" aboveAverage="0" equalAverage="0" bottom="0" percent="0" rank="0" text="" dxfId="2">
      <formula>0</formula>
    </cfRule>
    <cfRule type="cellIs" priority="9" operator="lessThan" aboveAverage="0" equalAverage="0" bottom="0" percent="0" rank="0" text="" dxfId="3">
      <formula>0</formula>
    </cfRule>
  </conditionalFormatting>
  <conditionalFormatting sqref="E8">
    <cfRule type="cellIs" priority="10" operator="equal" aboveAverage="0" equalAverage="0" bottom="0" percent="0" rank="0" text="" dxfId="2">
      <formula>"▲  "</formula>
    </cfRule>
    <cfRule type="cellIs" priority="11" operator="equal" aboveAverage="0" equalAverage="0" bottom="0" percent="0" rank="0" text="" dxfId="3">
      <formula>"▼  "</formula>
    </cfRule>
  </conditionalFormatting>
  <conditionalFormatting sqref="B8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D11">
    <cfRule type="cellIs" priority="14" operator="greaterThan" aboveAverage="0" equalAverage="0" bottom="0" percent="0" rank="0" text="" dxfId="2">
      <formula>0</formula>
    </cfRule>
    <cfRule type="cellIs" priority="15" operator="lessThan" aboveAverage="0" equalAverage="0" bottom="0" percent="0" rank="0" text="" dxfId="3">
      <formula>0</formula>
    </cfRule>
  </conditionalFormatting>
  <conditionalFormatting sqref="E11">
    <cfRule type="cellIs" priority="16" operator="equal" aboveAverage="0" equalAverage="0" bottom="0" percent="0" rank="0" text="" dxfId="2">
      <formula>"▲  "</formula>
    </cfRule>
    <cfRule type="cellIs" priority="17" operator="equal" aboveAverage="0" equalAverage="0" bottom="0" percent="0" rank="0" text="" dxfId="3">
      <formula>"▼  "</formula>
    </cfRule>
  </conditionalFormatting>
  <conditionalFormatting sqref="B11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D14">
    <cfRule type="cellIs" priority="20" operator="greaterThan" aboveAverage="0" equalAverage="0" bottom="0" percent="0" rank="0" text="" dxfId="2">
      <formula>0</formula>
    </cfRule>
    <cfRule type="cellIs" priority="21" operator="lessThan" aboveAverage="0" equalAverage="0" bottom="0" percent="0" rank="0" text="" dxfId="3">
      <formula>0</formula>
    </cfRule>
  </conditionalFormatting>
  <conditionalFormatting sqref="E14">
    <cfRule type="cellIs" priority="22" operator="equal" aboveAverage="0" equalAverage="0" bottom="0" percent="0" rank="0" text="" dxfId="2">
      <formula>"▲  "</formula>
    </cfRule>
    <cfRule type="cellIs" priority="23" operator="equal" aboveAverage="0" equalAverage="0" bottom="0" percent="0" rank="0" text="" dxfId="3">
      <formula>"▼  "</formula>
    </cfRule>
  </conditionalFormatting>
  <conditionalFormatting sqref="B14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D17">
    <cfRule type="cellIs" priority="26" operator="greaterThan" aboveAverage="0" equalAverage="0" bottom="0" percent="0" rank="0" text="" dxfId="2">
      <formula>0</formula>
    </cfRule>
    <cfRule type="cellIs" priority="27" operator="lessThan" aboveAverage="0" equalAverage="0" bottom="0" percent="0" rank="0" text="" dxfId="3">
      <formula>0</formula>
    </cfRule>
  </conditionalFormatting>
  <conditionalFormatting sqref="E17">
    <cfRule type="cellIs" priority="28" operator="equal" aboveAverage="0" equalAverage="0" bottom="0" percent="0" rank="0" text="" dxfId="2">
      <formula>"▲  "</formula>
    </cfRule>
    <cfRule type="cellIs" priority="29" operator="equal" aboveAverage="0" equalAverage="0" bottom="0" percent="0" rank="0" text="" dxfId="3">
      <formula>"▼  "</formula>
    </cfRule>
  </conditionalFormatting>
  <conditionalFormatting sqref="B17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B25:C27">
    <cfRule type="cellIs" priority="32" operator="greaterThan" aboveAverage="0" equalAverage="0" bottom="0" percent="0" rank="0" text="" dxfId="2">
      <formula>0</formula>
    </cfRule>
    <cfRule type="cellIs" priority="33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37.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54" t="s">
        <v>60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customFormat="false" ht="15" hidden="false" customHeight="false" outlineLevel="0" collapsed="false">
      <c r="Q3" s="55" t="s">
        <v>5</v>
      </c>
      <c r="R3" s="55" t="s">
        <v>61</v>
      </c>
      <c r="S3" s="55" t="s">
        <v>62</v>
      </c>
      <c r="T3" s="55" t="s">
        <v>12</v>
      </c>
      <c r="U3" s="55" t="s">
        <v>14</v>
      </c>
      <c r="V3" s="55" t="s">
        <v>35</v>
      </c>
      <c r="W3" s="55" t="s">
        <v>13</v>
      </c>
      <c r="X3" s="55" t="s">
        <v>15</v>
      </c>
      <c r="Y3" s="55" t="s">
        <v>36</v>
      </c>
    </row>
    <row r="4" customFormat="false" ht="15" hidden="false" customHeight="false" outlineLevel="0" collapsed="false">
      <c r="Q4" s="0" t="str">
        <f aca="false">المدخلات!A4</f>
        <v>يناير</v>
      </c>
      <c r="R4" s="56" t="n">
        <f aca="false">IF(المدخلات!D4="","",المدخلات!D4)</f>
        <v>38000000</v>
      </c>
      <c r="S4" s="57" t="n">
        <f aca="false">IF(OR(المدخلات!B4=0,المدخلات!B4=""),"",المدخلات!D4/المدخلات!B4)</f>
        <v>0.319526428199048</v>
      </c>
      <c r="T4" s="56" t="n">
        <f aca="false">IF(المدخلات!H4="","",المدخلات!H4)</f>
        <v>70767000</v>
      </c>
      <c r="U4" s="56" t="n">
        <f aca="false">IF(المدخلات!J4="","",المدخلات!J4)</f>
        <v>4123000</v>
      </c>
      <c r="V4" s="57" t="n">
        <f aca="false">IF(OR(المدخلات!H4="",المدخلات!J4=""),"",المدخلات!H4-المدخلات!J4)</f>
        <v>66644000</v>
      </c>
      <c r="W4" s="58" t="n">
        <f aca="false">IF(المدخلات!I4="","",المدخلات!I4)</f>
        <v>6080</v>
      </c>
      <c r="X4" s="58" t="n">
        <f aca="false">IF(المدخلات!K4="","",المدخلات!K4)</f>
        <v>14534</v>
      </c>
      <c r="Y4" s="57" t="n">
        <f aca="false">IF(OR(المدخلات!I4="",المدخلات!K4=""),"",المدخلات!I4-المدخلات!K4)</f>
        <v>-8454</v>
      </c>
    </row>
    <row r="5" customFormat="false" ht="15" hidden="false" customHeight="false" outlineLevel="0" collapsed="false">
      <c r="Q5" s="0" t="str">
        <f aca="false">المدخلات!A5</f>
        <v>فبراير</v>
      </c>
      <c r="R5" s="56" t="n">
        <f aca="false">IF(المدخلات!D5="","",المدخلات!D5)</f>
        <v>36215000</v>
      </c>
      <c r="S5" s="57" t="n">
        <f aca="false">IF(OR(المدخلات!B5=0,المدخلات!B5=""),"",المدخلات!D5/المدخلات!B5)</f>
        <v>0.412194538977225</v>
      </c>
      <c r="T5" s="56" t="n">
        <f aca="false">IF(المدخلات!H5="","",المدخلات!H5)</f>
        <v>58684000</v>
      </c>
      <c r="U5" s="56" t="n">
        <f aca="false">IF(المدخلات!J5="","",المدخلات!J5)</f>
        <v>3838000</v>
      </c>
      <c r="V5" s="57" t="n">
        <f aca="false">IF(OR(المدخلات!H5="",المدخلات!J5=""),"",المدخلات!H5-المدخلات!J5)</f>
        <v>54846000</v>
      </c>
      <c r="W5" s="58" t="n">
        <f aca="false">IF(المدخلات!I5="","",المدخلات!I5)</f>
        <v>5052</v>
      </c>
      <c r="X5" s="58" t="n">
        <f aca="false">IF(المدخلات!K5="","",المدخلات!K5)</f>
        <v>12974</v>
      </c>
      <c r="Y5" s="57" t="n">
        <f aca="false">IF(OR(المدخلات!I5="",المدخلات!K5=""),"",المدخلات!I5-المدخلات!K5)</f>
        <v>-7922</v>
      </c>
    </row>
    <row r="6" customFormat="false" ht="15" hidden="false" customHeight="false" outlineLevel="0" collapsed="false">
      <c r="Q6" s="0" t="str">
        <f aca="false">المدخلات!A6</f>
        <v>مارس</v>
      </c>
      <c r="R6" s="56" t="n">
        <f aca="false">IF(المدخلات!D6="","",المدخلات!D6)</f>
        <v>37203000</v>
      </c>
      <c r="S6" s="57" t="n">
        <f aca="false">IF(OR(المدخلات!B6=0,المدخلات!B6=""),"",المدخلات!D6/المدخلات!B6)</f>
        <v>0.352825697296169</v>
      </c>
      <c r="T6" s="56" t="n">
        <f aca="false">IF(المدخلات!H6="","",المدخلات!H6)</f>
        <v>66327000</v>
      </c>
      <c r="U6" s="56" t="n">
        <f aca="false">IF(المدخلات!J6="","",المدخلات!J6)</f>
        <v>4536000</v>
      </c>
      <c r="V6" s="57" t="n">
        <f aca="false">IF(OR(المدخلات!H6="",المدخلات!J6=""),"",المدخلات!H6-المدخلات!J6)</f>
        <v>61791000</v>
      </c>
      <c r="W6" s="58" t="n">
        <f aca="false">IF(المدخلات!I6="","",المدخلات!I6)</f>
        <v>5156</v>
      </c>
      <c r="X6" s="58" t="n">
        <f aca="false">IF(المدخلات!K6="","",المدخلات!K6)</f>
        <v>12826</v>
      </c>
      <c r="Y6" s="57" t="n">
        <f aca="false">IF(OR(المدخلات!I6="",المدخلات!K6=""),"",المدخلات!I6-المدخلات!K6)</f>
        <v>-7670</v>
      </c>
    </row>
    <row r="7" customFormat="false" ht="15" hidden="false" customHeight="false" outlineLevel="0" collapsed="false">
      <c r="Q7" s="0" t="str">
        <f aca="false">المدخلات!A7</f>
        <v>أبريل</v>
      </c>
      <c r="R7" s="56" t="n">
        <f aca="false">IF(المدخلات!D7="","",المدخلات!D7)</f>
        <v>38371000</v>
      </c>
      <c r="S7" s="57" t="n">
        <f aca="false">IF(OR(المدخلات!B7=0,المدخلات!B7=""),"",المدخلات!D7/المدخلات!B7)</f>
        <v>0.230192391910781</v>
      </c>
      <c r="T7" s="56" t="n">
        <f aca="false">IF(المدخلات!H7="","",المدخلات!H7)</f>
        <v>70574000</v>
      </c>
      <c r="U7" s="56" t="n">
        <f aca="false">IF(المدخلات!J7="","",المدخلات!J7)</f>
        <v>5924000</v>
      </c>
      <c r="V7" s="57" t="n">
        <f aca="false">IF(OR(المدخلات!H7="",المدخلات!J7=""),"",المدخلات!H7-المدخلات!J7)</f>
        <v>64650000</v>
      </c>
      <c r="W7" s="58" t="n">
        <f aca="false">IF(المدخلات!I7="","",المدخلات!I7)</f>
        <v>7360</v>
      </c>
      <c r="X7" s="58" t="n">
        <f aca="false">IF(المدخلات!K7="","",المدخلات!K7)</f>
        <v>11459</v>
      </c>
      <c r="Y7" s="57" t="n">
        <f aca="false">IF(OR(المدخلات!I7="",المدخلات!K7=""),"",المدخلات!I7-المدخلات!K7)</f>
        <v>-4099</v>
      </c>
    </row>
    <row r="8" customFormat="false" ht="15" hidden="false" customHeight="false" outlineLevel="0" collapsed="false">
      <c r="Q8" s="0" t="str">
        <f aca="false">المدخلات!A8</f>
        <v>مايو</v>
      </c>
      <c r="R8" s="0" t="str">
        <f aca="false">IF(المدخلات!D8="","",المدخلات!D8)</f>
        <v/>
      </c>
      <c r="S8" s="0" t="str">
        <f aca="false">IF(OR(المدخلات!B8=0,المدخلات!B8=""),"",المدخلات!D8/المدخلات!B8)</f>
        <v/>
      </c>
      <c r="T8" s="0" t="str">
        <f aca="false">IF(المدخلات!H8="","",المدخلات!H8)</f>
        <v/>
      </c>
      <c r="U8" s="0" t="str">
        <f aca="false">IF(المدخلات!J8="","",المدخلات!J8)</f>
        <v/>
      </c>
      <c r="V8" s="0" t="str">
        <f aca="false">IF(OR(المدخلات!H8="",المدخلات!J8=""),"",المدخلات!H8-المدخلات!J8)</f>
        <v/>
      </c>
      <c r="W8" s="0" t="str">
        <f aca="false">IF(المدخلات!I8="","",المدخلات!I8)</f>
        <v/>
      </c>
      <c r="X8" s="0" t="str">
        <f aca="false">IF(المدخلات!K8="","",المدخلات!K8)</f>
        <v/>
      </c>
      <c r="Y8" s="0" t="str">
        <f aca="false">IF(OR(المدخلات!I8="",المدخلات!K8=""),"",المدخلات!I8-المدخلات!K8)</f>
        <v/>
      </c>
    </row>
    <row r="9" customFormat="false" ht="15" hidden="false" customHeight="false" outlineLevel="0" collapsed="false">
      <c r="Q9" s="0" t="str">
        <f aca="false">المدخلات!A9</f>
        <v>يونيو</v>
      </c>
      <c r="R9" s="0" t="str">
        <f aca="false">IF(المدخلات!D9="","",المدخلات!D9)</f>
        <v/>
      </c>
      <c r="S9" s="0" t="str">
        <f aca="false">IF(OR(المدخلات!B9=0,المدخلات!B9=""),"",المدخلات!D9/المدخلات!B9)</f>
        <v/>
      </c>
      <c r="T9" s="0" t="str">
        <f aca="false">IF(المدخلات!H9="","",المدخلات!H9)</f>
        <v/>
      </c>
      <c r="U9" s="0" t="str">
        <f aca="false">IF(المدخلات!J9="","",المدخلات!J9)</f>
        <v/>
      </c>
      <c r="V9" s="0" t="str">
        <f aca="false">IF(OR(المدخلات!H9="",المدخلات!J9=""),"",المدخلات!H9-المدخلات!J9)</f>
        <v/>
      </c>
      <c r="W9" s="0" t="str">
        <f aca="false">IF(المدخلات!I9="","",المدخلات!I9)</f>
        <v/>
      </c>
      <c r="X9" s="0" t="str">
        <f aca="false">IF(المدخلات!K9="","",المدخلات!K9)</f>
        <v/>
      </c>
      <c r="Y9" s="0" t="str">
        <f aca="false">IF(OR(المدخلات!I9="",المدخلات!K9=""),"",المدخلات!I9-المدخلات!K9)</f>
        <v/>
      </c>
    </row>
    <row r="10" customFormat="false" ht="15" hidden="false" customHeight="false" outlineLevel="0" collapsed="false">
      <c r="Q10" s="0" t="str">
        <f aca="false">المدخلات!A10</f>
        <v>يوليو</v>
      </c>
      <c r="R10" s="0" t="str">
        <f aca="false">IF(المدخلات!D10="","",المدخلات!D10)</f>
        <v/>
      </c>
      <c r="S10" s="0" t="str">
        <f aca="false">IF(OR(المدخلات!B10=0,المدخلات!B10=""),"",المدخلات!D10/المدخلات!B10)</f>
        <v/>
      </c>
      <c r="T10" s="0" t="str">
        <f aca="false">IF(المدخلات!H10="","",المدخلات!H10)</f>
        <v/>
      </c>
      <c r="U10" s="0" t="str">
        <f aca="false">IF(المدخلات!J10="","",المدخلات!J10)</f>
        <v/>
      </c>
      <c r="V10" s="0" t="str">
        <f aca="false">IF(OR(المدخلات!H10="",المدخلات!J10=""),"",المدخلات!H10-المدخلات!J10)</f>
        <v/>
      </c>
      <c r="W10" s="0" t="str">
        <f aca="false">IF(المدخلات!I10="","",المدخلات!I10)</f>
        <v/>
      </c>
      <c r="X10" s="0" t="str">
        <f aca="false">IF(المدخلات!K10="","",المدخلات!K10)</f>
        <v/>
      </c>
      <c r="Y10" s="0" t="str">
        <f aca="false">IF(OR(المدخلات!I10="",المدخلات!K10=""),"",المدخلات!I10-المدخلات!K10)</f>
        <v/>
      </c>
    </row>
    <row r="11" customFormat="false" ht="15" hidden="false" customHeight="false" outlineLevel="0" collapsed="false">
      <c r="Q11" s="0" t="str">
        <f aca="false">المدخلات!A11</f>
        <v>أغسطس</v>
      </c>
      <c r="R11" s="0" t="str">
        <f aca="false">IF(المدخلات!D11="","",المدخلات!D11)</f>
        <v/>
      </c>
      <c r="S11" s="0" t="str">
        <f aca="false">IF(OR(المدخلات!B11=0,المدخلات!B11=""),"",المدخلات!D11/المدخلات!B11)</f>
        <v/>
      </c>
      <c r="T11" s="0" t="str">
        <f aca="false">IF(المدخلات!H11="","",المدخلات!H11)</f>
        <v/>
      </c>
      <c r="U11" s="0" t="str">
        <f aca="false">IF(المدخلات!J11="","",المدخلات!J11)</f>
        <v/>
      </c>
      <c r="V11" s="0" t="str">
        <f aca="false">IF(OR(المدخلات!H11="",المدخلات!J11=""),"",المدخلات!H11-المدخلات!J11)</f>
        <v/>
      </c>
      <c r="W11" s="0" t="str">
        <f aca="false">IF(المدخلات!I11="","",المدخلات!I11)</f>
        <v/>
      </c>
      <c r="X11" s="0" t="str">
        <f aca="false">IF(المدخلات!K11="","",المدخلات!K11)</f>
        <v/>
      </c>
      <c r="Y11" s="0" t="str">
        <f aca="false">IF(OR(المدخلات!I11="",المدخلات!K11=""),"",المدخلات!I11-المدخلات!K11)</f>
        <v/>
      </c>
    </row>
    <row r="12" customFormat="false" ht="15" hidden="false" customHeight="false" outlineLevel="0" collapsed="false">
      <c r="Q12" s="0" t="str">
        <f aca="false">المدخلات!A12</f>
        <v>سبتمبر</v>
      </c>
      <c r="R12" s="0" t="str">
        <f aca="false">IF(المدخلات!D12="","",المدخلات!D12)</f>
        <v/>
      </c>
      <c r="S12" s="0" t="str">
        <f aca="false">IF(OR(المدخلات!B12=0,المدخلات!B12=""),"",المدخلات!D12/المدخلات!B12)</f>
        <v/>
      </c>
      <c r="T12" s="0" t="str">
        <f aca="false">IF(المدخلات!H12="","",المدخلات!H12)</f>
        <v/>
      </c>
      <c r="U12" s="0" t="str">
        <f aca="false">IF(المدخلات!J12="","",المدخلات!J12)</f>
        <v/>
      </c>
      <c r="V12" s="0" t="str">
        <f aca="false">IF(OR(المدخلات!H12="",المدخلات!J12=""),"",المدخلات!H12-المدخلات!J12)</f>
        <v/>
      </c>
      <c r="W12" s="0" t="str">
        <f aca="false">IF(المدخلات!I12="","",المدخلات!I12)</f>
        <v/>
      </c>
      <c r="X12" s="0" t="str">
        <f aca="false">IF(المدخلات!K12="","",المدخلات!K12)</f>
        <v/>
      </c>
      <c r="Y12" s="0" t="str">
        <f aca="false">IF(OR(المدخلات!I12="",المدخلات!K12=""),"",المدخلات!I12-المدخلات!K12)</f>
        <v/>
      </c>
    </row>
    <row r="13" customFormat="false" ht="15" hidden="false" customHeight="false" outlineLevel="0" collapsed="false">
      <c r="Q13" s="0" t="str">
        <f aca="false">المدخلات!A13</f>
        <v>أكتوبر</v>
      </c>
      <c r="R13" s="0" t="str">
        <f aca="false">IF(المدخلات!D13="","",المدخلات!D13)</f>
        <v/>
      </c>
      <c r="S13" s="0" t="str">
        <f aca="false">IF(OR(المدخلات!B13=0,المدخلات!B13=""),"",المدخلات!D13/المدخلات!B13)</f>
        <v/>
      </c>
      <c r="T13" s="0" t="str">
        <f aca="false">IF(المدخلات!H13="","",المدخلات!H13)</f>
        <v/>
      </c>
      <c r="U13" s="0" t="str">
        <f aca="false">IF(المدخلات!J13="","",المدخلات!J13)</f>
        <v/>
      </c>
      <c r="V13" s="0" t="str">
        <f aca="false">IF(OR(المدخلات!H13="",المدخلات!J13=""),"",المدخلات!H13-المدخلات!J13)</f>
        <v/>
      </c>
      <c r="W13" s="0" t="str">
        <f aca="false">IF(المدخلات!I13="","",المدخلات!I13)</f>
        <v/>
      </c>
      <c r="X13" s="0" t="str">
        <f aca="false">IF(المدخلات!K13="","",المدخلات!K13)</f>
        <v/>
      </c>
      <c r="Y13" s="0" t="str">
        <f aca="false">IF(OR(المدخلات!I13="",المدخلات!K13=""),"",المدخلات!I13-المدخلات!K13)</f>
        <v/>
      </c>
    </row>
    <row r="14" customFormat="false" ht="15" hidden="false" customHeight="false" outlineLevel="0" collapsed="false">
      <c r="Q14" s="0" t="str">
        <f aca="false">المدخلات!A14</f>
        <v>نوفمبر</v>
      </c>
      <c r="R14" s="56" t="str">
        <f aca="false">IF(المدخلات!D14="","",المدخلات!D14)</f>
        <v/>
      </c>
      <c r="S14" s="0" t="str">
        <f aca="false">IF(OR(المدخلات!B14=0,المدخلات!B14=""),"",المدخلات!D14/المدخلات!B14)</f>
        <v/>
      </c>
      <c r="T14" s="56" t="str">
        <f aca="false">IF(المدخلات!H14="","",المدخلات!H14)</f>
        <v/>
      </c>
      <c r="U14" s="56" t="str">
        <f aca="false">IF(المدخلات!J14="","",المدخلات!J14)</f>
        <v/>
      </c>
      <c r="V14" s="0" t="str">
        <f aca="false">IF(OR(المدخلات!H14="",المدخلات!J14=""),"",المدخلات!H14-المدخلات!J14)</f>
        <v/>
      </c>
      <c r="W14" s="0" t="str">
        <f aca="false">IF(المدخلات!I14="","",المدخلات!I14)</f>
        <v/>
      </c>
      <c r="X14" s="0" t="str">
        <f aca="false">IF(المدخلات!K14="","",المدخلات!K14)</f>
        <v/>
      </c>
      <c r="Y14" s="0" t="str">
        <f aca="false">IF(OR(المدخلات!I14="",المدخلات!K14=""),"",المدخلات!I14-المدخلات!K14)</f>
        <v/>
      </c>
    </row>
    <row r="15" customFormat="false" ht="15" hidden="false" customHeight="false" outlineLevel="0" collapsed="false">
      <c r="Q15" s="0" t="str">
        <f aca="false">المدخلات!A15</f>
        <v>ديسمبر</v>
      </c>
      <c r="R15" s="56" t="str">
        <f aca="false">IF(المدخلات!D15="","",المدخلات!D15)</f>
        <v/>
      </c>
      <c r="S15" s="0" t="str">
        <f aca="false">IF(OR(المدخلات!B15=0,المدخلات!B15=""),"",المدخلات!D15/المدخلات!B15)</f>
        <v/>
      </c>
      <c r="T15" s="56" t="str">
        <f aca="false">IF(المدخلات!H15="","",المدخلات!H15)</f>
        <v/>
      </c>
      <c r="U15" s="56" t="str">
        <f aca="false">IF(المدخلات!J15="","",المدخلات!J15)</f>
        <v/>
      </c>
      <c r="V15" s="0" t="str">
        <f aca="false">IF(OR(المدخلات!H15="",المدخلات!J15=""),"",المدخلات!H15-المدخلات!J15)</f>
        <v/>
      </c>
      <c r="W15" s="0" t="str">
        <f aca="false">IF(المدخلات!I15="","",المدخلات!I15)</f>
        <v/>
      </c>
      <c r="X15" s="0" t="str">
        <f aca="false">IF(المدخلات!K15="","",المدخلات!K15)</f>
        <v/>
      </c>
      <c r="Y15" s="0" t="str">
        <f aca="false">IF(OR(المدخلات!I15="",المدخلات!K15=""),"",المدخلات!I15-المدخلات!K15)</f>
        <v/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true" tabSelected="false" showOutlineSymbols="true" defaultGridColor="true" view="normal" topLeftCell="A9" colorId="64" zoomScale="100" zoomScaleNormal="100" zoomScalePageLayoutView="100" workbookViewId="0">
      <selection pane="topLeft" activeCell="F4" activeCellId="0" sqref="F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37.5" hidden="false" customHeight="true" outlineLevel="0" collapsed="false">
      <c r="A1" s="1" t="s">
        <v>63</v>
      </c>
      <c r="B1" s="1"/>
      <c r="C1" s="1"/>
      <c r="D1" s="1"/>
    </row>
    <row r="2" customFormat="false" ht="25.5" hidden="false" customHeight="true" outlineLevel="0" collapsed="false">
      <c r="A2" s="29" t="str">
        <f aca="false">"📅 تقرير شهر: "&amp;IFERROR(LOOKUP(2,1/(المدخلات!B4:B15&lt;&gt;""),المدخلات!A4:A15),"")</f>
        <v>📅 تقرير شهر: أبريل</v>
      </c>
      <c r="B2" s="29"/>
      <c r="C2" s="29"/>
      <c r="D2" s="29"/>
    </row>
    <row r="4" customFormat="false" ht="25.5" hidden="false" customHeight="true" outlineLevel="0" collapsed="false">
      <c r="A4" s="59" t="s">
        <v>64</v>
      </c>
      <c r="B4" s="59"/>
      <c r="C4" s="59"/>
      <c r="D4" s="59"/>
    </row>
    <row r="5" customFormat="false" ht="19.5" hidden="false" customHeight="true" outlineLevel="0" collapsed="false">
      <c r="A5" s="60" t="s">
        <v>54</v>
      </c>
      <c r="B5" s="60" t="s">
        <v>65</v>
      </c>
      <c r="C5" s="60" t="s">
        <v>44</v>
      </c>
      <c r="D5" s="60" t="s">
        <v>66</v>
      </c>
    </row>
    <row r="6" customFormat="false" ht="21.75" hidden="false" customHeight="true" outlineLevel="0" collapsed="false">
      <c r="A6" s="61" t="s">
        <v>67</v>
      </c>
      <c r="B6" s="62" t="n">
        <f aca="false">IFERROR(LOOKUP(2,1/(المدخلات!B4:B15&lt;&gt;""),المدخلات!B4:B15),"")</f>
        <v>166691000</v>
      </c>
      <c r="C6" s="63" t="str">
        <f aca="false">IF(B6="","",IF(B6&gt;0,"✅","🔴"))</f>
        <v>✅</v>
      </c>
    </row>
    <row r="7" customFormat="false" ht="21.75" hidden="false" customHeight="true" outlineLevel="0" collapsed="false">
      <c r="A7" s="43" t="s">
        <v>68</v>
      </c>
      <c r="B7" s="64" t="n">
        <f aca="false">IFERROR(LOOKUP(2,1/(المدخلات!B4:B15&lt;&gt;""),المدخلات!C4:C15),"")</f>
        <v>91555000</v>
      </c>
      <c r="C7" s="65" t="str">
        <f aca="false">IF(B7="","",IF(B7&gt;0,"✅","🔴"))</f>
        <v>✅</v>
      </c>
    </row>
    <row r="8" customFormat="false" ht="21.75" hidden="false" customHeight="true" outlineLevel="0" collapsed="false">
      <c r="A8" s="61" t="s">
        <v>61</v>
      </c>
      <c r="B8" s="62" t="n">
        <f aca="false">IFERROR(LOOKUP(2,1/(المدخلات!B4:B15&lt;&gt;""),المدخلات!D4:D15),"")</f>
        <v>38371000</v>
      </c>
      <c r="C8" s="63" t="str">
        <f aca="false">IF(B8="","",IF(B8&gt;0,"✅","🔴"))</f>
        <v>✅</v>
      </c>
    </row>
    <row r="9" customFormat="false" ht="21.75" hidden="false" customHeight="true" outlineLevel="0" collapsed="false">
      <c r="A9" s="43" t="s">
        <v>69</v>
      </c>
      <c r="B9" s="64" t="n">
        <f aca="false">IFERROR(LOOKUP(2,1/(المدخلات!B4:B15&lt;&gt;""),الحسابات!B3:B14),"")</f>
        <v>36765000</v>
      </c>
      <c r="C9" s="65" t="str">
        <f aca="false">IF(B9="","",IF(B9&gt;0,"✅","🔴"))</f>
        <v>✅</v>
      </c>
    </row>
    <row r="10" customFormat="false" ht="21.75" hidden="false" customHeight="true" outlineLevel="0" collapsed="false">
      <c r="A10" s="61" t="s">
        <v>50</v>
      </c>
      <c r="B10" s="62" t="n">
        <f aca="false">IFERROR(LOOKUP(2,1/(المدخلات!B4:B15&lt;&gt;""),المدخلات!F4:F15),"")</f>
        <v>1436000</v>
      </c>
      <c r="C10" s="63" t="str">
        <f aca="false">IF(B10="","",IF(B10&gt;0,"✅","🔴"))</f>
        <v>✅</v>
      </c>
    </row>
    <row r="11" customFormat="false" ht="21.75" hidden="false" customHeight="true" outlineLevel="0" collapsed="false">
      <c r="A11" s="43" t="s">
        <v>70</v>
      </c>
      <c r="B11" s="64" t="n">
        <f aca="false">IFERROR(LOOKUP(2,1/(المدخلات!B4:B15&lt;&gt;""),المدخلات!H4:H15),"")</f>
        <v>70574000</v>
      </c>
      <c r="C11" s="65" t="str">
        <f aca="false">IF(B11="","",IF(B11&gt;0,"✅","🔴"))</f>
        <v>✅</v>
      </c>
    </row>
    <row r="12" customFormat="false" ht="21.75" hidden="false" customHeight="true" outlineLevel="0" collapsed="false">
      <c r="A12" s="61" t="s">
        <v>71</v>
      </c>
      <c r="B12" s="62" t="n">
        <f aca="false">IFERROR(LOOKUP(2,1/(المدخلات!B4:B15&lt;&gt;""),المدخلات!J4:J15),"")</f>
        <v>5924000</v>
      </c>
      <c r="C12" s="63" t="str">
        <f aca="false">IF(B12="","",IF(B12&gt;0,"✅","🔴"))</f>
        <v>✅</v>
      </c>
    </row>
    <row r="13" customFormat="false" ht="21.75" hidden="false" customHeight="true" outlineLevel="0" collapsed="false">
      <c r="A13" s="43" t="s">
        <v>58</v>
      </c>
      <c r="B13" s="64" t="n">
        <f aca="false">IFERROR(LOOKUP(2,1/(المدخلات!B4:B15&lt;&gt;""),الحسابات!H3:H14),"")</f>
        <v>64650000</v>
      </c>
      <c r="C13" s="65" t="str">
        <f aca="false">IF(B13="","",IF(B13&gt;0,"✅","🔴"))</f>
        <v>✅</v>
      </c>
    </row>
    <row r="15" customFormat="false" ht="25.5" hidden="false" customHeight="true" outlineLevel="0" collapsed="false">
      <c r="A15" s="42" t="s">
        <v>72</v>
      </c>
      <c r="B15" s="42"/>
      <c r="C15" s="42"/>
      <c r="D15" s="42"/>
    </row>
    <row r="16" customFormat="false" ht="19.5" hidden="false" customHeight="true" outlineLevel="0" collapsed="false">
      <c r="A16" s="66" t="s">
        <v>54</v>
      </c>
      <c r="B16" s="66" t="s">
        <v>65</v>
      </c>
      <c r="C16" s="66" t="s">
        <v>44</v>
      </c>
      <c r="D16" s="66" t="s">
        <v>66</v>
      </c>
    </row>
    <row r="17" customFormat="false" ht="21.75" hidden="false" customHeight="true" outlineLevel="0" collapsed="false">
      <c r="A17" s="61" t="s">
        <v>50</v>
      </c>
      <c r="B17" s="67" t="n">
        <f aca="false">IFERROR(LOOKUP(2,1/(المدخلات!B4:B15&lt;&gt;""),المدخلات!G4:G15),"")</f>
        <v>295</v>
      </c>
      <c r="C17" s="63" t="str">
        <f aca="false">IF(B17="","",IF(B17&gt;0,"✅","🔴"))</f>
        <v>✅</v>
      </c>
    </row>
    <row r="18" customFormat="false" ht="21.75" hidden="false" customHeight="true" outlineLevel="0" collapsed="false">
      <c r="A18" s="43" t="s">
        <v>70</v>
      </c>
      <c r="B18" s="68" t="n">
        <f aca="false">IFERROR(LOOKUP(2,1/(المدخلات!B4:B15&lt;&gt;""),المدخلات!I4:I15),"")</f>
        <v>7360</v>
      </c>
      <c r="C18" s="65" t="str">
        <f aca="false">IF(B18="","",IF(B18&gt;0,"✅","🔴"))</f>
        <v>✅</v>
      </c>
    </row>
    <row r="19" customFormat="false" ht="21.75" hidden="false" customHeight="true" outlineLevel="0" collapsed="false">
      <c r="A19" s="61" t="s">
        <v>71</v>
      </c>
      <c r="B19" s="67" t="n">
        <f aca="false">IFERROR(LOOKUP(2,1/(المدخلات!B4:B15&lt;&gt;""),المدخلات!K4:K15),"")</f>
        <v>11459</v>
      </c>
      <c r="C19" s="63" t="str">
        <f aca="false">IF(B19="","",IF(B19&gt;0,"✅","🔴"))</f>
        <v>✅</v>
      </c>
    </row>
    <row r="20" customFormat="false" ht="21.75" hidden="false" customHeight="true" outlineLevel="0" collapsed="false">
      <c r="A20" s="43" t="s">
        <v>58</v>
      </c>
      <c r="B20" s="68" t="n">
        <f aca="false">IFERROR(LOOKUP(2,1/(المدخلات!B4:B15&lt;&gt;""),الحسابات!I3:I14),"")</f>
        <v>-4099</v>
      </c>
      <c r="C20" s="65" t="str">
        <f aca="false">IF(B20="","",IF(B20&gt;0,"✅","🔴"))</f>
        <v>🔴</v>
      </c>
    </row>
  </sheetData>
  <mergeCells count="4">
    <mergeCell ref="A1:D1"/>
    <mergeCell ref="A2:D2"/>
    <mergeCell ref="A4:D4"/>
    <mergeCell ref="A15:D15"/>
  </mergeCells>
  <conditionalFormatting sqref="B6:B13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B17:B20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2026-05-02T14:01:29Z</dcterms:created>
  <dc:creator>openpyxl</dc:creator>
  <dc:description/>
  <dc:language>en-US</dc:language>
  <cp:lastModifiedBy/>
  <dcterms:modified xsi:type="dcterms:W3CDTF">2026-05-02T14:47:53Z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
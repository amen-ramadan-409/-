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E0E9F075-D840-4165-83BD-5B2D9F38AE8D}" xr6:coauthVersionLast="47" xr6:coauthVersionMax="47" xr10:uidLastSave="{00000000-0000-0000-0000-000000000000}"/>
  <bookViews>
    <workbookView xWindow="-120" yWindow="-120" windowWidth="20730" windowHeight="11160" tabRatio="500" firstSheet="3" activeTab="10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D30" i="13"/>
  <c r="C30" i="13"/>
  <c r="B30" i="13"/>
  <c r="C29" i="13"/>
  <c r="B29" i="13"/>
  <c r="F28" i="13"/>
  <c r="C28" i="13"/>
  <c r="B28" i="13"/>
  <c r="C27" i="13"/>
  <c r="B27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N14" i="1" s="1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E27" i="13" s="1"/>
  <c r="AI13" i="13"/>
  <c r="AG13" i="13"/>
  <c r="AH13" i="13" s="1"/>
  <c r="G27" i="13" s="1"/>
  <c r="AF13" i="13"/>
  <c r="D27" i="13" s="1"/>
  <c r="A13" i="13"/>
  <c r="AK12" i="13"/>
  <c r="H26" i="13" s="1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0" i="12"/>
  <c r="B30" i="12"/>
  <c r="D29" i="12"/>
  <c r="C29" i="12"/>
  <c r="B29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M13" i="1" s="1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G28" i="12" s="1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C30" i="11"/>
  <c r="B30" i="11"/>
  <c r="F29" i="11"/>
  <c r="D29" i="11"/>
  <c r="C29" i="11"/>
  <c r="B29" i="11"/>
  <c r="C28" i="11"/>
  <c r="B28" i="11"/>
  <c r="F27" i="11"/>
  <c r="C27" i="11"/>
  <c r="B27" i="11"/>
  <c r="C26" i="11"/>
  <c r="B26" i="11"/>
  <c r="F25" i="11"/>
  <c r="C25" i="11"/>
  <c r="B25" i="11"/>
  <c r="C24" i="11"/>
  <c r="B24" i="11"/>
  <c r="F23" i="11"/>
  <c r="C23" i="11"/>
  <c r="B23" i="11"/>
  <c r="C22" i="11"/>
  <c r="B22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E30" i="11" s="1"/>
  <c r="AI16" i="11"/>
  <c r="AG16" i="11"/>
  <c r="AF16" i="11"/>
  <c r="D30" i="11" s="1"/>
  <c r="A16" i="11"/>
  <c r="AK15" i="11"/>
  <c r="H29" i="11" s="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E28" i="11" s="1"/>
  <c r="AI14" i="11"/>
  <c r="AG14" i="11"/>
  <c r="AF14" i="11"/>
  <c r="D28" i="11" s="1"/>
  <c r="A14" i="11"/>
  <c r="AK13" i="11"/>
  <c r="L11" i="1" s="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E26" i="11" s="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G8" i="11"/>
  <c r="F22" i="11" s="1"/>
  <c r="AF8" i="11"/>
  <c r="AJ8" i="11" s="1"/>
  <c r="E22" i="11" s="1"/>
  <c r="A8" i="11"/>
  <c r="AG7" i="11"/>
  <c r="F21" i="11" s="1"/>
  <c r="AF7" i="11"/>
  <c r="D21" i="11" s="1"/>
  <c r="A7" i="11"/>
  <c r="C30" i="10"/>
  <c r="B30" i="10"/>
  <c r="D29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H29" i="10" s="1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G24" i="10" s="1"/>
  <c r="AH10" i="10"/>
  <c r="F24" i="10" s="1"/>
  <c r="AG10" i="10"/>
  <c r="D24" i="10" s="1"/>
  <c r="A10" i="10"/>
  <c r="AH9" i="10"/>
  <c r="AI9" i="10" s="1"/>
  <c r="AG9" i="10"/>
  <c r="AK9" i="10" s="1"/>
  <c r="E23" i="10" s="1"/>
  <c r="A9" i="10"/>
  <c r="AH8" i="10"/>
  <c r="AG8" i="10"/>
  <c r="A8" i="10"/>
  <c r="AH7" i="10"/>
  <c r="AI7" i="10" s="1"/>
  <c r="AG7" i="10"/>
  <c r="D21" i="10" s="1"/>
  <c r="A7" i="10"/>
  <c r="D30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H30" i="9" s="1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H26" i="9" s="1"/>
  <c r="AK12" i="9"/>
  <c r="E26" i="9" s="1"/>
  <c r="AJ12" i="9"/>
  <c r="AI12" i="9"/>
  <c r="G26" i="9" s="1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C30" i="8"/>
  <c r="B30" i="8"/>
  <c r="F29" i="8"/>
  <c r="D29" i="8"/>
  <c r="C29" i="8"/>
  <c r="B29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G30" i="8" s="1"/>
  <c r="AF16" i="8"/>
  <c r="D30" i="8" s="1"/>
  <c r="A16" i="8"/>
  <c r="AK15" i="8"/>
  <c r="I13" i="1" s="1"/>
  <c r="AJ15" i="8"/>
  <c r="E29" i="8" s="1"/>
  <c r="AI15" i="8"/>
  <c r="AH15" i="8"/>
  <c r="G29" i="8" s="1"/>
  <c r="AG15" i="8"/>
  <c r="AF15" i="8"/>
  <c r="A15" i="8"/>
  <c r="AK14" i="8"/>
  <c r="H28" i="8" s="1"/>
  <c r="AJ14" i="8"/>
  <c r="E28" i="8" s="1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D29" i="7"/>
  <c r="C29" i="7"/>
  <c r="B29" i="7"/>
  <c r="C28" i="7"/>
  <c r="B28" i="7"/>
  <c r="C27" i="7"/>
  <c r="B27" i="7"/>
  <c r="C26" i="7"/>
  <c r="B26" i="7"/>
  <c r="D25" i="7"/>
  <c r="C25" i="7"/>
  <c r="B25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H29" i="7" s="1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E26" i="7" s="1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G24" i="7" s="1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H27" i="6" s="1"/>
  <c r="AJ13" i="6"/>
  <c r="E27" i="6" s="1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G7" i="6"/>
  <c r="AH7" i="6" s="1"/>
  <c r="AF7" i="6"/>
  <c r="A7" i="6"/>
  <c r="C30" i="5"/>
  <c r="B30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AJ16" i="5"/>
  <c r="AH16" i="5"/>
  <c r="F30" i="5" s="1"/>
  <c r="AG16" i="5"/>
  <c r="D30" i="5" s="1"/>
  <c r="A16" i="5"/>
  <c r="AL15" i="5"/>
  <c r="H29" i="5" s="1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C30" i="4"/>
  <c r="B30" i="4"/>
  <c r="F29" i="4"/>
  <c r="C29" i="4"/>
  <c r="B29" i="4"/>
  <c r="C28" i="4"/>
  <c r="B28" i="4"/>
  <c r="C27" i="4"/>
  <c r="B27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H30" i="4" s="1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E28" i="4" s="1"/>
  <c r="AG14" i="4"/>
  <c r="AE14" i="4"/>
  <c r="F28" i="4" s="1"/>
  <c r="AD14" i="4"/>
  <c r="D28" i="4" s="1"/>
  <c r="A14" i="4"/>
  <c r="AI13" i="4"/>
  <c r="H27" i="4" s="1"/>
  <c r="AH13" i="4"/>
  <c r="AG13" i="4"/>
  <c r="AE13" i="4"/>
  <c r="F27" i="4" s="1"/>
  <c r="AD13" i="4"/>
  <c r="D27" i="4" s="1"/>
  <c r="A13" i="4"/>
  <c r="AI12" i="4"/>
  <c r="H26" i="4" s="1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D28" i="3"/>
  <c r="C28" i="3"/>
  <c r="B28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AJ15" i="3"/>
  <c r="AH15" i="3"/>
  <c r="AI15" i="3" s="1"/>
  <c r="G29" i="3" s="1"/>
  <c r="AG15" i="3"/>
  <c r="D29" i="3" s="1"/>
  <c r="A15" i="3"/>
  <c r="AL14" i="3"/>
  <c r="H28" i="3" s="1"/>
  <c r="AK14" i="3"/>
  <c r="E28" i="3" s="1"/>
  <c r="AJ14" i="3"/>
  <c r="AH14" i="3"/>
  <c r="AI14" i="3" s="1"/>
  <c r="G28" i="3" s="1"/>
  <c r="AG14" i="3"/>
  <c r="A14" i="3"/>
  <c r="AL13" i="3"/>
  <c r="H27" i="3" s="1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4" i="1"/>
  <c r="B14" i="1"/>
  <c r="O13" i="1"/>
  <c r="L13" i="1"/>
  <c r="C13" i="1"/>
  <c r="B13" i="1"/>
  <c r="J12" i="1"/>
  <c r="C12" i="1"/>
  <c r="B12" i="1"/>
  <c r="O11" i="1"/>
  <c r="I11" i="1"/>
  <c r="C11" i="1"/>
  <c r="B11" i="1"/>
  <c r="O10" i="1"/>
  <c r="C10" i="1"/>
  <c r="B10" i="1"/>
  <c r="C9" i="1"/>
  <c r="B9" i="1"/>
  <c r="C8" i="1"/>
  <c r="B8" i="1"/>
  <c r="C7" i="1"/>
  <c r="B7" i="1"/>
  <c r="C6" i="1"/>
  <c r="B6" i="1"/>
  <c r="C5" i="1"/>
  <c r="B5" i="1"/>
  <c r="AH8" i="11" l="1"/>
  <c r="G22" i="11" s="1"/>
  <c r="AI8" i="11"/>
  <c r="AI7" i="11"/>
  <c r="F10" i="1"/>
  <c r="K12" i="1"/>
  <c r="M10" i="1"/>
  <c r="L12" i="1"/>
  <c r="N10" i="1"/>
  <c r="G11" i="1"/>
  <c r="H10" i="1"/>
  <c r="H13" i="1"/>
  <c r="F14" i="1"/>
  <c r="I14" i="1"/>
  <c r="AJ9" i="10"/>
  <c r="O14" i="1"/>
  <c r="L14" i="1"/>
  <c r="C31" i="14"/>
  <c r="N12" i="1"/>
  <c r="K13" i="1"/>
  <c r="I10" i="1"/>
  <c r="M11" i="1"/>
  <c r="J14" i="1"/>
  <c r="E10" i="1"/>
  <c r="N11" i="1"/>
  <c r="D12" i="1"/>
  <c r="M12" i="1"/>
  <c r="G13" i="1"/>
  <c r="N13" i="1"/>
  <c r="E14" i="1"/>
  <c r="K14" i="1"/>
  <c r="H30" i="13"/>
  <c r="J10" i="1"/>
  <c r="G12" i="1"/>
  <c r="AK7" i="6"/>
  <c r="H21" i="6" s="1"/>
  <c r="H27" i="11"/>
  <c r="H29" i="12"/>
  <c r="H12" i="1"/>
  <c r="G14" i="1"/>
  <c r="K10" i="1"/>
  <c r="F13" i="1"/>
  <c r="H29" i="8"/>
  <c r="D11" i="1"/>
  <c r="C15" i="1"/>
  <c r="E11" i="1"/>
  <c r="J11" i="1"/>
  <c r="E13" i="1"/>
  <c r="H14" i="1"/>
  <c r="L10" i="1"/>
  <c r="F11" i="1"/>
  <c r="K11" i="1"/>
  <c r="F12" i="1"/>
  <c r="O12" i="1"/>
  <c r="J13" i="1"/>
  <c r="M14" i="1"/>
  <c r="P13" i="1"/>
  <c r="P11" i="1"/>
  <c r="P14" i="1"/>
  <c r="C31" i="12"/>
  <c r="C31" i="4"/>
  <c r="AL9" i="12"/>
  <c r="C31" i="3"/>
  <c r="C31" i="5"/>
  <c r="C31" i="8"/>
  <c r="C31" i="6"/>
  <c r="C31" i="11"/>
  <c r="AK7" i="10"/>
  <c r="E21" i="10" s="1"/>
  <c r="F24" i="9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22" i="7"/>
  <c r="G31" i="7" s="1"/>
  <c r="AL8" i="7"/>
  <c r="F28" i="8"/>
  <c r="AH14" i="8"/>
  <c r="G28" i="8" s="1"/>
  <c r="AI9" i="9"/>
  <c r="F23" i="9"/>
  <c r="G24" i="9"/>
  <c r="AL10" i="9"/>
  <c r="F25" i="9"/>
  <c r="AI11" i="9"/>
  <c r="D22" i="10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F29" i="3"/>
  <c r="D10" i="1"/>
  <c r="P10" i="1"/>
  <c r="H11" i="1"/>
  <c r="P12" i="1"/>
  <c r="D13" i="1"/>
  <c r="D14" i="1"/>
  <c r="AI7" i="3"/>
  <c r="AJ8" i="3"/>
  <c r="AI11" i="3"/>
  <c r="D22" i="3"/>
  <c r="D31" i="3" s="1"/>
  <c r="F24" i="3"/>
  <c r="F31" i="3" s="1"/>
  <c r="F28" i="3"/>
  <c r="AH7" i="4"/>
  <c r="AI7" i="4" s="1"/>
  <c r="AF9" i="4"/>
  <c r="AH11" i="4"/>
  <c r="E25" i="4" s="1"/>
  <c r="AF13" i="4"/>
  <c r="G27" i="4" s="1"/>
  <c r="D21" i="4"/>
  <c r="D31" i="4" s="1"/>
  <c r="AI8" i="5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I12" i="1"/>
  <c r="AJ7" i="3"/>
  <c r="AJ11" i="3"/>
  <c r="AF8" i="4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K7" i="8" s="1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G25" i="10"/>
  <c r="F23" i="10"/>
  <c r="AI8" i="6"/>
  <c r="AJ9" i="7"/>
  <c r="AL11" i="7"/>
  <c r="AH17" i="7"/>
  <c r="D23" i="7"/>
  <c r="G21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AH17" i="10"/>
  <c r="F21" i="10"/>
  <c r="D23" i="10"/>
  <c r="F25" i="10"/>
  <c r="F29" i="10"/>
  <c r="G23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AL7" i="14" s="1"/>
  <c r="G24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AK8" i="11" l="1"/>
  <c r="H22" i="11" s="1"/>
  <c r="Q10" i="1"/>
  <c r="AI17" i="10"/>
  <c r="G24" i="8"/>
  <c r="G5" i="1"/>
  <c r="Q14" i="1"/>
  <c r="AI17" i="5"/>
  <c r="AL10" i="12"/>
  <c r="H24" i="12" s="1"/>
  <c r="Q12" i="1"/>
  <c r="Q13" i="1"/>
  <c r="AL10" i="14"/>
  <c r="H24" i="14" s="1"/>
  <c r="Q11" i="1"/>
  <c r="AK9" i="11"/>
  <c r="H23" i="11" s="1"/>
  <c r="AF17" i="4"/>
  <c r="H23" i="12"/>
  <c r="M7" i="1"/>
  <c r="AL11" i="10"/>
  <c r="H25" i="10" s="1"/>
  <c r="D31" i="10"/>
  <c r="E31" i="10"/>
  <c r="D31" i="9"/>
  <c r="AL8" i="9"/>
  <c r="J6" i="1" s="1"/>
  <c r="AK8" i="8"/>
  <c r="AH17" i="8"/>
  <c r="F31" i="8"/>
  <c r="G21" i="13"/>
  <c r="AK7" i="13"/>
  <c r="AH17" i="13"/>
  <c r="E21" i="12"/>
  <c r="E31" i="12" s="1"/>
  <c r="AK17" i="12"/>
  <c r="G25" i="13"/>
  <c r="AK11" i="13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AL8" i="5"/>
  <c r="G23" i="4"/>
  <c r="AI9" i="4"/>
  <c r="H24" i="8"/>
  <c r="I8" i="1"/>
  <c r="H23" i="10"/>
  <c r="K7" i="1"/>
  <c r="H24" i="9"/>
  <c r="J8" i="1"/>
  <c r="G22" i="6"/>
  <c r="G31" i="6" s="1"/>
  <c r="AK8" i="6"/>
  <c r="AI17" i="14"/>
  <c r="E31" i="13"/>
  <c r="H22" i="13"/>
  <c r="N6" i="1"/>
  <c r="G25" i="12"/>
  <c r="AL11" i="12"/>
  <c r="AK9" i="13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G31" i="3" l="1"/>
  <c r="K9" i="1"/>
  <c r="L7" i="1"/>
  <c r="G31" i="4"/>
  <c r="O8" i="1"/>
  <c r="G31" i="5"/>
  <c r="H22" i="9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AL17" i="9"/>
  <c r="H21" i="9"/>
  <c r="J5" i="1"/>
  <c r="AK17" i="11"/>
  <c r="H21" i="11"/>
  <c r="L5" i="1"/>
  <c r="AI17" i="4"/>
  <c r="P15" i="1"/>
  <c r="H24" i="4"/>
  <c r="E8" i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10" l="1"/>
  <c r="E15" i="1"/>
  <c r="H31" i="4"/>
  <c r="H31" i="5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<sst xmlns="http://schemas.openxmlformats.org/spreadsheetml/2006/main" count="825" uniqueCount="120">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</sst>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7" sqref="A7:XFD7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4975268.8099999996</v>
      </c>
      <c r="L5" s="5">
        <f>IF(ISNUMBER(سبتمبر!AK7),سبتمبر!AK7,"")</f>
        <v>6300000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4787096.78</v>
      </c>
      <c r="Q5" s="7">
        <f t="shared" ref="Q5:Q14" si="0">IFERROR(SUM(D5:O5),"")</f>
        <v>80846236.530000001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2843750</v>
      </c>
      <c r="J6" s="10">
        <f>IF(ISNUMBER(يوليو!AL8),يوليو!AL8,"")</f>
        <v>2688709.68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36132459.68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2296875</v>
      </c>
      <c r="J7" s="5">
        <f>IF(ISNUMBER(يوليو!AL9),يوليو!AL9,"")</f>
        <v>2351478.4900000002</v>
      </c>
      <c r="K7" s="5">
        <f>IF(ISNUMBER(أغسطس!AL9),أغسطس!AL9,"")</f>
        <v>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2747311.83</v>
      </c>
      <c r="Q7" s="7">
        <f t="shared" si="0"/>
        <v>27648353.469999999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471666.67</v>
      </c>
      <c r="J8" s="10">
        <f>IF(ISNUMBER(يوليو!AL10),يوليو!AL10,"")</f>
        <v>658924.73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9290591.4199999999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504166.66</v>
      </c>
      <c r="J9" s="5">
        <f>IF(ISNUMBER(يوليو!AL11),يوليو!AL11,"")</f>
        <v>1619086.02</v>
      </c>
      <c r="K9" s="5">
        <f>IF(ISNUMBER(أغسطس!AL11),أغسطس!AL11,"")</f>
        <v>1937634.41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1918279.5799999998</v>
      </c>
      <c r="Q9" s="7">
        <f t="shared" si="0"/>
        <v>22394220.439999998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12416458.33</v>
      </c>
      <c r="J15" s="11">
        <f t="shared" si="1"/>
        <v>13422499.99</v>
      </c>
      <c r="K15" s="11">
        <f t="shared" si="1"/>
        <v>10922903.220000001</v>
      </c>
      <c r="L15" s="11">
        <f t="shared" si="1"/>
        <v>14600000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10366236.58</v>
      </c>
      <c r="Q15" s="12">
        <f t="shared" si="1"/>
        <v>176311861.53999999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activeCell="G3" sqref="G3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8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19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43750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2843750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-36458.33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2296875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-8333.33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471666.67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-29166.67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504166.66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-30208.33</v>
      </c>
      <c r="AI17" s="44"/>
      <c r="AJ17" s="43">
        <f>SUM(AJ7:AJ16)</f>
        <v>2853333.34</v>
      </c>
      <c r="AK17" s="43">
        <f>SUM(AK7:AK16)</f>
        <v>12416458.33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43750</v>
      </c>
      <c r="H22" s="39">
        <f t="shared" si="7"/>
        <v>2843750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-36458.33</v>
      </c>
      <c r="H23" s="39">
        <f t="shared" si="7"/>
        <v>2296875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-8333.33</v>
      </c>
      <c r="H24" s="39">
        <f t="shared" si="7"/>
        <v>471666.67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-29166.67</v>
      </c>
      <c r="H25" s="39">
        <f t="shared" si="7"/>
        <v>504166.66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-30208.33</v>
      </c>
      <c r="H31" s="12">
        <f t="shared" si="8"/>
        <v>12416458.33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AE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-120967.74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2688709.68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-151209.68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2351478.4900000002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-64516.13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658924.73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-125000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1619086.02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-461693.55</v>
      </c>
      <c r="AJ17" s="44"/>
      <c r="AK17" s="43">
        <f>SUM(AK7:AK16)</f>
        <v>1925806.46</v>
      </c>
      <c r="AL17" s="43">
        <f>SUM(AL7:AL16)</f>
        <v>13422499.99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-120967.74</v>
      </c>
      <c r="H22" s="39">
        <f t="shared" si="7"/>
        <v>2688709.68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-151209.68</v>
      </c>
      <c r="H23" s="39">
        <f t="shared" si="7"/>
        <v>2351478.4900000002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-64516.13</v>
      </c>
      <c r="H24" s="39">
        <f t="shared" si="7"/>
        <v>658924.73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-125000</v>
      </c>
      <c r="H25" s="39">
        <f t="shared" si="7"/>
        <v>1619086.02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-461693.55</v>
      </c>
      <c r="H31" s="12">
        <f t="shared" si="8"/>
        <v>13422499.99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Z7" activePane="bottomRight" state="frozen"/>
      <selection pane="topRight" activeCell="B1" sqref="B1"/>
      <selection pane="bottomLeft" activeCell="A7" sqref="A7"/>
      <selection pane="bottomRight" activeCell="AL7" sqref="AL7"/>
    </sheetView>
  </sheetViews>
  <sheetFormatPr defaultColWidth="8.7109375" defaultRowHeight="15" x14ac:dyDescent="0.25"/>
  <cols>
    <col min="1" max="1" width="26" customWidth="1"/>
    <col min="2" max="2" width="16.42578125" customWidth="1"/>
    <col min="3" max="4" width="10" customWidth="1"/>
    <col min="5" max="5" width="22.140625" customWidth="1"/>
    <col min="6" max="7" width="10" customWidth="1"/>
    <col min="8" max="8" width="26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3"/>
      <c r="E7" s="33"/>
      <c r="F7" s="33"/>
      <c r="G7" s="33"/>
      <c r="H7" s="34"/>
      <c r="I7" s="33"/>
      <c r="J7" s="33" t="s">
        <v>39</v>
      </c>
      <c r="K7" s="33"/>
      <c r="L7" s="33"/>
      <c r="M7" s="33"/>
      <c r="N7" s="33"/>
      <c r="O7" s="34"/>
      <c r="P7" s="33" t="s">
        <v>39</v>
      </c>
      <c r="Q7" s="33" t="s">
        <v>39</v>
      </c>
      <c r="R7" s="33" t="s">
        <v>39</v>
      </c>
      <c r="S7" s="33" t="s">
        <v>39</v>
      </c>
      <c r="T7" s="33" t="s">
        <v>39</v>
      </c>
      <c r="U7" s="33" t="s">
        <v>39</v>
      </c>
      <c r="V7" s="34"/>
      <c r="W7" s="33" t="s">
        <v>39</v>
      </c>
      <c r="X7" s="33" t="s">
        <v>39</v>
      </c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10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21</v>
      </c>
      <c r="AK7" s="6">
        <f>IF('بيانات الموظفين'!C5="","-",ROUND(('بيانات الموظفين'!C5/31)*AG7,2))</f>
        <v>2258064.52</v>
      </c>
      <c r="AL7" s="39">
        <f>IF('بيانات الموظفين'!C5="","-",ROUND('بيانات الموظفين'!C5+ROUND('بيانات الموظفين'!C5/30,2)+IF(ISNUMBER(AI7),AI7,0)-IF(ISNUMBER(AK7),AK7,0),2))</f>
        <v>4975268.8099999996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 t="s">
        <v>39</v>
      </c>
      <c r="C9" s="33" t="s">
        <v>39</v>
      </c>
      <c r="D9" s="33" t="s">
        <v>39</v>
      </c>
      <c r="E9" s="33" t="s">
        <v>39</v>
      </c>
      <c r="F9" s="33" t="s">
        <v>39</v>
      </c>
      <c r="G9" s="33" t="s">
        <v>39</v>
      </c>
      <c r="H9" s="34" t="s">
        <v>39</v>
      </c>
      <c r="I9" s="33" t="s">
        <v>39</v>
      </c>
      <c r="J9" s="33" t="s">
        <v>39</v>
      </c>
      <c r="K9" s="33" t="s">
        <v>39</v>
      </c>
      <c r="L9" s="33" t="s">
        <v>39</v>
      </c>
      <c r="M9" s="33" t="s">
        <v>39</v>
      </c>
      <c r="N9" s="33" t="s">
        <v>39</v>
      </c>
      <c r="O9" s="34" t="s">
        <v>39</v>
      </c>
      <c r="P9" s="33" t="s">
        <v>39</v>
      </c>
      <c r="Q9" s="33" t="s">
        <v>39</v>
      </c>
      <c r="R9" s="33" t="s">
        <v>39</v>
      </c>
      <c r="S9" s="33" t="s">
        <v>39</v>
      </c>
      <c r="T9" s="33" t="s">
        <v>39</v>
      </c>
      <c r="U9" s="33" t="s">
        <v>39</v>
      </c>
      <c r="V9" s="34" t="s">
        <v>39</v>
      </c>
      <c r="W9" s="33" t="s">
        <v>39</v>
      </c>
      <c r="X9" s="33" t="s">
        <v>39</v>
      </c>
      <c r="Y9" s="33" t="s">
        <v>39</v>
      </c>
      <c r="Z9" s="33" t="s">
        <v>39</v>
      </c>
      <c r="AA9" s="33" t="s">
        <v>39</v>
      </c>
      <c r="AB9" s="33" t="s">
        <v>39</v>
      </c>
      <c r="AC9" s="34" t="s">
        <v>39</v>
      </c>
      <c r="AD9" s="33" t="s">
        <v>39</v>
      </c>
      <c r="AE9" s="33" t="s">
        <v>39</v>
      </c>
      <c r="AF9" s="33" t="s">
        <v>39</v>
      </c>
      <c r="AG9" s="35">
        <f t="shared" si="0"/>
        <v>31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0</v>
      </c>
      <c r="AK9" s="6">
        <f>IF('بيانات الموظفين'!C7="","-",ROUND(('بيانات الموظفين'!C7/31)*AG9,2))</f>
        <v>2500000</v>
      </c>
      <c r="AL9" s="39">
        <f>IF('بيانات الموظفين'!C7="","-",ROUND('بيانات الموظفين'!C7+ROUND('بيانات الموظفين'!C7/30,2)+IF(ISNUMBER(AI9),AI9,0)-IF(ISNUMBER(AK9),AK9,0),2))</f>
        <v>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2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29</v>
      </c>
      <c r="AK11" s="6">
        <f>IF('بيانات الموظفين'!C9="","-",ROUND(('بيانات الموظفين'!C9/31)*AG11,2))</f>
        <v>129032.26</v>
      </c>
      <c r="AL11" s="39">
        <f>IF('بيانات الموظفين'!C9="","-",ROUND('بيانات الموظفين'!C9+ROUND('بيانات الموظفين'!C9/30,2)+IF(ISNUMBER(AI11),AI11,0)-IF(ISNUMBER(AK11),AK11,0),2))</f>
        <v>1937634.41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2</v>
      </c>
      <c r="C17" s="41">
        <f t="shared" si="2"/>
        <v>3</v>
      </c>
      <c r="D17" s="41">
        <f t="shared" si="2"/>
        <v>1</v>
      </c>
      <c r="E17" s="41">
        <f t="shared" si="2"/>
        <v>1</v>
      </c>
      <c r="F17" s="41">
        <f t="shared" si="2"/>
        <v>1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2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1</v>
      </c>
      <c r="P17" s="41">
        <f t="shared" si="2"/>
        <v>2</v>
      </c>
      <c r="Q17" s="41">
        <f t="shared" si="2"/>
        <v>2</v>
      </c>
      <c r="R17" s="41">
        <f t="shared" si="2"/>
        <v>2</v>
      </c>
      <c r="S17" s="41">
        <f t="shared" si="2"/>
        <v>2</v>
      </c>
      <c r="T17" s="41">
        <f t="shared" si="2"/>
        <v>2</v>
      </c>
      <c r="U17" s="41">
        <f t="shared" si="2"/>
        <v>2</v>
      </c>
      <c r="V17" s="41">
        <f t="shared" si="2"/>
        <v>1</v>
      </c>
      <c r="W17" s="41">
        <f t="shared" si="2"/>
        <v>2</v>
      </c>
      <c r="X17" s="41">
        <f t="shared" si="2"/>
        <v>2</v>
      </c>
      <c r="Y17" s="41">
        <f t="shared" si="2"/>
        <v>1</v>
      </c>
      <c r="Z17" s="41">
        <f t="shared" si="2"/>
        <v>1</v>
      </c>
      <c r="AA17" s="41">
        <f t="shared" si="2"/>
        <v>1</v>
      </c>
      <c r="AB17" s="41">
        <f t="shared" si="2"/>
        <v>1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1</v>
      </c>
      <c r="AG17" s="41">
        <f>SUM(AG7:AG16)</f>
        <v>43</v>
      </c>
      <c r="AH17" s="42">
        <f>SUM(AH7:AH16)</f>
        <v>0</v>
      </c>
      <c r="AI17" s="43">
        <f>SUM(AI7:AI16)</f>
        <v>0</v>
      </c>
      <c r="AJ17" s="44"/>
      <c r="AK17" s="43">
        <f>SUM(AK7:AK16)</f>
        <v>4887096.7799999993</v>
      </c>
      <c r="AL17" s="43">
        <f>SUM(AL7:AL16)</f>
        <v>10922903.220000001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10</v>
      </c>
      <c r="E21" s="6">
        <f t="shared" ref="E21:E30" si="4">AK7</f>
        <v>2258064.52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4975268.8099999996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31</v>
      </c>
      <c r="E23" s="6">
        <f t="shared" si="4"/>
        <v>2500000</v>
      </c>
      <c r="F23" s="46">
        <f t="shared" si="5"/>
        <v>0</v>
      </c>
      <c r="G23" s="37" t="str">
        <f t="shared" si="6"/>
        <v>-</v>
      </c>
      <c r="H23" s="39">
        <f t="shared" si="7"/>
        <v>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</v>
      </c>
      <c r="E25" s="6">
        <f t="shared" si="4"/>
        <v>129032.26</v>
      </c>
      <c r="F25" s="46">
        <f t="shared" si="5"/>
        <v>0</v>
      </c>
      <c r="G25" s="37" t="str">
        <f t="shared" si="6"/>
        <v>-</v>
      </c>
      <c r="H25" s="39">
        <f t="shared" si="7"/>
        <v>1937634.41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43</v>
      </c>
      <c r="E31" s="12">
        <f t="shared" si="8"/>
        <v>4887096.7799999993</v>
      </c>
      <c r="F31" s="47">
        <f t="shared" si="8"/>
        <v>0</v>
      </c>
      <c r="G31" s="12">
        <f t="shared" si="8"/>
        <v>0</v>
      </c>
      <c r="H31" s="12">
        <f t="shared" si="8"/>
        <v>10922903.220000001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N7" sqref="N7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 t="s">
        <v>39</v>
      </c>
      <c r="I7" s="33"/>
      <c r="J7" s="33" t="s">
        <v>39</v>
      </c>
      <c r="K7" s="33"/>
      <c r="L7" s="34"/>
      <c r="M7" s="33" t="s">
        <v>39</v>
      </c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 t="s">
        <v>101</v>
      </c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1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0</v>
      </c>
      <c r="M17" s="41">
        <f t="shared" si="2"/>
        <v>1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3</v>
      </c>
      <c r="AG17" s="42">
        <f>SUM(AG7:AG16)</f>
        <v>0</v>
      </c>
      <c r="AH17" s="43">
        <f>SUM(AH7:AH16)</f>
        <v>0</v>
      </c>
      <c r="AI17" s="44"/>
      <c r="AJ17" s="43">
        <f>SUM(AJ7:AJ16)</f>
        <v>700000</v>
      </c>
      <c r="AK17" s="43">
        <f>SUM(AK7:AK16)</f>
        <v>14600000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3</v>
      </c>
      <c r="E31" s="12">
        <f t="shared" si="8"/>
        <v>700000</v>
      </c>
      <c r="F31" s="47">
        <f t="shared" si="8"/>
        <v>0</v>
      </c>
      <c r="G31" s="12">
        <f t="shared" si="8"/>
        <v>0</v>
      </c>
      <c r="H31" s="12">
        <f t="shared" si="8"/>
        <v>14600000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2026-09-10T11:50:31Z</dcterms:modified>
  <dc:language>en-US</dc:language>
</cp:coreProperties>
</file>
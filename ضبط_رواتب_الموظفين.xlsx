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D50CA868-BD58-4775-AFE3-8468B44BDCF5}" xr6:coauthVersionLast="47" xr6:coauthVersionMax="47" xr10:uidLastSave="{00000000-0000-0000-0000-000000000000}"/>
  <bookViews>
    <workbookView xWindow="-120" yWindow="-120" windowWidth="20730" windowHeight="11160" tabRatio="500" firstSheet="7" activeTab="8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F24" i="9" l="1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D31" i="9" l="1"/>
  <c r="AL8" i="9"/>
  <c r="J6" i="1" s="1"/>
  <c r="AK8" i="8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2" i="9" l="1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<sst xmlns="http://schemas.openxmlformats.org/spreadsheetml/2006/main" count="768" uniqueCount="120">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</sst>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Q1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6555913.9800000004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1377419.35</v>
      </c>
      <c r="Q5" s="7">
        <f t="shared" ref="Q5:Q14" si="0">IFERROR(SUM(D5:O5),"")</f>
        <v>84255913.959999993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2906451.62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296774.19</v>
      </c>
      <c r="Q6" s="7">
        <f t="shared" si="0"/>
        <v>36345340.510000005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2525089.6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7">
        <f t="shared" si="0"/>
        <v>30326015.5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752114.7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397419.35</v>
      </c>
      <c r="Q8" s="7">
        <f t="shared" si="0"/>
        <v>9384707.3100000005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1923297.49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1531182.7999999998</v>
      </c>
      <c r="Q9" s="7">
        <f t="shared" si="0"/>
        <v>22830704.910000004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14662867.390000001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3769462.36</v>
      </c>
      <c r="Q15" s="12">
        <f t="shared" si="1"/>
        <v>183142682.19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opLeftCell="A57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tabSelected="1" zoomScaleNormal="100" workbookViewId="0">
      <pane xSplit="1" ySplit="6" topLeftCell="J7" activePane="bottomRight" state="frozen"/>
      <selection pane="topRight" activeCell="B1" sqref="B1"/>
      <selection pane="bottomLeft" activeCell="A7" sqref="A7"/>
      <selection pane="bottomRight" activeCell="O10" sqref="O10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3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28</v>
      </c>
      <c r="AK7" s="6">
        <f>IF('بيانات الموظفين'!C5="","-",ROUND(('بيانات الموظفين'!C5/31)*AG7,2))</f>
        <v>677419.35</v>
      </c>
      <c r="AL7" s="39">
        <f>IF('بيانات الموظفين'!C5="","-",ROUND('بيانات الموظفين'!C5+ROUND('بيانات الموظفين'!C5/30,2)+IF(ISNUMBER(AI7),AI7,0)-IF(ISNUMBER(AK7),AK7,0),2))</f>
        <v>6555913.9800000004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-3</v>
      </c>
      <c r="M8" s="40">
        <v>-3</v>
      </c>
      <c r="N8" s="40"/>
      <c r="O8" s="40" t="s">
        <v>39</v>
      </c>
      <c r="P8" s="40">
        <v>-3</v>
      </c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4"/>
      <c r="AG8" s="35">
        <f t="shared" si="0"/>
        <v>1</v>
      </c>
      <c r="AH8" s="36">
        <f t="shared" si="1"/>
        <v>-9</v>
      </c>
      <c r="AI8" s="37">
        <f>IF(OR('بيانات الموظفين'!C6="",NOT(ISNUMBER('بيانات الموظفين'!G2)),AH8=0),"-",ROUND(AH8*(('بيانات الموظفين'!C6/31)/'بيانات الموظفين'!G2),2))</f>
        <v>-96774.19</v>
      </c>
      <c r="AJ8" s="38">
        <f>IF('بيانات الموظفين'!C6="","-",31-AG8)</f>
        <v>30</v>
      </c>
      <c r="AK8" s="6">
        <f>IF('بيانات الموظفين'!C6="","-",ROUND(('بيانات الموظفين'!C6/31)*AG8,2))</f>
        <v>96774.19</v>
      </c>
      <c r="AL8" s="39">
        <f>IF('بيانات الموظفين'!C6="","-",ROUND('بيانات الموظفين'!C6+ROUND('بيانات الموظفين'!C6/30,2)+IF(ISNUMBER(AI8),AI8,0)-IF(ISNUMBER(AK8),AK8,0),2))</f>
        <v>2906451.62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/>
      <c r="H9" s="33"/>
      <c r="I9" s="33"/>
      <c r="J9" s="33"/>
      <c r="K9" s="34"/>
      <c r="L9" s="33">
        <v>-3</v>
      </c>
      <c r="M9" s="33">
        <v>-3</v>
      </c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4"/>
      <c r="AG9" s="35">
        <f t="shared" si="0"/>
        <v>0</v>
      </c>
      <c r="AH9" s="36">
        <f t="shared" si="1"/>
        <v>-6.5</v>
      </c>
      <c r="AI9" s="37">
        <f>IF(OR('بيانات الموظفين'!C7="",NOT(ISNUMBER('بيانات الموظفين'!G2)),AH9=0),"-",ROUND(AH9*(('بيانات الموظفين'!C7/31)/'بيانات الموظفين'!G2),2))</f>
        <v>-58243.73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2525089.6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4"/>
      <c r="AG10" s="35">
        <f t="shared" si="0"/>
        <v>3</v>
      </c>
      <c r="AH10" s="36">
        <f t="shared" si="1"/>
        <v>1</v>
      </c>
      <c r="AI10" s="37">
        <f>IF(OR('بيانات الموظفين'!C8="",NOT(ISNUMBER('بيانات الموظفين'!G2)),AH10=0),"-",ROUND(AH10*(('بيانات الموظفين'!C8/31)/'بيانات الموظفين'!G2),2))</f>
        <v>2867.38</v>
      </c>
      <c r="AJ10" s="38">
        <f>IF('بيانات الموظفين'!C8="","-",31-AG10)</f>
        <v>28</v>
      </c>
      <c r="AK10" s="6">
        <f>IF('بيانات الموظفين'!C8="","-",ROUND(('بيانات الموظفين'!C8/31)*AG10,2))</f>
        <v>77419.350000000006</v>
      </c>
      <c r="AL10" s="39">
        <f>IF('بيانات الموظفين'!C8="","-",ROUND('بيانات الموظفين'!C8+ROUND('بيانات الموظفين'!C8/30,2)+IF(ISNUMBER(AI10),AI10,0)-IF(ISNUMBER(AK10),AK10,0),2))</f>
        <v>752114.7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-3</v>
      </c>
      <c r="M11" s="33">
        <v>-3</v>
      </c>
      <c r="N11" s="33"/>
      <c r="O11" s="33" t="s">
        <v>39</v>
      </c>
      <c r="P11" s="33">
        <v>-3</v>
      </c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4"/>
      <c r="AG11" s="35">
        <f t="shared" si="0"/>
        <v>1</v>
      </c>
      <c r="AH11" s="36">
        <f t="shared" si="1"/>
        <v>-11</v>
      </c>
      <c r="AI11" s="37">
        <f>IF(OR('بيانات الموظفين'!C9="",NOT(ISNUMBER('بيانات الموظفين'!G2)),AH11=0),"-",ROUND(AH11*(('بيانات الموظفين'!C9/31)/'بيانات الموظفين'!G2),2))</f>
        <v>-78853.05</v>
      </c>
      <c r="AJ11" s="38">
        <f>IF('بيانات الموظفين'!C9="","-",31-AG11)</f>
        <v>30</v>
      </c>
      <c r="AK11" s="6">
        <f>IF('بيانات الموظفين'!C9="","-",ROUND(('بيانات الموظفين'!C9/31)*AG11,2))</f>
        <v>64516.13</v>
      </c>
      <c r="AL11" s="39">
        <f>IF('بيانات الموظفين'!C9="","-",ROUND('بيانات الموظفين'!C9+ROUND('بيانات الموظفين'!C9/30,2)+IF(ISNUMBER(AI11),AI11,0)-IF(ISNUMBER(AK11),AK11,0),2))</f>
        <v>1923297.49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8</v>
      </c>
      <c r="AH17" s="42">
        <f>SUM(AH7:AH16)</f>
        <v>-25.5</v>
      </c>
      <c r="AI17" s="43">
        <f>SUM(AI7:AI16)</f>
        <v>-231003.59000000003</v>
      </c>
      <c r="AJ17" s="44"/>
      <c r="AK17" s="43">
        <f>SUM(AK7:AK16)</f>
        <v>916129.02</v>
      </c>
      <c r="AL17" s="43">
        <f>SUM(AL7:AL16)</f>
        <v>14662867.390000001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3</v>
      </c>
      <c r="E21" s="6">
        <f t="shared" ref="E21:E30" si="4">AK7</f>
        <v>677419.35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6555913.9800000004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1</v>
      </c>
      <c r="E22" s="6">
        <f t="shared" si="4"/>
        <v>96774.19</v>
      </c>
      <c r="F22" s="46">
        <f t="shared" si="5"/>
        <v>-9</v>
      </c>
      <c r="G22" s="37">
        <f t="shared" si="6"/>
        <v>-96774.19</v>
      </c>
      <c r="H22" s="39">
        <f t="shared" si="7"/>
        <v>2906451.62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-6.5</v>
      </c>
      <c r="G23" s="37">
        <f t="shared" si="6"/>
        <v>-58243.73</v>
      </c>
      <c r="H23" s="39">
        <f t="shared" si="7"/>
        <v>2525089.6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3</v>
      </c>
      <c r="E24" s="6">
        <f t="shared" si="4"/>
        <v>77419.350000000006</v>
      </c>
      <c r="F24" s="46">
        <f t="shared" si="5"/>
        <v>1</v>
      </c>
      <c r="G24" s="37">
        <f t="shared" si="6"/>
        <v>2867.38</v>
      </c>
      <c r="H24" s="39">
        <f t="shared" si="7"/>
        <v>752114.7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1</v>
      </c>
      <c r="E25" s="6">
        <f t="shared" si="4"/>
        <v>64516.13</v>
      </c>
      <c r="F25" s="46">
        <f t="shared" si="5"/>
        <v>-11</v>
      </c>
      <c r="G25" s="37">
        <f t="shared" si="6"/>
        <v>-78853.05</v>
      </c>
      <c r="H25" s="39">
        <f t="shared" si="7"/>
        <v>1923297.49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8</v>
      </c>
      <c r="E31" s="12">
        <f t="shared" si="8"/>
        <v>916129.02</v>
      </c>
      <c r="F31" s="47">
        <f t="shared" si="8"/>
        <v>-25.5</v>
      </c>
      <c r="G31" s="12">
        <f t="shared" si="8"/>
        <v>-231003.59000000003</v>
      </c>
      <c r="H31" s="12">
        <f t="shared" si="8"/>
        <v>14662867.390000001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D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A15" sqref="A15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2026-07-16T11:56:12Z</dcterms:modified>
  <dc:language>en-US</dc:language>
</cp:coreProperties>
</file>
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EE8D3A1D-798C-495D-8735-414C3C0D6135}" xr6:coauthVersionLast="47" xr6:coauthVersionMax="47" xr10:uidLastSave="{00000000-0000-0000-0000-000000000000}"/>
  <bookViews>
    <workbookView xWindow="-120" yWindow="-120" windowWidth="20730" windowHeight="11160" tabRatio="500" firstSheet="7" activeTab="8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  <sheet name="ورقة1" sheetId="15" r:id="rId15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F24" i="9" l="1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D31" i="9" l="1"/>
  <c r="AL8" i="9"/>
  <c r="J6" i="1" s="1"/>
  <c r="AK8" i="8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2" i="9" l="1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<sst xmlns="http://schemas.openxmlformats.org/spreadsheetml/2006/main" count="768" uniqueCount="120">
  <si>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</si>
  <si>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</si>
  <si>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</si>
  <si>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</si>
  <si>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</si>
  <si>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</si>
  <si>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</si>
  <si>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</si>
  <si>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</si>
  <si>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</si>
  <si>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</si>
  <si>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</si>
  <si>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</si>
  <si>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</si>
  <si>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</si>
  <si>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</si>
  <si>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</si>
  <si>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</si>
  <si>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</si>
  <si>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</si>
  <si>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</si>
  <si>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</si>
  <si>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</si>
  <si>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</si>
  <si>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</si>
  <si>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</si>
  <si>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</si>
  <si>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</si>
  <si>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</si>
  <si>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</si>
  <si>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</si>
  <si>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</si>
  <si>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</si>
  <si>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</si>
  <si>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</si>
  <si>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</si>
  <si>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</si>
  <si>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</si>
  <si>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</si>
  <si>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</si>
  <si>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</si>
  <si>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</si>
  <si>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</si>
  <si>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</si>
  <si>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</si>
  <si>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</si>
  <si>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</si>
  <si>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</si>
  <si>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</si>
  <si>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</si>
  <si>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</si>
  <si>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</si>
  <si>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</si>
  <si>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</si>
  <si>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</si>
  <si>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</si>
  <si>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</si>
  <si>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</si>
  <si>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</si>
  <si>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</si>
  <si>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</si>
  <si>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</si>
  <si>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</si>
  <si>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</si>
  <si>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</si>
  <si>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</si>
  <si>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</si>
  <si>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</si>
  <si>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</si>
  <si>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</si>
  <si>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</si>
  <si>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</si>
  <si>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</si>
  <si>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</si>
  <si>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</si>
  <si>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</si>
  <si>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</si>
  <si>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</si>
  <si>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</si>
  <si>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</si>
  <si>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</si>
  <si>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</si>
  <si>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</si>
  <si>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</si>
  <si>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</si>
  <si>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</si>
  <si>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</si>
  <si>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</si>
  <si>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</si>
  <si>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</si>
  <si>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</si>
  <si>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</si>
  <si>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</si>
  <si>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</si>
  <si>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</si>
  <si>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</si>
  <si>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</si>
  <si>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</si>
  <si>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</si>
  <si>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</si>
  <si>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</si>
  <si>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</si>
  <si>
    <t>خصومات</t>
  </si>
  <si>
    <t xml:space="preserve">هيثم </t>
  </si>
  <si>
    <t xml:space="preserve">حسام </t>
  </si>
  <si>
    <t>عمار</t>
  </si>
  <si>
    <t xml:space="preserve">التاريخ </t>
  </si>
  <si>
    <t>المبلغ</t>
  </si>
  <si>
    <t xml:space="preserve">ملاحظة </t>
  </si>
  <si>
    <t>9 الشهر السابع</t>
  </si>
  <si>
    <t xml:space="preserve"> 9 الشهر السابع</t>
  </si>
  <si>
    <t>25 الف</t>
  </si>
  <si>
    <t>سبب تأخير دوام</t>
  </si>
  <si>
    <t>6 الشهر السابع</t>
  </si>
  <si>
    <t>7 الشهر السابع</t>
  </si>
  <si>
    <t>8 الشهر السابع</t>
  </si>
  <si>
    <t xml:space="preserve">انس </t>
  </si>
  <si>
    <t>13 الشهر السابع</t>
  </si>
  <si>
    <t>45 الف</t>
  </si>
  <si>
    <t>ثمن كوستيك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</si>
</sst>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Q1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6555913.9800000004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1377419.35</v>
      </c>
      <c r="Q5" s="7">
        <f t="shared" ref="Q5:Q14" si="0">IFERROR(SUM(D5:O5),"")</f>
        <v>84255913.959999993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2922580.65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296774.19</v>
      </c>
      <c r="Q6" s="7">
        <f t="shared" si="0"/>
        <v>36361469.539999999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2538530.46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7">
        <f t="shared" si="0"/>
        <v>30339456.359999999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746379.94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397419.35</v>
      </c>
      <c r="Q8" s="7">
        <f t="shared" si="0"/>
        <v>9378972.5499999989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1934050.18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1531182.7999999998</v>
      </c>
      <c r="Q9" s="7">
        <f t="shared" si="0"/>
        <v>22841457.600000001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14697455.209999999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3769462.36</v>
      </c>
      <c r="Q15" s="12">
        <f t="shared" si="1"/>
        <v>183177270.01000002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opLeftCell="A57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tabSelected="1" zoomScaleNormal="100" workbookViewId="0">
      <pane xSplit="1" ySplit="6" topLeftCell="J7" activePane="bottomRight" state="frozen"/>
      <selection pane="topRight" activeCell="B1" sqref="B1"/>
      <selection pane="bottomLeft" activeCell="A7" sqref="A7"/>
      <selection pane="bottomRight" activeCell="O11" sqref="O1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3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28</v>
      </c>
      <c r="AK7" s="6">
        <f>IF('بيانات الموظفين'!C5="","-",ROUND(('بيانات الموظفين'!C5/31)*AG7,2))</f>
        <v>677419.35</v>
      </c>
      <c r="AL7" s="39">
        <f>IF('بيانات الموظفين'!C5="","-",ROUND('بيانات الموظفين'!C5+ROUND('بيانات الموظفين'!C5/30,2)+IF(ISNUMBER(AI7),AI7,0)-IF(ISNUMBER(AK7),AK7,0),2))</f>
        <v>6555913.9800000004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>
        <v>-3</v>
      </c>
      <c r="M8" s="40">
        <v>-3</v>
      </c>
      <c r="N8" s="40"/>
      <c r="O8" s="40" t="s">
        <v>39</v>
      </c>
      <c r="P8" s="40">
        <v>-3</v>
      </c>
      <c r="Q8" s="40">
        <v>1.5</v>
      </c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4"/>
      <c r="AG8" s="35">
        <f t="shared" si="0"/>
        <v>1</v>
      </c>
      <c r="AH8" s="36">
        <f t="shared" si="1"/>
        <v>-7.5</v>
      </c>
      <c r="AI8" s="37">
        <f>IF(OR('بيانات الموظفين'!C6="",NOT(ISNUMBER('بيانات الموظفين'!G2)),AH8=0),"-",ROUND(AH8*(('بيانات الموظفين'!C6/31)/'بيانات الموظفين'!G2),2))</f>
        <v>-80645.16</v>
      </c>
      <c r="AJ8" s="38">
        <f>IF('بيانات الموظفين'!C6="","-",31-AG8)</f>
        <v>30</v>
      </c>
      <c r="AK8" s="6">
        <f>IF('بيانات الموظفين'!C6="","-",ROUND(('بيانات الموظفين'!C6/31)*AG8,2))</f>
        <v>96774.19</v>
      </c>
      <c r="AL8" s="39">
        <f>IF('بيانات الموظفين'!C6="","-",ROUND('بيانات الموظفين'!C6+ROUND('بيانات الموظفين'!C6/30,2)+IF(ISNUMBER(AI8),AI8,0)-IF(ISNUMBER(AK8),AK8,0),2))</f>
        <v>2922580.65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/>
      <c r="H9" s="33"/>
      <c r="I9" s="33"/>
      <c r="J9" s="33"/>
      <c r="K9" s="34"/>
      <c r="L9" s="33">
        <v>-3</v>
      </c>
      <c r="M9" s="33">
        <v>-3</v>
      </c>
      <c r="N9" s="33"/>
      <c r="O9" s="33"/>
      <c r="P9" s="33"/>
      <c r="Q9" s="33">
        <v>1.5</v>
      </c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4"/>
      <c r="AG9" s="35">
        <f t="shared" si="0"/>
        <v>0</v>
      </c>
      <c r="AH9" s="36">
        <f t="shared" si="1"/>
        <v>-5</v>
      </c>
      <c r="AI9" s="37">
        <f>IF(OR('بيانات الموظفين'!C7="",NOT(ISNUMBER('بيانات الموظفين'!G2)),AH9=0),"-",ROUND(AH9*(('بيانات الموظفين'!C7/31)/'بيانات الموظفين'!G2),2))</f>
        <v>-44802.87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2538530.46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 t="s">
        <v>39</v>
      </c>
      <c r="M10" s="40" t="s">
        <v>39</v>
      </c>
      <c r="N10" s="40" t="s">
        <v>39</v>
      </c>
      <c r="O10" s="40"/>
      <c r="P10" s="40"/>
      <c r="Q10" s="40">
        <v>-2</v>
      </c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4"/>
      <c r="AG10" s="35">
        <f t="shared" si="0"/>
        <v>3</v>
      </c>
      <c r="AH10" s="36">
        <f t="shared" si="1"/>
        <v>-1</v>
      </c>
      <c r="AI10" s="37">
        <f>IF(OR('بيانات الموظفين'!C8="",NOT(ISNUMBER('بيانات الموظفين'!G2)),AH10=0),"-",ROUND(AH10*(('بيانات الموظفين'!C8/31)/'بيانات الموظفين'!G2),2))</f>
        <v>-2867.38</v>
      </c>
      <c r="AJ10" s="38">
        <f>IF('بيانات الموظفين'!C8="","-",31-AG10)</f>
        <v>28</v>
      </c>
      <c r="AK10" s="6">
        <f>IF('بيانات الموظفين'!C8="","-",ROUND(('بيانات الموظفين'!C8/31)*AG10,2))</f>
        <v>77419.350000000006</v>
      </c>
      <c r="AL10" s="39">
        <f>IF('بيانات الموظفين'!C8="","-",ROUND('بيانات الموظفين'!C8+ROUND('بيانات الموظفين'!C8/30,2)+IF(ISNUMBER(AI10),AI10,0)-IF(ISNUMBER(AK10),AK10,0),2))</f>
        <v>746379.94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>
        <v>-3</v>
      </c>
      <c r="M11" s="33">
        <v>-3</v>
      </c>
      <c r="N11" s="33"/>
      <c r="O11" s="33" t="s">
        <v>39</v>
      </c>
      <c r="P11" s="33">
        <v>-3</v>
      </c>
      <c r="Q11" s="33">
        <v>1.5</v>
      </c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4"/>
      <c r="AG11" s="35">
        <f t="shared" si="0"/>
        <v>1</v>
      </c>
      <c r="AH11" s="36">
        <f t="shared" si="1"/>
        <v>-9.5</v>
      </c>
      <c r="AI11" s="37">
        <f>IF(OR('بيانات الموظفين'!C9="",NOT(ISNUMBER('بيانات الموظفين'!G2)),AH11=0),"-",ROUND(AH11*(('بيانات الموظفين'!C9/31)/'بيانات الموظفين'!G2),2))</f>
        <v>-68100.36</v>
      </c>
      <c r="AJ11" s="38">
        <f>IF('بيانات الموظفين'!C9="","-",31-AG11)</f>
        <v>30</v>
      </c>
      <c r="AK11" s="6">
        <f>IF('بيانات الموظفين'!C9="","-",ROUND(('بيانات الموظفين'!C9/31)*AG11,2))</f>
        <v>64516.13</v>
      </c>
      <c r="AL11" s="39">
        <f>IF('بيانات الموظفين'!C9="","-",ROUND('بيانات الموظفين'!C9+ROUND('بيانات الموظفين'!C9/30,2)+IF(ISNUMBER(AI11),AI11,0)-IF(ISNUMBER(AK11),AK11,0),2))</f>
        <v>1934050.18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2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8</v>
      </c>
      <c r="AH17" s="42">
        <f>SUM(AH7:AH16)</f>
        <v>-23</v>
      </c>
      <c r="AI17" s="43">
        <f>SUM(AI7:AI16)</f>
        <v>-196415.77000000002</v>
      </c>
      <c r="AJ17" s="44"/>
      <c r="AK17" s="43">
        <f>SUM(AK7:AK16)</f>
        <v>916129.02</v>
      </c>
      <c r="AL17" s="43">
        <f>SUM(AL7:AL16)</f>
        <v>14697455.209999999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3</v>
      </c>
      <c r="E21" s="6">
        <f t="shared" ref="E21:E30" si="4">AK7</f>
        <v>677419.35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6555913.9800000004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1</v>
      </c>
      <c r="E22" s="6">
        <f t="shared" si="4"/>
        <v>96774.19</v>
      </c>
      <c r="F22" s="46">
        <f t="shared" si="5"/>
        <v>-7.5</v>
      </c>
      <c r="G22" s="37">
        <f t="shared" si="6"/>
        <v>-80645.16</v>
      </c>
      <c r="H22" s="39">
        <f t="shared" si="7"/>
        <v>2922580.65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-5</v>
      </c>
      <c r="G23" s="37">
        <f t="shared" si="6"/>
        <v>-44802.87</v>
      </c>
      <c r="H23" s="39">
        <f t="shared" si="7"/>
        <v>2538530.46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3</v>
      </c>
      <c r="E24" s="6">
        <f t="shared" si="4"/>
        <v>77419.350000000006</v>
      </c>
      <c r="F24" s="46">
        <f t="shared" si="5"/>
        <v>-1</v>
      </c>
      <c r="G24" s="37">
        <f t="shared" si="6"/>
        <v>-2867.38</v>
      </c>
      <c r="H24" s="39">
        <f t="shared" si="7"/>
        <v>746379.94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1</v>
      </c>
      <c r="E25" s="6">
        <f t="shared" si="4"/>
        <v>64516.13</v>
      </c>
      <c r="F25" s="46">
        <f t="shared" si="5"/>
        <v>-9.5</v>
      </c>
      <c r="G25" s="37">
        <f t="shared" si="6"/>
        <v>-68100.36</v>
      </c>
      <c r="H25" s="39">
        <f t="shared" si="7"/>
        <v>1934050.18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8</v>
      </c>
      <c r="E31" s="12">
        <f t="shared" si="8"/>
        <v>916129.02</v>
      </c>
      <c r="F31" s="47">
        <f t="shared" si="8"/>
        <v>-23</v>
      </c>
      <c r="G31" s="12">
        <f t="shared" si="8"/>
        <v>-196415.77000000002</v>
      </c>
      <c r="H31" s="12">
        <f t="shared" si="8"/>
        <v>14697455.209999999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D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K1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7BA86-F234-4A97-A072-67EE9B67B976}">
  <dimension ref="A1:D14"/>
  <sheetViews>
    <sheetView rightToLeft="1" workbookViewId="0">
      <selection activeCell="A15" sqref="A15"/>
    </sheetView>
  </sheetViews>
  <sheetFormatPr defaultRowHeight="15" x14ac:dyDescent="0.25"/>
  <cols>
    <col min="1" max="4" width="21.140625" customWidth="1"/>
  </cols>
  <sheetData>
    <row r="1" spans="1:4" x14ac:dyDescent="0.25">
      <c r="A1" t="s">
        <v>102</v>
      </c>
      <c r="B1" t="s">
        <v>106</v>
      </c>
      <c r="C1" t="s">
        <v>107</v>
      </c>
      <c r="D1" t="s">
        <v>108</v>
      </c>
    </row>
    <row r="2" spans="1:4" x14ac:dyDescent="0.25">
      <c r="A2" t="s">
        <v>103</v>
      </c>
      <c r="B2" t="s">
        <v>113</v>
      </c>
      <c r="C2" t="s">
        <v>111</v>
      </c>
      <c r="D2" t="s">
        <v>112</v>
      </c>
    </row>
    <row r="3" spans="1:4" x14ac:dyDescent="0.25">
      <c r="A3" t="s">
        <v>104</v>
      </c>
      <c r="B3" t="s">
        <v>113</v>
      </c>
      <c r="C3" t="s">
        <v>111</v>
      </c>
      <c r="D3" t="s">
        <v>112</v>
      </c>
    </row>
    <row r="4" spans="1:4" x14ac:dyDescent="0.25">
      <c r="A4" t="s">
        <v>105</v>
      </c>
      <c r="B4" t="s">
        <v>113</v>
      </c>
      <c r="C4" t="s">
        <v>111</v>
      </c>
      <c r="D4" t="s">
        <v>112</v>
      </c>
    </row>
    <row r="5" spans="1:4" x14ac:dyDescent="0.25">
      <c r="A5" t="s">
        <v>103</v>
      </c>
      <c r="B5" t="s">
        <v>114</v>
      </c>
      <c r="C5" t="s">
        <v>111</v>
      </c>
      <c r="D5" t="s">
        <v>112</v>
      </c>
    </row>
    <row r="6" spans="1:4" x14ac:dyDescent="0.25">
      <c r="A6" t="s">
        <v>104</v>
      </c>
      <c r="B6" t="s">
        <v>114</v>
      </c>
      <c r="C6" t="s">
        <v>111</v>
      </c>
      <c r="D6" t="s">
        <v>112</v>
      </c>
    </row>
    <row r="7" spans="1:4" x14ac:dyDescent="0.25">
      <c r="A7" t="s">
        <v>105</v>
      </c>
      <c r="B7" t="s">
        <v>114</v>
      </c>
      <c r="C7" t="s">
        <v>111</v>
      </c>
      <c r="D7" t="s">
        <v>112</v>
      </c>
    </row>
    <row r="8" spans="1:4" x14ac:dyDescent="0.25">
      <c r="A8" t="s">
        <v>103</v>
      </c>
      <c r="B8" t="s">
        <v>115</v>
      </c>
      <c r="C8" t="s">
        <v>111</v>
      </c>
      <c r="D8" t="s">
        <v>112</v>
      </c>
    </row>
    <row r="9" spans="1:4" x14ac:dyDescent="0.25">
      <c r="A9" t="s">
        <v>104</v>
      </c>
      <c r="B9" t="s">
        <v>115</v>
      </c>
      <c r="C9" t="s">
        <v>111</v>
      </c>
      <c r="D9" t="s">
        <v>112</v>
      </c>
    </row>
    <row r="10" spans="1:4" x14ac:dyDescent="0.25">
      <c r="A10" t="s">
        <v>105</v>
      </c>
      <c r="B10" t="s">
        <v>115</v>
      </c>
      <c r="C10" t="s">
        <v>111</v>
      </c>
      <c r="D10" t="s">
        <v>112</v>
      </c>
    </row>
    <row r="11" spans="1:4" x14ac:dyDescent="0.25">
      <c r="A11" t="s">
        <v>103</v>
      </c>
      <c r="B11" t="s">
        <v>109</v>
      </c>
      <c r="C11" t="s">
        <v>111</v>
      </c>
      <c r="D11" t="s">
        <v>112</v>
      </c>
    </row>
    <row r="12" spans="1:4" x14ac:dyDescent="0.25">
      <c r="A12" t="s">
        <v>104</v>
      </c>
      <c r="B12" t="s">
        <v>110</v>
      </c>
      <c r="C12" t="s">
        <v>111</v>
      </c>
      <c r="D12" t="s">
        <v>112</v>
      </c>
    </row>
    <row r="13" spans="1:4" x14ac:dyDescent="0.25">
      <c r="A13" t="s">
        <v>105</v>
      </c>
      <c r="B13" t="s">
        <v>109</v>
      </c>
      <c r="C13" t="s">
        <v>111</v>
      </c>
      <c r="D13" t="s">
        <v>112</v>
      </c>
    </row>
    <row r="14" spans="1:4" x14ac:dyDescent="0.25">
      <c r="A14" t="s">
        <v>116</v>
      </c>
      <c r="B14" t="s">
        <v>117</v>
      </c>
      <c r="C14" t="s">
        <v>118</v>
      </c>
      <c r="D1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15</vt:i4>
      </vt:variant>
      <vt:variant>
        <vt:lpstr>النطاقات المسماة</vt:lpstr>
      </vt:variant>
      <vt:variant>
        <vt:i4>12</vt:i4>
      </vt:variant>
    </vt:vector>
  </HeadingPairs>
  <TitlesOfParts>
    <vt:vector size="27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ورقة1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2026-07-18T07:39:36Z</dcterms:modified>
  <dc:language>en-US</dc:language>
</cp:coreProperties>
</file>
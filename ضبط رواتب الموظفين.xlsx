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esktop\ملفات خاصة بالمعمل ووظائفه\"/>
    </mc:Choice>
  </mc:AlternateContent>
  <xr:revisionPtr revIDLastSave="0" documentId="13_ncr:1_{D1D3CF1A-AB5D-4ACD-B643-B6EB7983707B}" xr6:coauthVersionLast="47" xr6:coauthVersionMax="47" xr10:uidLastSave="{00000000-0000-0000-0000-000000000000}"/>
  <bookViews>
    <workbookView xWindow="-120" yWindow="-120" windowWidth="20730" windowHeight="11160" tabRatio="500" firstSheet="7" activeTab="7" xr2:uid="{00000000-000D-0000-FFFF-FFFF00000000}"/>
  </bookViews>
  <sheets>
    <sheet name="الملخص السنوي" sheetId="1" r:id="rId1"/>
    <sheet name="بيانات الموظفين" sheetId="2" r:id="rId2"/>
    <sheet name="يناير" sheetId="3" r:id="rId3"/>
    <sheet name="فبراير" sheetId="4" r:id="rId4"/>
    <sheet name="مارس" sheetId="5" r:id="rId5"/>
    <sheet name="أبريل" sheetId="6" r:id="rId6"/>
    <sheet name="مايو" sheetId="7" r:id="rId7"/>
    <sheet name="يونيو" sheetId="8" r:id="rId8"/>
    <sheet name="يوليو" sheetId="9" r:id="rId9"/>
    <sheet name="أغسطس" sheetId="10" r:id="rId10"/>
    <sheet name="سبتمبر" sheetId="11" r:id="rId11"/>
    <sheet name="أكتوبر" sheetId="12" r:id="rId12"/>
    <sheet name="نوفمبر" sheetId="13" r:id="rId13"/>
    <sheet name="ديسمبر" sheetId="14" r:id="rId14"/>
  </sheets>
  <definedNames>
    <definedName name="_xlnm.Print_Titles" localSheetId="5">أبريل!$1:$5</definedName>
    <definedName name="_xlnm.Print_Titles" localSheetId="9">أغسطس!$1:$5</definedName>
    <definedName name="_xlnm.Print_Titles" localSheetId="11">أكتوبر!$1:$5</definedName>
    <definedName name="_xlnm.Print_Titles" localSheetId="13">ديسمبر!$1:$5</definedName>
    <definedName name="_xlnm.Print_Titles" localSheetId="10">سبتمبر!$1:$5</definedName>
    <definedName name="_xlnm.Print_Titles" localSheetId="3">فبراير!$1:$5</definedName>
    <definedName name="_xlnm.Print_Titles" localSheetId="4">مارس!$1:$5</definedName>
    <definedName name="_xlnm.Print_Titles" localSheetId="6">مايو!$1:$5</definedName>
    <definedName name="_xlnm.Print_Titles" localSheetId="12">نوفمبر!$1:$5</definedName>
    <definedName name="_xlnm.Print_Titles" localSheetId="2">يناير!$1:$5</definedName>
    <definedName name="_xlnm.Print_Titles" localSheetId="8">يوليو!$1:$5</definedName>
    <definedName name="_xlnm.Print_Titles" localSheetId="7">يونيو!$1:$5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0" i="14" l="1"/>
  <c r="B30" i="14"/>
  <c r="C29" i="14"/>
  <c r="B29" i="14"/>
  <c r="C28" i="14"/>
  <c r="B28" i="14"/>
  <c r="C27" i="14"/>
  <c r="B27" i="14"/>
  <c r="C26" i="14"/>
  <c r="B26" i="14"/>
  <c r="C25" i="14"/>
  <c r="B25" i="14"/>
  <c r="C24" i="14"/>
  <c r="B24" i="14"/>
  <c r="C23" i="14"/>
  <c r="B23" i="14"/>
  <c r="C22" i="14"/>
  <c r="B22" i="14"/>
  <c r="C21" i="14"/>
  <c r="C31" i="14" s="1"/>
  <c r="B21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M16" i="14"/>
  <c r="I30" i="14" s="1"/>
  <c r="AL16" i="14"/>
  <c r="F30" i="14" s="1"/>
  <c r="AK16" i="14"/>
  <c r="AI16" i="14"/>
  <c r="AH16" i="14"/>
  <c r="E30" i="14" s="1"/>
  <c r="AG16" i="14"/>
  <c r="D30" i="14" s="1"/>
  <c r="A16" i="14"/>
  <c r="AM15" i="14"/>
  <c r="I29" i="14" s="1"/>
  <c r="AL15" i="14"/>
  <c r="F29" i="14" s="1"/>
  <c r="AK15" i="14"/>
  <c r="AI15" i="14"/>
  <c r="AH15" i="14"/>
  <c r="E29" i="14" s="1"/>
  <c r="AG15" i="14"/>
  <c r="D29" i="14" s="1"/>
  <c r="A15" i="14"/>
  <c r="AM14" i="14"/>
  <c r="I28" i="14" s="1"/>
  <c r="AL14" i="14"/>
  <c r="F28" i="14" s="1"/>
  <c r="AK14" i="14"/>
  <c r="AI14" i="14"/>
  <c r="AH14" i="14"/>
  <c r="E28" i="14" s="1"/>
  <c r="AG14" i="14"/>
  <c r="D28" i="14" s="1"/>
  <c r="A14" i="14"/>
  <c r="AM13" i="14"/>
  <c r="I27" i="14" s="1"/>
  <c r="AL13" i="14"/>
  <c r="F27" i="14" s="1"/>
  <c r="AK13" i="14"/>
  <c r="AI13" i="14"/>
  <c r="AH13" i="14"/>
  <c r="E27" i="14" s="1"/>
  <c r="AG13" i="14"/>
  <c r="D27" i="14" s="1"/>
  <c r="A13" i="14"/>
  <c r="AM12" i="14"/>
  <c r="I26" i="14" s="1"/>
  <c r="AL12" i="14"/>
  <c r="F26" i="14" s="1"/>
  <c r="AK12" i="14"/>
  <c r="AI12" i="14"/>
  <c r="AH12" i="14"/>
  <c r="E26" i="14" s="1"/>
  <c r="AG12" i="14"/>
  <c r="D26" i="14" s="1"/>
  <c r="A12" i="14"/>
  <c r="AK11" i="14"/>
  <c r="AI11" i="14"/>
  <c r="AH11" i="14"/>
  <c r="E25" i="14" s="1"/>
  <c r="AG11" i="14"/>
  <c r="A11" i="14"/>
  <c r="AK10" i="14"/>
  <c r="AI10" i="14"/>
  <c r="AH10" i="14"/>
  <c r="E24" i="14" s="1"/>
  <c r="AG10" i="14"/>
  <c r="A10" i="14"/>
  <c r="AK9" i="14"/>
  <c r="AI9" i="14"/>
  <c r="AH9" i="14"/>
  <c r="E23" i="14" s="1"/>
  <c r="AG9" i="14"/>
  <c r="A9" i="14"/>
  <c r="AK8" i="14"/>
  <c r="AI8" i="14"/>
  <c r="AH8" i="14"/>
  <c r="E22" i="14" s="1"/>
  <c r="AG8" i="14"/>
  <c r="A8" i="14"/>
  <c r="AK7" i="14"/>
  <c r="AI7" i="14"/>
  <c r="AH7" i="14"/>
  <c r="E21" i="14" s="1"/>
  <c r="AG7" i="14"/>
  <c r="A7" i="14"/>
  <c r="C31" i="13"/>
  <c r="D30" i="13"/>
  <c r="C30" i="13"/>
  <c r="B30" i="13"/>
  <c r="D29" i="13"/>
  <c r="C29" i="13"/>
  <c r="B29" i="13"/>
  <c r="F28" i="13"/>
  <c r="D28" i="13"/>
  <c r="C28" i="13"/>
  <c r="B28" i="13"/>
  <c r="D27" i="13"/>
  <c r="C27" i="13"/>
  <c r="B27" i="13"/>
  <c r="D26" i="13"/>
  <c r="C26" i="13"/>
  <c r="B26" i="13"/>
  <c r="D25" i="13"/>
  <c r="C25" i="13"/>
  <c r="B25" i="13"/>
  <c r="D24" i="13"/>
  <c r="C24" i="13"/>
  <c r="B24" i="13"/>
  <c r="D23" i="13"/>
  <c r="C23" i="13"/>
  <c r="B23" i="13"/>
  <c r="D22" i="13"/>
  <c r="C22" i="13"/>
  <c r="B22" i="13"/>
  <c r="D21" i="13"/>
  <c r="C21" i="13"/>
  <c r="B21" i="13"/>
  <c r="AH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AL16" i="13"/>
  <c r="I30" i="13" s="1"/>
  <c r="AK16" i="13"/>
  <c r="F30" i="13" s="1"/>
  <c r="AJ16" i="13"/>
  <c r="AI16" i="13"/>
  <c r="H30" i="13" s="1"/>
  <c r="AH16" i="13"/>
  <c r="G30" i="13" s="1"/>
  <c r="AG16" i="13"/>
  <c r="E30" i="13" s="1"/>
  <c r="AF16" i="13"/>
  <c r="A16" i="13"/>
  <c r="AL15" i="13"/>
  <c r="I29" i="13" s="1"/>
  <c r="AK15" i="13"/>
  <c r="F29" i="13" s="1"/>
  <c r="AJ15" i="13"/>
  <c r="AI15" i="13"/>
  <c r="H29" i="13" s="1"/>
  <c r="AH15" i="13"/>
  <c r="G29" i="13" s="1"/>
  <c r="AG15" i="13"/>
  <c r="E29" i="13" s="1"/>
  <c r="AF15" i="13"/>
  <c r="A15" i="13"/>
  <c r="AL14" i="13"/>
  <c r="I28" i="13" s="1"/>
  <c r="AK14" i="13"/>
  <c r="AJ14" i="13"/>
  <c r="AI14" i="13"/>
  <c r="H28" i="13" s="1"/>
  <c r="AH14" i="13"/>
  <c r="G28" i="13" s="1"/>
  <c r="AG14" i="13"/>
  <c r="E28" i="13" s="1"/>
  <c r="AF14" i="13"/>
  <c r="A14" i="13"/>
  <c r="AL13" i="13"/>
  <c r="I27" i="13" s="1"/>
  <c r="AK13" i="13"/>
  <c r="F27" i="13" s="1"/>
  <c r="AJ13" i="13"/>
  <c r="AI13" i="13"/>
  <c r="H27" i="13" s="1"/>
  <c r="AH13" i="13"/>
  <c r="G27" i="13" s="1"/>
  <c r="AG13" i="13"/>
  <c r="E27" i="13" s="1"/>
  <c r="AF13" i="13"/>
  <c r="A13" i="13"/>
  <c r="AL12" i="13"/>
  <c r="I26" i="13" s="1"/>
  <c r="AK12" i="13"/>
  <c r="F26" i="13" s="1"/>
  <c r="AJ12" i="13"/>
  <c r="AI12" i="13"/>
  <c r="H26" i="13" s="1"/>
  <c r="AH12" i="13"/>
  <c r="G26" i="13" s="1"/>
  <c r="AG12" i="13"/>
  <c r="E26" i="13" s="1"/>
  <c r="AF12" i="13"/>
  <c r="A12" i="13"/>
  <c r="AK11" i="13"/>
  <c r="F25" i="13" s="1"/>
  <c r="AI11" i="13"/>
  <c r="H25" i="13" s="1"/>
  <c r="AH11" i="13"/>
  <c r="G25" i="13" s="1"/>
  <c r="AG11" i="13"/>
  <c r="E25" i="13" s="1"/>
  <c r="AF11" i="13"/>
  <c r="AJ11" i="13" s="1"/>
  <c r="A11" i="13"/>
  <c r="AI10" i="13"/>
  <c r="AH10" i="13"/>
  <c r="G24" i="13" s="1"/>
  <c r="AG10" i="13"/>
  <c r="E24" i="13" s="1"/>
  <c r="AF10" i="13"/>
  <c r="A10" i="13"/>
  <c r="AK9" i="13"/>
  <c r="F23" i="13" s="1"/>
  <c r="AI9" i="13"/>
  <c r="H23" i="13" s="1"/>
  <c r="AH9" i="13"/>
  <c r="G23" i="13" s="1"/>
  <c r="AG9" i="13"/>
  <c r="E23" i="13" s="1"/>
  <c r="AF9" i="13"/>
  <c r="AJ9" i="13" s="1"/>
  <c r="A9" i="13"/>
  <c r="AI8" i="13"/>
  <c r="AH8" i="13"/>
  <c r="G22" i="13" s="1"/>
  <c r="AG8" i="13"/>
  <c r="E22" i="13" s="1"/>
  <c r="AF8" i="13"/>
  <c r="A8" i="13"/>
  <c r="AK7" i="13"/>
  <c r="AI7" i="13"/>
  <c r="H21" i="13" s="1"/>
  <c r="AH7" i="13"/>
  <c r="G21" i="13" s="1"/>
  <c r="G31" i="13" s="1"/>
  <c r="AG7" i="13"/>
  <c r="AF7" i="13"/>
  <c r="AJ7" i="13" s="1"/>
  <c r="A7" i="13"/>
  <c r="C30" i="12"/>
  <c r="B30" i="12"/>
  <c r="E29" i="12"/>
  <c r="C29" i="12"/>
  <c r="B29" i="12"/>
  <c r="G28" i="12"/>
  <c r="C28" i="12"/>
  <c r="B28" i="12"/>
  <c r="C27" i="12"/>
  <c r="B27" i="12"/>
  <c r="C26" i="12"/>
  <c r="B26" i="12"/>
  <c r="E25" i="12"/>
  <c r="C25" i="12"/>
  <c r="B25" i="12"/>
  <c r="G24" i="12"/>
  <c r="C24" i="12"/>
  <c r="B24" i="12"/>
  <c r="C23" i="12"/>
  <c r="B23" i="12"/>
  <c r="C22" i="12"/>
  <c r="B22" i="12"/>
  <c r="E21" i="12"/>
  <c r="C21" i="12"/>
  <c r="B21" i="12"/>
  <c r="AF17" i="12"/>
  <c r="AE17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B17" i="12"/>
  <c r="AM16" i="12"/>
  <c r="I30" i="12" s="1"/>
  <c r="AL16" i="12"/>
  <c r="F30" i="12" s="1"/>
  <c r="AK16" i="12"/>
  <c r="AJ16" i="12"/>
  <c r="H30" i="12" s="1"/>
  <c r="AI16" i="12"/>
  <c r="G30" i="12" s="1"/>
  <c r="AH16" i="12"/>
  <c r="E30" i="12" s="1"/>
  <c r="AG16" i="12"/>
  <c r="D30" i="12" s="1"/>
  <c r="A16" i="12"/>
  <c r="AM15" i="12"/>
  <c r="I29" i="12" s="1"/>
  <c r="AL15" i="12"/>
  <c r="F29" i="12" s="1"/>
  <c r="AK15" i="12"/>
  <c r="AJ15" i="12"/>
  <c r="H29" i="12" s="1"/>
  <c r="AI15" i="12"/>
  <c r="G29" i="12" s="1"/>
  <c r="AH15" i="12"/>
  <c r="AG15" i="12"/>
  <c r="D29" i="12" s="1"/>
  <c r="A15" i="12"/>
  <c r="AM14" i="12"/>
  <c r="I28" i="12" s="1"/>
  <c r="AL14" i="12"/>
  <c r="F28" i="12" s="1"/>
  <c r="AK14" i="12"/>
  <c r="AJ14" i="12"/>
  <c r="H28" i="12" s="1"/>
  <c r="AI14" i="12"/>
  <c r="AH14" i="12"/>
  <c r="E28" i="12" s="1"/>
  <c r="AG14" i="12"/>
  <c r="D28" i="12" s="1"/>
  <c r="A14" i="12"/>
  <c r="AM13" i="12"/>
  <c r="I27" i="12" s="1"/>
  <c r="AL13" i="12"/>
  <c r="F27" i="12" s="1"/>
  <c r="AK13" i="12"/>
  <c r="AJ13" i="12"/>
  <c r="H27" i="12" s="1"/>
  <c r="AI13" i="12"/>
  <c r="G27" i="12" s="1"/>
  <c r="AH13" i="12"/>
  <c r="E27" i="12" s="1"/>
  <c r="AG13" i="12"/>
  <c r="D27" i="12" s="1"/>
  <c r="A13" i="12"/>
  <c r="AM12" i="12"/>
  <c r="I26" i="12" s="1"/>
  <c r="AL12" i="12"/>
  <c r="F26" i="12" s="1"/>
  <c r="AK12" i="12"/>
  <c r="AJ12" i="12"/>
  <c r="H26" i="12" s="1"/>
  <c r="AI12" i="12"/>
  <c r="G26" i="12" s="1"/>
  <c r="AH12" i="12"/>
  <c r="E26" i="12" s="1"/>
  <c r="AG12" i="12"/>
  <c r="D26" i="12" s="1"/>
  <c r="A12" i="12"/>
  <c r="AJ11" i="12"/>
  <c r="AI11" i="12"/>
  <c r="G25" i="12" s="1"/>
  <c r="AH11" i="12"/>
  <c r="AG11" i="12"/>
  <c r="D25" i="12" s="1"/>
  <c r="A11" i="12"/>
  <c r="AJ10" i="12"/>
  <c r="AI10" i="12"/>
  <c r="AH10" i="12"/>
  <c r="E24" i="12" s="1"/>
  <c r="AG10" i="12"/>
  <c r="D24" i="12" s="1"/>
  <c r="A10" i="12"/>
  <c r="AJ9" i="12"/>
  <c r="AI9" i="12"/>
  <c r="G23" i="12" s="1"/>
  <c r="AH9" i="12"/>
  <c r="E23" i="12" s="1"/>
  <c r="AG9" i="12"/>
  <c r="D23" i="12" s="1"/>
  <c r="A9" i="12"/>
  <c r="AJ8" i="12"/>
  <c r="AI8" i="12"/>
  <c r="G22" i="12" s="1"/>
  <c r="AH8" i="12"/>
  <c r="E22" i="12" s="1"/>
  <c r="AG8" i="12"/>
  <c r="D22" i="12" s="1"/>
  <c r="A8" i="12"/>
  <c r="AJ7" i="12"/>
  <c r="AI7" i="12"/>
  <c r="AI17" i="12" s="1"/>
  <c r="AH7" i="12"/>
  <c r="AH17" i="12" s="1"/>
  <c r="AG7" i="12"/>
  <c r="A7" i="12"/>
  <c r="C31" i="11"/>
  <c r="E30" i="11"/>
  <c r="C30" i="11"/>
  <c r="B30" i="11"/>
  <c r="E29" i="11"/>
  <c r="C29" i="11"/>
  <c r="B29" i="11"/>
  <c r="E28" i="11"/>
  <c r="C28" i="11"/>
  <c r="B28" i="11"/>
  <c r="E27" i="11"/>
  <c r="C27" i="11"/>
  <c r="B27" i="11"/>
  <c r="E26" i="11"/>
  <c r="C26" i="11"/>
  <c r="B26" i="11"/>
  <c r="E25" i="11"/>
  <c r="C25" i="11"/>
  <c r="B25" i="11"/>
  <c r="E24" i="11"/>
  <c r="C24" i="11"/>
  <c r="B24" i="11"/>
  <c r="E23" i="11"/>
  <c r="C23" i="11"/>
  <c r="B23" i="11"/>
  <c r="E22" i="11"/>
  <c r="C22" i="11"/>
  <c r="B22" i="11"/>
  <c r="E21" i="11"/>
  <c r="E31" i="11" s="1"/>
  <c r="C21" i="11"/>
  <c r="B21" i="11"/>
  <c r="AG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L16" i="11"/>
  <c r="I30" i="11" s="1"/>
  <c r="AK16" i="11"/>
  <c r="F30" i="11" s="1"/>
  <c r="AJ16" i="11"/>
  <c r="AH16" i="11"/>
  <c r="AG16" i="11"/>
  <c r="AF16" i="11"/>
  <c r="D30" i="11" s="1"/>
  <c r="A16" i="11"/>
  <c r="AL15" i="11"/>
  <c r="I29" i="11" s="1"/>
  <c r="AK15" i="11"/>
  <c r="F29" i="11" s="1"/>
  <c r="AJ15" i="11"/>
  <c r="AH15" i="11"/>
  <c r="AG15" i="11"/>
  <c r="AF15" i="11"/>
  <c r="D29" i="11" s="1"/>
  <c r="A15" i="11"/>
  <c r="AL14" i="11"/>
  <c r="I28" i="11" s="1"/>
  <c r="AK14" i="11"/>
  <c r="F28" i="11" s="1"/>
  <c r="AJ14" i="11"/>
  <c r="AH14" i="11"/>
  <c r="AG14" i="11"/>
  <c r="AF14" i="11"/>
  <c r="D28" i="11" s="1"/>
  <c r="A14" i="11"/>
  <c r="AL13" i="11"/>
  <c r="I27" i="11" s="1"/>
  <c r="AK13" i="11"/>
  <c r="F27" i="11" s="1"/>
  <c r="AJ13" i="11"/>
  <c r="AH13" i="11"/>
  <c r="AG13" i="11"/>
  <c r="AF13" i="11"/>
  <c r="D27" i="11" s="1"/>
  <c r="A13" i="11"/>
  <c r="AL12" i="11"/>
  <c r="I26" i="11" s="1"/>
  <c r="AK12" i="11"/>
  <c r="F26" i="11" s="1"/>
  <c r="AJ12" i="11"/>
  <c r="AH12" i="11"/>
  <c r="AG12" i="11"/>
  <c r="AF12" i="11"/>
  <c r="D26" i="11" s="1"/>
  <c r="A12" i="11"/>
  <c r="AH11" i="11"/>
  <c r="AG11" i="11"/>
  <c r="AK11" i="11" s="1"/>
  <c r="F25" i="11" s="1"/>
  <c r="AF11" i="11"/>
  <c r="D25" i="11" s="1"/>
  <c r="A11" i="11"/>
  <c r="AH10" i="11"/>
  <c r="AG10" i="11"/>
  <c r="AK10" i="11" s="1"/>
  <c r="F24" i="11" s="1"/>
  <c r="AF10" i="11"/>
  <c r="D24" i="11" s="1"/>
  <c r="A10" i="11"/>
  <c r="AH9" i="11"/>
  <c r="AG9" i="11"/>
  <c r="AK9" i="11" s="1"/>
  <c r="F23" i="11" s="1"/>
  <c r="AF9" i="11"/>
  <c r="D23" i="11" s="1"/>
  <c r="A9" i="11"/>
  <c r="AH8" i="11"/>
  <c r="AG8" i="11"/>
  <c r="AK8" i="11" s="1"/>
  <c r="F22" i="11" s="1"/>
  <c r="AF8" i="11"/>
  <c r="D22" i="11" s="1"/>
  <c r="A8" i="11"/>
  <c r="AH7" i="11"/>
  <c r="AG7" i="11"/>
  <c r="AK7" i="11" s="1"/>
  <c r="AF7" i="11"/>
  <c r="D21" i="11" s="1"/>
  <c r="D31" i="11" s="1"/>
  <c r="A7" i="11"/>
  <c r="C30" i="10"/>
  <c r="B30" i="10"/>
  <c r="C29" i="10"/>
  <c r="B29" i="10"/>
  <c r="C28" i="10"/>
  <c r="B28" i="10"/>
  <c r="C27" i="10"/>
  <c r="B27" i="10"/>
  <c r="C26" i="10"/>
  <c r="B26" i="10"/>
  <c r="C25" i="10"/>
  <c r="B25" i="10"/>
  <c r="C24" i="10"/>
  <c r="B24" i="10"/>
  <c r="C23" i="10"/>
  <c r="B23" i="10"/>
  <c r="C22" i="10"/>
  <c r="B22" i="10"/>
  <c r="C21" i="10"/>
  <c r="C31" i="10" s="1"/>
  <c r="B21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M16" i="10"/>
  <c r="I30" i="10" s="1"/>
  <c r="AL16" i="10"/>
  <c r="F30" i="10" s="1"/>
  <c r="AK16" i="10"/>
  <c r="AI16" i="10"/>
  <c r="AH16" i="10"/>
  <c r="E30" i="10" s="1"/>
  <c r="AG16" i="10"/>
  <c r="D30" i="10" s="1"/>
  <c r="A16" i="10"/>
  <c r="AM15" i="10"/>
  <c r="I29" i="10" s="1"/>
  <c r="AL15" i="10"/>
  <c r="F29" i="10" s="1"/>
  <c r="AK15" i="10"/>
  <c r="AI15" i="10"/>
  <c r="AH15" i="10"/>
  <c r="E29" i="10" s="1"/>
  <c r="AG15" i="10"/>
  <c r="D29" i="10" s="1"/>
  <c r="A15" i="10"/>
  <c r="AM14" i="10"/>
  <c r="I28" i="10" s="1"/>
  <c r="AL14" i="10"/>
  <c r="F28" i="10" s="1"/>
  <c r="AK14" i="10"/>
  <c r="AI14" i="10"/>
  <c r="AH14" i="10"/>
  <c r="E28" i="10" s="1"/>
  <c r="AG14" i="10"/>
  <c r="D28" i="10" s="1"/>
  <c r="A14" i="10"/>
  <c r="AM13" i="10"/>
  <c r="I27" i="10" s="1"/>
  <c r="AL13" i="10"/>
  <c r="F27" i="10" s="1"/>
  <c r="AK13" i="10"/>
  <c r="AI13" i="10"/>
  <c r="AH13" i="10"/>
  <c r="E27" i="10" s="1"/>
  <c r="AG13" i="10"/>
  <c r="D27" i="10" s="1"/>
  <c r="A13" i="10"/>
  <c r="AM12" i="10"/>
  <c r="I26" i="10" s="1"/>
  <c r="AL12" i="10"/>
  <c r="F26" i="10" s="1"/>
  <c r="AK12" i="10"/>
  <c r="AI12" i="10"/>
  <c r="AH12" i="10"/>
  <c r="E26" i="10" s="1"/>
  <c r="AG12" i="10"/>
  <c r="D26" i="10" s="1"/>
  <c r="A12" i="10"/>
  <c r="AI11" i="10"/>
  <c r="AH11" i="10"/>
  <c r="AG11" i="10"/>
  <c r="D25" i="10" s="1"/>
  <c r="A11" i="10"/>
  <c r="AL10" i="10"/>
  <c r="F24" i="10" s="1"/>
  <c r="AI10" i="10"/>
  <c r="AH10" i="10"/>
  <c r="E24" i="10" s="1"/>
  <c r="AG10" i="10"/>
  <c r="A10" i="10"/>
  <c r="AK9" i="10"/>
  <c r="AI9" i="10"/>
  <c r="AH9" i="10"/>
  <c r="E23" i="10" s="1"/>
  <c r="AG9" i="10"/>
  <c r="D23" i="10" s="1"/>
  <c r="A9" i="10"/>
  <c r="AI8" i="10"/>
  <c r="AH8" i="10"/>
  <c r="E22" i="10" s="1"/>
  <c r="AG8" i="10"/>
  <c r="D22" i="10" s="1"/>
  <c r="A8" i="10"/>
  <c r="AI7" i="10"/>
  <c r="AH7" i="10"/>
  <c r="AG7" i="10"/>
  <c r="D21" i="10" s="1"/>
  <c r="A7" i="10"/>
  <c r="G30" i="9"/>
  <c r="C30" i="9"/>
  <c r="B30" i="9"/>
  <c r="G29" i="9"/>
  <c r="C29" i="9"/>
  <c r="B29" i="9"/>
  <c r="G28" i="9"/>
  <c r="C28" i="9"/>
  <c r="B28" i="9"/>
  <c r="G27" i="9"/>
  <c r="C27" i="9"/>
  <c r="B27" i="9"/>
  <c r="G26" i="9"/>
  <c r="C26" i="9"/>
  <c r="B26" i="9"/>
  <c r="G25" i="9"/>
  <c r="C25" i="9"/>
  <c r="B25" i="9"/>
  <c r="G24" i="9"/>
  <c r="C24" i="9"/>
  <c r="B24" i="9"/>
  <c r="G23" i="9"/>
  <c r="C23" i="9"/>
  <c r="B23" i="9"/>
  <c r="G22" i="9"/>
  <c r="C22" i="9"/>
  <c r="B22" i="9"/>
  <c r="G21" i="9"/>
  <c r="G31" i="9" s="1"/>
  <c r="C21" i="9"/>
  <c r="B21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AM16" i="9"/>
  <c r="I30" i="9" s="1"/>
  <c r="AL16" i="9"/>
  <c r="F30" i="9" s="1"/>
  <c r="AK16" i="9"/>
  <c r="AJ16" i="9"/>
  <c r="H30" i="9" s="1"/>
  <c r="AI16" i="9"/>
  <c r="AH16" i="9"/>
  <c r="E30" i="9" s="1"/>
  <c r="AG16" i="9"/>
  <c r="D30" i="9" s="1"/>
  <c r="A16" i="9"/>
  <c r="AM15" i="9"/>
  <c r="I29" i="9" s="1"/>
  <c r="AL15" i="9"/>
  <c r="F29" i="9" s="1"/>
  <c r="AK15" i="9"/>
  <c r="AJ15" i="9"/>
  <c r="H29" i="9" s="1"/>
  <c r="AI15" i="9"/>
  <c r="AH15" i="9"/>
  <c r="E29" i="9" s="1"/>
  <c r="AG15" i="9"/>
  <c r="D29" i="9" s="1"/>
  <c r="A15" i="9"/>
  <c r="AM14" i="9"/>
  <c r="I28" i="9" s="1"/>
  <c r="AL14" i="9"/>
  <c r="F28" i="9" s="1"/>
  <c r="AK14" i="9"/>
  <c r="AJ14" i="9"/>
  <c r="H28" i="9" s="1"/>
  <c r="AI14" i="9"/>
  <c r="AH14" i="9"/>
  <c r="E28" i="9" s="1"/>
  <c r="AG14" i="9"/>
  <c r="D28" i="9" s="1"/>
  <c r="A14" i="9"/>
  <c r="AM13" i="9"/>
  <c r="I27" i="9" s="1"/>
  <c r="AL13" i="9"/>
  <c r="F27" i="9" s="1"/>
  <c r="AK13" i="9"/>
  <c r="AJ13" i="9"/>
  <c r="H27" i="9" s="1"/>
  <c r="AI13" i="9"/>
  <c r="AH13" i="9"/>
  <c r="E27" i="9" s="1"/>
  <c r="AG13" i="9"/>
  <c r="D27" i="9" s="1"/>
  <c r="A13" i="9"/>
  <c r="AM12" i="9"/>
  <c r="I26" i="9" s="1"/>
  <c r="AL12" i="9"/>
  <c r="F26" i="9" s="1"/>
  <c r="AK12" i="9"/>
  <c r="AJ12" i="9"/>
  <c r="H26" i="9" s="1"/>
  <c r="AI12" i="9"/>
  <c r="AH12" i="9"/>
  <c r="E26" i="9" s="1"/>
  <c r="AG12" i="9"/>
  <c r="D26" i="9" s="1"/>
  <c r="A12" i="9"/>
  <c r="AJ11" i="9"/>
  <c r="H25" i="9" s="1"/>
  <c r="AI11" i="9"/>
  <c r="AH11" i="9"/>
  <c r="E25" i="9" s="1"/>
  <c r="AG11" i="9"/>
  <c r="D25" i="9" s="1"/>
  <c r="A11" i="9"/>
  <c r="AJ10" i="9"/>
  <c r="H24" i="9" s="1"/>
  <c r="AI10" i="9"/>
  <c r="AH10" i="9"/>
  <c r="E24" i="9" s="1"/>
  <c r="AG10" i="9"/>
  <c r="A10" i="9"/>
  <c r="AJ9" i="9"/>
  <c r="H23" i="9" s="1"/>
  <c r="AI9" i="9"/>
  <c r="AH9" i="9"/>
  <c r="E23" i="9" s="1"/>
  <c r="AG9" i="9"/>
  <c r="D23" i="9" s="1"/>
  <c r="A9" i="9"/>
  <c r="AJ8" i="9"/>
  <c r="H22" i="9" s="1"/>
  <c r="AI8" i="9"/>
  <c r="AH8" i="9"/>
  <c r="E22" i="9" s="1"/>
  <c r="AG8" i="9"/>
  <c r="D22" i="9" s="1"/>
  <c r="A8" i="9"/>
  <c r="AJ7" i="9"/>
  <c r="H21" i="9" s="1"/>
  <c r="AI7" i="9"/>
  <c r="AI17" i="9" s="1"/>
  <c r="AH7" i="9"/>
  <c r="AG7" i="9"/>
  <c r="AL7" i="9" s="1"/>
  <c r="A7" i="9"/>
  <c r="G30" i="8"/>
  <c r="F30" i="8"/>
  <c r="E30" i="8"/>
  <c r="C30" i="8"/>
  <c r="B30" i="8"/>
  <c r="G29" i="8"/>
  <c r="F29" i="8"/>
  <c r="E29" i="8"/>
  <c r="C29" i="8"/>
  <c r="B29" i="8"/>
  <c r="G28" i="8"/>
  <c r="F28" i="8"/>
  <c r="E28" i="8"/>
  <c r="C28" i="8"/>
  <c r="B28" i="8"/>
  <c r="G27" i="8"/>
  <c r="F27" i="8"/>
  <c r="E27" i="8"/>
  <c r="C27" i="8"/>
  <c r="B27" i="8"/>
  <c r="G26" i="8"/>
  <c r="F26" i="8"/>
  <c r="C26" i="8"/>
  <c r="B26" i="8"/>
  <c r="C25" i="8"/>
  <c r="B25" i="8"/>
  <c r="C24" i="8"/>
  <c r="B24" i="8"/>
  <c r="C23" i="8"/>
  <c r="B23" i="8"/>
  <c r="E22" i="8"/>
  <c r="C22" i="8"/>
  <c r="B22" i="8"/>
  <c r="C21" i="8"/>
  <c r="B21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AL16" i="8"/>
  <c r="I30" i="8" s="1"/>
  <c r="AK16" i="8"/>
  <c r="AJ16" i="8"/>
  <c r="AI16" i="8"/>
  <c r="H30" i="8" s="1"/>
  <c r="AH16" i="8"/>
  <c r="AG16" i="8"/>
  <c r="AF16" i="8"/>
  <c r="D30" i="8" s="1"/>
  <c r="A16" i="8"/>
  <c r="AL15" i="8"/>
  <c r="I29" i="8" s="1"/>
  <c r="AK15" i="8"/>
  <c r="AJ15" i="8"/>
  <c r="AI15" i="8"/>
  <c r="H29" i="8" s="1"/>
  <c r="AH15" i="8"/>
  <c r="AG15" i="8"/>
  <c r="AF15" i="8"/>
  <c r="D29" i="8" s="1"/>
  <c r="A15" i="8"/>
  <c r="AL14" i="8"/>
  <c r="I28" i="8" s="1"/>
  <c r="AK14" i="8"/>
  <c r="AJ14" i="8"/>
  <c r="AI14" i="8"/>
  <c r="H28" i="8" s="1"/>
  <c r="AH14" i="8"/>
  <c r="AG14" i="8"/>
  <c r="AF14" i="8"/>
  <c r="D28" i="8" s="1"/>
  <c r="A14" i="8"/>
  <c r="AL13" i="8"/>
  <c r="I27" i="8" s="1"/>
  <c r="AK13" i="8"/>
  <c r="AJ13" i="8"/>
  <c r="AI13" i="8"/>
  <c r="H27" i="8" s="1"/>
  <c r="AH13" i="8"/>
  <c r="AG13" i="8"/>
  <c r="AF13" i="8"/>
  <c r="D27" i="8" s="1"/>
  <c r="A13" i="8"/>
  <c r="AL12" i="8"/>
  <c r="I26" i="8" s="1"/>
  <c r="AK12" i="8"/>
  <c r="AJ12" i="8"/>
  <c r="AI12" i="8"/>
  <c r="H26" i="8" s="1"/>
  <c r="AH12" i="8"/>
  <c r="AG12" i="8"/>
  <c r="E26" i="8" s="1"/>
  <c r="AF12" i="8"/>
  <c r="D26" i="8" s="1"/>
  <c r="A12" i="8"/>
  <c r="AH11" i="8"/>
  <c r="G25" i="8" s="1"/>
  <c r="AG11" i="8"/>
  <c r="E25" i="8" s="1"/>
  <c r="AF11" i="8"/>
  <c r="A11" i="8"/>
  <c r="AH10" i="8"/>
  <c r="AI10" i="8" s="1"/>
  <c r="AG10" i="8"/>
  <c r="E24" i="8" s="1"/>
  <c r="AF10" i="8"/>
  <c r="A10" i="8"/>
  <c r="AH9" i="8"/>
  <c r="G23" i="8" s="1"/>
  <c r="AG9" i="8"/>
  <c r="E23" i="8" s="1"/>
  <c r="AF9" i="8"/>
  <c r="A9" i="8"/>
  <c r="AI8" i="8"/>
  <c r="AH8" i="8"/>
  <c r="G22" i="8" s="1"/>
  <c r="AG8" i="8"/>
  <c r="AF8" i="8"/>
  <c r="A8" i="8"/>
  <c r="AH7" i="8"/>
  <c r="AI7" i="8" s="1"/>
  <c r="AG7" i="8"/>
  <c r="E21" i="8" s="1"/>
  <c r="AF7" i="8"/>
  <c r="A7" i="8"/>
  <c r="C31" i="7"/>
  <c r="I30" i="7"/>
  <c r="F30" i="7"/>
  <c r="E30" i="7"/>
  <c r="C30" i="7"/>
  <c r="B30" i="7"/>
  <c r="F29" i="7"/>
  <c r="E29" i="7"/>
  <c r="C29" i="7"/>
  <c r="B29" i="7"/>
  <c r="I28" i="7"/>
  <c r="F28" i="7"/>
  <c r="E28" i="7"/>
  <c r="C28" i="7"/>
  <c r="B28" i="7"/>
  <c r="I27" i="7"/>
  <c r="F27" i="7"/>
  <c r="E27" i="7"/>
  <c r="C27" i="7"/>
  <c r="B27" i="7"/>
  <c r="I26" i="7"/>
  <c r="F26" i="7"/>
  <c r="E26" i="7"/>
  <c r="C26" i="7"/>
  <c r="B26" i="7"/>
  <c r="E25" i="7"/>
  <c r="C25" i="7"/>
  <c r="B25" i="7"/>
  <c r="E24" i="7"/>
  <c r="C24" i="7"/>
  <c r="B24" i="7"/>
  <c r="E23" i="7"/>
  <c r="C23" i="7"/>
  <c r="B23" i="7"/>
  <c r="E22" i="7"/>
  <c r="C22" i="7"/>
  <c r="B22" i="7"/>
  <c r="E21" i="7"/>
  <c r="C21" i="7"/>
  <c r="B21" i="7"/>
  <c r="AI17" i="7"/>
  <c r="AH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AM16" i="7"/>
  <c r="AL16" i="7"/>
  <c r="AK16" i="7"/>
  <c r="AJ16" i="7"/>
  <c r="H30" i="7" s="1"/>
  <c r="AI16" i="7"/>
  <c r="G30" i="7" s="1"/>
  <c r="AH16" i="7"/>
  <c r="AG16" i="7"/>
  <c r="D30" i="7" s="1"/>
  <c r="A16" i="7"/>
  <c r="AM15" i="7"/>
  <c r="I29" i="7" s="1"/>
  <c r="AL15" i="7"/>
  <c r="AK15" i="7"/>
  <c r="AJ15" i="7"/>
  <c r="H29" i="7" s="1"/>
  <c r="AI15" i="7"/>
  <c r="G29" i="7" s="1"/>
  <c r="AH15" i="7"/>
  <c r="AG15" i="7"/>
  <c r="D29" i="7" s="1"/>
  <c r="A15" i="7"/>
  <c r="AM14" i="7"/>
  <c r="AL14" i="7"/>
  <c r="AK14" i="7"/>
  <c r="AJ14" i="7"/>
  <c r="H28" i="7" s="1"/>
  <c r="AI14" i="7"/>
  <c r="G28" i="7" s="1"/>
  <c r="AH14" i="7"/>
  <c r="AG14" i="7"/>
  <c r="D28" i="7" s="1"/>
  <c r="A14" i="7"/>
  <c r="AM13" i="7"/>
  <c r="AL13" i="7"/>
  <c r="AK13" i="7"/>
  <c r="AJ13" i="7"/>
  <c r="H27" i="7" s="1"/>
  <c r="AI13" i="7"/>
  <c r="G27" i="7" s="1"/>
  <c r="AH13" i="7"/>
  <c r="AG13" i="7"/>
  <c r="D27" i="7" s="1"/>
  <c r="A13" i="7"/>
  <c r="AM12" i="7"/>
  <c r="AL12" i="7"/>
  <c r="AK12" i="7"/>
  <c r="AJ12" i="7"/>
  <c r="H26" i="7" s="1"/>
  <c r="AI12" i="7"/>
  <c r="G26" i="7" s="1"/>
  <c r="AH12" i="7"/>
  <c r="AG12" i="7"/>
  <c r="D26" i="7" s="1"/>
  <c r="A12" i="7"/>
  <c r="AJ11" i="7"/>
  <c r="AI11" i="7"/>
  <c r="G25" i="7" s="1"/>
  <c r="G31" i="7" s="1"/>
  <c r="AH11" i="7"/>
  <c r="AG11" i="7"/>
  <c r="A11" i="7"/>
  <c r="AJ10" i="7"/>
  <c r="AI10" i="7"/>
  <c r="G24" i="7" s="1"/>
  <c r="AH10" i="7"/>
  <c r="AG10" i="7"/>
  <c r="A10" i="7"/>
  <c r="AJ9" i="7"/>
  <c r="AI9" i="7"/>
  <c r="G23" i="7" s="1"/>
  <c r="AH9" i="7"/>
  <c r="AG9" i="7"/>
  <c r="A9" i="7"/>
  <c r="AJ8" i="7"/>
  <c r="AI8" i="7"/>
  <c r="G22" i="7" s="1"/>
  <c r="AH8" i="7"/>
  <c r="AG8" i="7"/>
  <c r="A8" i="7"/>
  <c r="AJ7" i="7"/>
  <c r="AI7" i="7"/>
  <c r="G21" i="7" s="1"/>
  <c r="AH7" i="7"/>
  <c r="AG7" i="7"/>
  <c r="A7" i="7"/>
  <c r="C31" i="6"/>
  <c r="D30" i="6"/>
  <c r="C30" i="6"/>
  <c r="B30" i="6"/>
  <c r="D29" i="6"/>
  <c r="C29" i="6"/>
  <c r="B29" i="6"/>
  <c r="E28" i="6"/>
  <c r="D28" i="6"/>
  <c r="C28" i="6"/>
  <c r="B28" i="6"/>
  <c r="D27" i="6"/>
  <c r="C27" i="6"/>
  <c r="B27" i="6"/>
  <c r="D26" i="6"/>
  <c r="C26" i="6"/>
  <c r="B26" i="6"/>
  <c r="D25" i="6"/>
  <c r="C25" i="6"/>
  <c r="B25" i="6"/>
  <c r="E24" i="6"/>
  <c r="D24" i="6"/>
  <c r="C24" i="6"/>
  <c r="B24" i="6"/>
  <c r="D23" i="6"/>
  <c r="C23" i="6"/>
  <c r="B23" i="6"/>
  <c r="D22" i="6"/>
  <c r="C22" i="6"/>
  <c r="B22" i="6"/>
  <c r="D21" i="6"/>
  <c r="C21" i="6"/>
  <c r="B21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AL16" i="6"/>
  <c r="I30" i="6" s="1"/>
  <c r="AK16" i="6"/>
  <c r="F30" i="6" s="1"/>
  <c r="AJ16" i="6"/>
  <c r="AH16" i="6"/>
  <c r="AG16" i="6"/>
  <c r="E30" i="6" s="1"/>
  <c r="AF16" i="6"/>
  <c r="A16" i="6"/>
  <c r="AL15" i="6"/>
  <c r="I29" i="6" s="1"/>
  <c r="AK15" i="6"/>
  <c r="F29" i="6" s="1"/>
  <c r="AJ15" i="6"/>
  <c r="AH15" i="6"/>
  <c r="AG15" i="6"/>
  <c r="E29" i="6" s="1"/>
  <c r="AF15" i="6"/>
  <c r="A15" i="6"/>
  <c r="AL14" i="6"/>
  <c r="I28" i="6" s="1"/>
  <c r="AK14" i="6"/>
  <c r="F28" i="6" s="1"/>
  <c r="AJ14" i="6"/>
  <c r="AH14" i="6"/>
  <c r="AG14" i="6"/>
  <c r="AF14" i="6"/>
  <c r="A14" i="6"/>
  <c r="AL13" i="6"/>
  <c r="G11" i="1" s="1"/>
  <c r="AK13" i="6"/>
  <c r="F27" i="6" s="1"/>
  <c r="AJ13" i="6"/>
  <c r="AH13" i="6"/>
  <c r="AG13" i="6"/>
  <c r="E27" i="6" s="1"/>
  <c r="AF13" i="6"/>
  <c r="A13" i="6"/>
  <c r="AL12" i="6"/>
  <c r="I26" i="6" s="1"/>
  <c r="AK12" i="6"/>
  <c r="F26" i="6" s="1"/>
  <c r="AJ12" i="6"/>
  <c r="AH12" i="6"/>
  <c r="AG12" i="6"/>
  <c r="E26" i="6" s="1"/>
  <c r="AF12" i="6"/>
  <c r="A12" i="6"/>
  <c r="AK11" i="6"/>
  <c r="F25" i="6" s="1"/>
  <c r="AI11" i="6"/>
  <c r="H25" i="6" s="1"/>
  <c r="AH11" i="6"/>
  <c r="G25" i="6" s="1"/>
  <c r="AG11" i="6"/>
  <c r="E25" i="6" s="1"/>
  <c r="AF11" i="6"/>
  <c r="AJ11" i="6" s="1"/>
  <c r="A11" i="6"/>
  <c r="AK10" i="6"/>
  <c r="F24" i="6" s="1"/>
  <c r="AI10" i="6"/>
  <c r="AH10" i="6"/>
  <c r="G24" i="6" s="1"/>
  <c r="AG10" i="6"/>
  <c r="AF10" i="6"/>
  <c r="AJ10" i="6" s="1"/>
  <c r="A10" i="6"/>
  <c r="AH9" i="6"/>
  <c r="G23" i="6" s="1"/>
  <c r="AG9" i="6"/>
  <c r="E23" i="6" s="1"/>
  <c r="AF9" i="6"/>
  <c r="A9" i="6"/>
  <c r="AH8" i="6"/>
  <c r="AG8" i="6"/>
  <c r="AF8" i="6"/>
  <c r="A8" i="6"/>
  <c r="AI7" i="6"/>
  <c r="H21" i="6" s="1"/>
  <c r="AH7" i="6"/>
  <c r="G21" i="6" s="1"/>
  <c r="AG7" i="6"/>
  <c r="E21" i="6" s="1"/>
  <c r="AF7" i="6"/>
  <c r="A7" i="6"/>
  <c r="H30" i="5"/>
  <c r="D30" i="5"/>
  <c r="C30" i="5"/>
  <c r="B30" i="5"/>
  <c r="H29" i="5"/>
  <c r="G29" i="5"/>
  <c r="D29" i="5"/>
  <c r="C29" i="5"/>
  <c r="B29" i="5"/>
  <c r="G28" i="5"/>
  <c r="E28" i="5"/>
  <c r="D28" i="5"/>
  <c r="C28" i="5"/>
  <c r="B28" i="5"/>
  <c r="E27" i="5"/>
  <c r="D27" i="5"/>
  <c r="C27" i="5"/>
  <c r="B27" i="5"/>
  <c r="H26" i="5"/>
  <c r="D26" i="5"/>
  <c r="C26" i="5"/>
  <c r="B26" i="5"/>
  <c r="G25" i="5"/>
  <c r="D25" i="5"/>
  <c r="C25" i="5"/>
  <c r="B25" i="5"/>
  <c r="D24" i="5"/>
  <c r="C24" i="5"/>
  <c r="B24" i="5"/>
  <c r="D23" i="5"/>
  <c r="C23" i="5"/>
  <c r="B23" i="5"/>
  <c r="D22" i="5"/>
  <c r="C22" i="5"/>
  <c r="B22" i="5"/>
  <c r="G21" i="5"/>
  <c r="D21" i="5"/>
  <c r="C21" i="5"/>
  <c r="B21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AM16" i="5"/>
  <c r="I30" i="5" s="1"/>
  <c r="AL16" i="5"/>
  <c r="F30" i="5" s="1"/>
  <c r="AK16" i="5"/>
  <c r="AJ16" i="5"/>
  <c r="AI16" i="5"/>
  <c r="G30" i="5" s="1"/>
  <c r="AH16" i="5"/>
  <c r="E30" i="5" s="1"/>
  <c r="AG16" i="5"/>
  <c r="A16" i="5"/>
  <c r="AM15" i="5"/>
  <c r="I29" i="5" s="1"/>
  <c r="AL15" i="5"/>
  <c r="F29" i="5" s="1"/>
  <c r="AK15" i="5"/>
  <c r="AJ15" i="5"/>
  <c r="AI15" i="5"/>
  <c r="AH15" i="5"/>
  <c r="E29" i="5" s="1"/>
  <c r="AG15" i="5"/>
  <c r="A15" i="5"/>
  <c r="AM14" i="5"/>
  <c r="I28" i="5" s="1"/>
  <c r="AL14" i="5"/>
  <c r="F28" i="5" s="1"/>
  <c r="AK14" i="5"/>
  <c r="AJ14" i="5"/>
  <c r="H28" i="5" s="1"/>
  <c r="AI14" i="5"/>
  <c r="AH14" i="5"/>
  <c r="AG14" i="5"/>
  <c r="A14" i="5"/>
  <c r="AM13" i="5"/>
  <c r="F11" i="1" s="1"/>
  <c r="AL13" i="5"/>
  <c r="F27" i="5" s="1"/>
  <c r="AK13" i="5"/>
  <c r="AJ13" i="5"/>
  <c r="H27" i="5" s="1"/>
  <c r="AI13" i="5"/>
  <c r="G27" i="5" s="1"/>
  <c r="AH13" i="5"/>
  <c r="AG13" i="5"/>
  <c r="A13" i="5"/>
  <c r="AM12" i="5"/>
  <c r="I26" i="5" s="1"/>
  <c r="AL12" i="5"/>
  <c r="F26" i="5" s="1"/>
  <c r="AK12" i="5"/>
  <c r="AJ12" i="5"/>
  <c r="AI12" i="5"/>
  <c r="G26" i="5" s="1"/>
  <c r="AH12" i="5"/>
  <c r="E26" i="5" s="1"/>
  <c r="AG12" i="5"/>
  <c r="A12" i="5"/>
  <c r="AI11" i="5"/>
  <c r="AJ11" i="5" s="1"/>
  <c r="AH11" i="5"/>
  <c r="E25" i="5" s="1"/>
  <c r="AG11" i="5"/>
  <c r="A11" i="5"/>
  <c r="AI10" i="5"/>
  <c r="AJ10" i="5" s="1"/>
  <c r="H24" i="5" s="1"/>
  <c r="AH10" i="5"/>
  <c r="AL10" i="5" s="1"/>
  <c r="F24" i="5" s="1"/>
  <c r="AG10" i="5"/>
  <c r="A10" i="5"/>
  <c r="AJ9" i="5"/>
  <c r="H23" i="5" s="1"/>
  <c r="AI9" i="5"/>
  <c r="G23" i="5" s="1"/>
  <c r="AH9" i="5"/>
  <c r="AH17" i="5" s="1"/>
  <c r="AG9" i="5"/>
  <c r="A9" i="5"/>
  <c r="AL8" i="5"/>
  <c r="F22" i="5" s="1"/>
  <c r="AJ8" i="5"/>
  <c r="AM8" i="5" s="1"/>
  <c r="I22" i="5" s="1"/>
  <c r="AI8" i="5"/>
  <c r="G22" i="5" s="1"/>
  <c r="AH8" i="5"/>
  <c r="E22" i="5" s="1"/>
  <c r="AG8" i="5"/>
  <c r="AK8" i="5" s="1"/>
  <c r="A8" i="5"/>
  <c r="AJ7" i="5"/>
  <c r="H21" i="5" s="1"/>
  <c r="AI7" i="5"/>
  <c r="AH7" i="5"/>
  <c r="E21" i="5" s="1"/>
  <c r="AG7" i="5"/>
  <c r="A7" i="5"/>
  <c r="E30" i="4"/>
  <c r="C30" i="4"/>
  <c r="B30" i="4"/>
  <c r="E29" i="4"/>
  <c r="D29" i="4"/>
  <c r="C29" i="4"/>
  <c r="B29" i="4"/>
  <c r="D28" i="4"/>
  <c r="C28" i="4"/>
  <c r="B28" i="4"/>
  <c r="G27" i="4"/>
  <c r="C27" i="4"/>
  <c r="B27" i="4"/>
  <c r="G26" i="4"/>
  <c r="E26" i="4"/>
  <c r="C26" i="4"/>
  <c r="B26" i="4"/>
  <c r="E25" i="4"/>
  <c r="D25" i="4"/>
  <c r="C25" i="4"/>
  <c r="B25" i="4"/>
  <c r="D24" i="4"/>
  <c r="C24" i="4"/>
  <c r="B24" i="4"/>
  <c r="C23" i="4"/>
  <c r="B23" i="4"/>
  <c r="G22" i="4"/>
  <c r="E22" i="4"/>
  <c r="C22" i="4"/>
  <c r="B22" i="4"/>
  <c r="E21" i="4"/>
  <c r="C21" i="4"/>
  <c r="B21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AJ16" i="4"/>
  <c r="I30" i="4" s="1"/>
  <c r="AI16" i="4"/>
  <c r="F30" i="4" s="1"/>
  <c r="AH16" i="4"/>
  <c r="AG16" i="4"/>
  <c r="H30" i="4" s="1"/>
  <c r="AF16" i="4"/>
  <c r="G30" i="4" s="1"/>
  <c r="AE16" i="4"/>
  <c r="AD16" i="4"/>
  <c r="D30" i="4" s="1"/>
  <c r="A16" i="4"/>
  <c r="AJ15" i="4"/>
  <c r="I29" i="4" s="1"/>
  <c r="AI15" i="4"/>
  <c r="F29" i="4" s="1"/>
  <c r="AH15" i="4"/>
  <c r="AG15" i="4"/>
  <c r="H29" i="4" s="1"/>
  <c r="AF15" i="4"/>
  <c r="G29" i="4" s="1"/>
  <c r="AE15" i="4"/>
  <c r="AD15" i="4"/>
  <c r="A15" i="4"/>
  <c r="AJ14" i="4"/>
  <c r="I28" i="4" s="1"/>
  <c r="AI14" i="4"/>
  <c r="F28" i="4" s="1"/>
  <c r="AH14" i="4"/>
  <c r="AG14" i="4"/>
  <c r="H28" i="4" s="1"/>
  <c r="AF14" i="4"/>
  <c r="G28" i="4" s="1"/>
  <c r="AE14" i="4"/>
  <c r="E28" i="4" s="1"/>
  <c r="AD14" i="4"/>
  <c r="A14" i="4"/>
  <c r="AJ13" i="4"/>
  <c r="I27" i="4" s="1"/>
  <c r="AI13" i="4"/>
  <c r="F27" i="4" s="1"/>
  <c r="AH13" i="4"/>
  <c r="AG13" i="4"/>
  <c r="H27" i="4" s="1"/>
  <c r="AF13" i="4"/>
  <c r="AE13" i="4"/>
  <c r="E27" i="4" s="1"/>
  <c r="AD13" i="4"/>
  <c r="D27" i="4" s="1"/>
  <c r="A13" i="4"/>
  <c r="AJ12" i="4"/>
  <c r="I26" i="4" s="1"/>
  <c r="AI12" i="4"/>
  <c r="F26" i="4" s="1"/>
  <c r="AH12" i="4"/>
  <c r="AG12" i="4"/>
  <c r="H26" i="4" s="1"/>
  <c r="AF12" i="4"/>
  <c r="AE12" i="4"/>
  <c r="AD12" i="4"/>
  <c r="D26" i="4" s="1"/>
  <c r="A12" i="4"/>
  <c r="AF11" i="4"/>
  <c r="G25" i="4" s="1"/>
  <c r="AE11" i="4"/>
  <c r="AD11" i="4"/>
  <c r="AI11" i="4" s="1"/>
  <c r="F25" i="4" s="1"/>
  <c r="A11" i="4"/>
  <c r="AG10" i="4"/>
  <c r="H24" i="4" s="1"/>
  <c r="AF10" i="4"/>
  <c r="G24" i="4" s="1"/>
  <c r="AE10" i="4"/>
  <c r="E24" i="4" s="1"/>
  <c r="AD10" i="4"/>
  <c r="AI10" i="4" s="1"/>
  <c r="F24" i="4" s="1"/>
  <c r="A10" i="4"/>
  <c r="AF9" i="4"/>
  <c r="G23" i="4" s="1"/>
  <c r="AE9" i="4"/>
  <c r="E23" i="4" s="1"/>
  <c r="E31" i="4" s="1"/>
  <c r="AD9" i="4"/>
  <c r="AI9" i="4" s="1"/>
  <c r="F23" i="4" s="1"/>
  <c r="A9" i="4"/>
  <c r="AG8" i="4"/>
  <c r="H22" i="4" s="1"/>
  <c r="AF8" i="4"/>
  <c r="AE8" i="4"/>
  <c r="AD8" i="4"/>
  <c r="A8" i="4"/>
  <c r="AG7" i="4"/>
  <c r="AF7" i="4"/>
  <c r="AE7" i="4"/>
  <c r="AE17" i="4" s="1"/>
  <c r="AD7" i="4"/>
  <c r="AI7" i="4" s="1"/>
  <c r="F21" i="4" s="1"/>
  <c r="A7" i="4"/>
  <c r="C31" i="3"/>
  <c r="F30" i="3"/>
  <c r="C30" i="3"/>
  <c r="B30" i="3"/>
  <c r="F29" i="3"/>
  <c r="E29" i="3"/>
  <c r="D29" i="3"/>
  <c r="C29" i="3"/>
  <c r="B29" i="3"/>
  <c r="E28" i="3"/>
  <c r="D28" i="3"/>
  <c r="C28" i="3"/>
  <c r="B28" i="3"/>
  <c r="D27" i="3"/>
  <c r="C27" i="3"/>
  <c r="B27" i="3"/>
  <c r="F26" i="3"/>
  <c r="C26" i="3"/>
  <c r="B26" i="3"/>
  <c r="E25" i="3"/>
  <c r="D25" i="3"/>
  <c r="C25" i="3"/>
  <c r="B25" i="3"/>
  <c r="E24" i="3"/>
  <c r="D24" i="3"/>
  <c r="C24" i="3"/>
  <c r="B24" i="3"/>
  <c r="D23" i="3"/>
  <c r="C23" i="3"/>
  <c r="B23" i="3"/>
  <c r="C22" i="3"/>
  <c r="B22" i="3"/>
  <c r="E21" i="3"/>
  <c r="D21" i="3"/>
  <c r="C21" i="3"/>
  <c r="B21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M16" i="3"/>
  <c r="I30" i="3" s="1"/>
  <c r="AL16" i="3"/>
  <c r="AK16" i="3"/>
  <c r="AI16" i="3"/>
  <c r="G30" i="3" s="1"/>
  <c r="AH16" i="3"/>
  <c r="E30" i="3" s="1"/>
  <c r="AG16" i="3"/>
  <c r="D30" i="3" s="1"/>
  <c r="A16" i="3"/>
  <c r="AM15" i="3"/>
  <c r="I29" i="3" s="1"/>
  <c r="AL15" i="3"/>
  <c r="AK15" i="3"/>
  <c r="AI15" i="3"/>
  <c r="G29" i="3" s="1"/>
  <c r="AH15" i="3"/>
  <c r="AG15" i="3"/>
  <c r="A15" i="3"/>
  <c r="AM14" i="3"/>
  <c r="I28" i="3" s="1"/>
  <c r="AL14" i="3"/>
  <c r="F28" i="3" s="1"/>
  <c r="AK14" i="3"/>
  <c r="AI14" i="3"/>
  <c r="G28" i="3" s="1"/>
  <c r="AH14" i="3"/>
  <c r="AG14" i="3"/>
  <c r="A14" i="3"/>
  <c r="AM13" i="3"/>
  <c r="I27" i="3" s="1"/>
  <c r="AL13" i="3"/>
  <c r="F27" i="3" s="1"/>
  <c r="AK13" i="3"/>
  <c r="AI13" i="3"/>
  <c r="G27" i="3" s="1"/>
  <c r="AH13" i="3"/>
  <c r="E27" i="3" s="1"/>
  <c r="AG13" i="3"/>
  <c r="A13" i="3"/>
  <c r="AM12" i="3"/>
  <c r="I26" i="3" s="1"/>
  <c r="AL12" i="3"/>
  <c r="AK12" i="3"/>
  <c r="AI12" i="3"/>
  <c r="G26" i="3" s="1"/>
  <c r="AH12" i="3"/>
  <c r="E26" i="3" s="1"/>
  <c r="AG12" i="3"/>
  <c r="D26" i="3" s="1"/>
  <c r="A12" i="3"/>
  <c r="AI11" i="3"/>
  <c r="G25" i="3" s="1"/>
  <c r="AH11" i="3"/>
  <c r="AL11" i="3" s="1"/>
  <c r="AG11" i="3"/>
  <c r="AK11" i="3" s="1"/>
  <c r="A11" i="3"/>
  <c r="AI10" i="3"/>
  <c r="G24" i="3" s="1"/>
  <c r="AH10" i="3"/>
  <c r="AL10" i="3" s="1"/>
  <c r="AG10" i="3"/>
  <c r="AK10" i="3" s="1"/>
  <c r="A10" i="3"/>
  <c r="AI9" i="3"/>
  <c r="G23" i="3" s="1"/>
  <c r="AH9" i="3"/>
  <c r="AL9" i="3" s="1"/>
  <c r="AG9" i="3"/>
  <c r="AK9" i="3" s="1"/>
  <c r="A9" i="3"/>
  <c r="AI8" i="3"/>
  <c r="G22" i="3" s="1"/>
  <c r="AH8" i="3"/>
  <c r="E22" i="3" s="1"/>
  <c r="AG8" i="3"/>
  <c r="D22" i="3" s="1"/>
  <c r="A8" i="3"/>
  <c r="AI7" i="3"/>
  <c r="G21" i="3" s="1"/>
  <c r="G31" i="3" s="1"/>
  <c r="AH7" i="3"/>
  <c r="AL7" i="3" s="1"/>
  <c r="AG7" i="3"/>
  <c r="AK7" i="3" s="1"/>
  <c r="A7" i="3"/>
  <c r="P14" i="1"/>
  <c r="N14" i="1"/>
  <c r="M14" i="1"/>
  <c r="L14" i="1"/>
  <c r="K14" i="1"/>
  <c r="J14" i="1"/>
  <c r="I14" i="1"/>
  <c r="H14" i="1"/>
  <c r="G14" i="1"/>
  <c r="E14" i="1"/>
  <c r="C14" i="1"/>
  <c r="B14" i="1"/>
  <c r="P13" i="1"/>
  <c r="O13" i="1"/>
  <c r="N13" i="1"/>
  <c r="M13" i="1"/>
  <c r="L13" i="1"/>
  <c r="J13" i="1"/>
  <c r="I13" i="1"/>
  <c r="H13" i="1"/>
  <c r="F13" i="1"/>
  <c r="E13" i="1"/>
  <c r="C13" i="1"/>
  <c r="B13" i="1"/>
  <c r="P12" i="1"/>
  <c r="O12" i="1"/>
  <c r="N12" i="1"/>
  <c r="M12" i="1"/>
  <c r="L12" i="1"/>
  <c r="K12" i="1"/>
  <c r="J12" i="1"/>
  <c r="I12" i="1"/>
  <c r="H12" i="1"/>
  <c r="G12" i="1"/>
  <c r="E12" i="1"/>
  <c r="D12" i="1"/>
  <c r="C12" i="1"/>
  <c r="B12" i="1"/>
  <c r="P11" i="1"/>
  <c r="N11" i="1"/>
  <c r="M11" i="1"/>
  <c r="L11" i="1"/>
  <c r="K11" i="1"/>
  <c r="J11" i="1"/>
  <c r="I11" i="1"/>
  <c r="H11" i="1"/>
  <c r="E11" i="1"/>
  <c r="D11" i="1"/>
  <c r="C11" i="1"/>
  <c r="B11" i="1"/>
  <c r="P10" i="1"/>
  <c r="N10" i="1"/>
  <c r="M10" i="1"/>
  <c r="L10" i="1"/>
  <c r="K10" i="1"/>
  <c r="J10" i="1"/>
  <c r="I10" i="1"/>
  <c r="H10" i="1"/>
  <c r="G10" i="1"/>
  <c r="E10" i="1"/>
  <c r="D10" i="1"/>
  <c r="C10" i="1"/>
  <c r="B10" i="1"/>
  <c r="C9" i="1"/>
  <c r="B9" i="1"/>
  <c r="C8" i="1"/>
  <c r="B8" i="1"/>
  <c r="C7" i="1"/>
  <c r="B7" i="1"/>
  <c r="C6" i="1"/>
  <c r="B6" i="1"/>
  <c r="C5" i="1"/>
  <c r="C15" i="1" s="1"/>
  <c r="B5" i="1"/>
  <c r="G21" i="8" l="1"/>
  <c r="AI9" i="8"/>
  <c r="AL9" i="8" s="1"/>
  <c r="AI11" i="8"/>
  <c r="F10" i="1"/>
  <c r="F12" i="1"/>
  <c r="G13" i="1"/>
  <c r="K13" i="1"/>
  <c r="D14" i="1"/>
  <c r="D13" i="1"/>
  <c r="I27" i="5"/>
  <c r="O11" i="1"/>
  <c r="Q11" i="1" s="1"/>
  <c r="Q12" i="1"/>
  <c r="F14" i="1"/>
  <c r="AJ17" i="9"/>
  <c r="G24" i="8"/>
  <c r="G31" i="8" s="1"/>
  <c r="E31" i="8"/>
  <c r="AH17" i="8"/>
  <c r="AG17" i="8"/>
  <c r="H25" i="5"/>
  <c r="E31" i="6"/>
  <c r="F21" i="3"/>
  <c r="F23" i="3"/>
  <c r="F24" i="3"/>
  <c r="F25" i="3"/>
  <c r="F21" i="9"/>
  <c r="D22" i="4"/>
  <c r="AI8" i="4"/>
  <c r="G24" i="5"/>
  <c r="G31" i="5" s="1"/>
  <c r="H21" i="4"/>
  <c r="AH8" i="4"/>
  <c r="AD17" i="4"/>
  <c r="AJ17" i="5"/>
  <c r="G28" i="6"/>
  <c r="AI14" i="6"/>
  <c r="H28" i="6" s="1"/>
  <c r="D24" i="7"/>
  <c r="AL10" i="7"/>
  <c r="F24" i="7" s="1"/>
  <c r="G23" i="11"/>
  <c r="AI9" i="11"/>
  <c r="H24" i="12"/>
  <c r="G27" i="14"/>
  <c r="AJ13" i="14"/>
  <c r="H27" i="14" s="1"/>
  <c r="AJ8" i="3"/>
  <c r="AJ9" i="3"/>
  <c r="AJ12" i="3"/>
  <c r="H26" i="3" s="1"/>
  <c r="AH7" i="4"/>
  <c r="AJ10" i="4"/>
  <c r="AI17" i="4"/>
  <c r="D21" i="4"/>
  <c r="E31" i="5"/>
  <c r="AM10" i="5"/>
  <c r="H22" i="5"/>
  <c r="H31" i="5" s="1"/>
  <c r="AI9" i="6"/>
  <c r="G27" i="6"/>
  <c r="AI13" i="6"/>
  <c r="H27" i="6" s="1"/>
  <c r="AG17" i="6"/>
  <c r="I27" i="6"/>
  <c r="D22" i="7"/>
  <c r="AL8" i="7"/>
  <c r="F22" i="7" s="1"/>
  <c r="AK8" i="7"/>
  <c r="H25" i="7"/>
  <c r="H24" i="8"/>
  <c r="E21" i="9"/>
  <c r="E31" i="9" s="1"/>
  <c r="AH17" i="9"/>
  <c r="AL11" i="9"/>
  <c r="F25" i="9" s="1"/>
  <c r="G29" i="11"/>
  <c r="AI15" i="11"/>
  <c r="H29" i="11" s="1"/>
  <c r="D31" i="13"/>
  <c r="F6" i="1"/>
  <c r="AK8" i="3"/>
  <c r="AI17" i="3"/>
  <c r="E23" i="3"/>
  <c r="E31" i="3" s="1"/>
  <c r="AJ7" i="4"/>
  <c r="AG9" i="4"/>
  <c r="AG11" i="4"/>
  <c r="AI17" i="5"/>
  <c r="C31" i="5"/>
  <c r="E23" i="5"/>
  <c r="AJ7" i="6"/>
  <c r="AK7" i="6"/>
  <c r="E22" i="6"/>
  <c r="AK8" i="6"/>
  <c r="F22" i="6" s="1"/>
  <c r="H24" i="6"/>
  <c r="AL10" i="6"/>
  <c r="AL11" i="6"/>
  <c r="G26" i="6"/>
  <c r="AI12" i="6"/>
  <c r="H26" i="6" s="1"/>
  <c r="G30" i="6"/>
  <c r="AI16" i="6"/>
  <c r="H30" i="6" s="1"/>
  <c r="H23" i="7"/>
  <c r="AM9" i="7"/>
  <c r="H22" i="8"/>
  <c r="D24" i="8"/>
  <c r="AK10" i="8"/>
  <c r="F24" i="8" s="1"/>
  <c r="AJ10" i="8"/>
  <c r="D24" i="9"/>
  <c r="AL10" i="9"/>
  <c r="F24" i="9" s="1"/>
  <c r="AK10" i="9"/>
  <c r="E25" i="10"/>
  <c r="AK11" i="10"/>
  <c r="AK10" i="7"/>
  <c r="D21" i="9"/>
  <c r="D31" i="9" s="1"/>
  <c r="AG17" i="9"/>
  <c r="AK7" i="9"/>
  <c r="AK11" i="9"/>
  <c r="E21" i="10"/>
  <c r="E31" i="10" s="1"/>
  <c r="AH17" i="10"/>
  <c r="AK7" i="10"/>
  <c r="AJ7" i="3"/>
  <c r="AJ10" i="3"/>
  <c r="AJ11" i="3"/>
  <c r="AJ13" i="3"/>
  <c r="H27" i="3" s="1"/>
  <c r="AJ14" i="3"/>
  <c r="H28" i="3" s="1"/>
  <c r="AJ15" i="3"/>
  <c r="H29" i="3" s="1"/>
  <c r="AJ16" i="3"/>
  <c r="H30" i="3" s="1"/>
  <c r="O10" i="1"/>
  <c r="Q10" i="1" s="1"/>
  <c r="O14" i="1"/>
  <c r="Q14" i="1" s="1"/>
  <c r="AL8" i="3"/>
  <c r="AL17" i="3" s="1"/>
  <c r="D31" i="3"/>
  <c r="AF17" i="4"/>
  <c r="G21" i="4"/>
  <c r="G31" i="4" s="1"/>
  <c r="AK9" i="5"/>
  <c r="AL9" i="5"/>
  <c r="D31" i="5"/>
  <c r="E24" i="5"/>
  <c r="G22" i="6"/>
  <c r="AI8" i="6"/>
  <c r="G29" i="6"/>
  <c r="AI15" i="6"/>
  <c r="H29" i="6" s="1"/>
  <c r="H21" i="7"/>
  <c r="AM7" i="7"/>
  <c r="AJ17" i="7"/>
  <c r="D22" i="8"/>
  <c r="AK8" i="8"/>
  <c r="F22" i="8" s="1"/>
  <c r="AJ8" i="8"/>
  <c r="C31" i="8"/>
  <c r="H31" i="9"/>
  <c r="AL8" i="9"/>
  <c r="F22" i="9" s="1"/>
  <c r="D31" i="10"/>
  <c r="AH9" i="4"/>
  <c r="AH10" i="4"/>
  <c r="AH11" i="4"/>
  <c r="D23" i="4"/>
  <c r="AK7" i="5"/>
  <c r="AL7" i="5"/>
  <c r="AK11" i="5"/>
  <c r="AL11" i="5"/>
  <c r="F25" i="5" s="1"/>
  <c r="AJ9" i="6"/>
  <c r="AK9" i="6"/>
  <c r="F23" i="6" s="1"/>
  <c r="AH17" i="6"/>
  <c r="D21" i="7"/>
  <c r="AG17" i="7"/>
  <c r="AL7" i="7"/>
  <c r="AK7" i="7"/>
  <c r="D23" i="7"/>
  <c r="AL9" i="7"/>
  <c r="F23" i="7" s="1"/>
  <c r="AK9" i="7"/>
  <c r="D25" i="7"/>
  <c r="AL11" i="7"/>
  <c r="F25" i="7" s="1"/>
  <c r="AK11" i="7"/>
  <c r="H21" i="8"/>
  <c r="H23" i="8"/>
  <c r="AK9" i="9"/>
  <c r="D24" i="10"/>
  <c r="AK10" i="10"/>
  <c r="G26" i="10"/>
  <c r="AJ12" i="10"/>
  <c r="H26" i="10" s="1"/>
  <c r="G30" i="10"/>
  <c r="AJ16" i="10"/>
  <c r="H30" i="10" s="1"/>
  <c r="C31" i="4"/>
  <c r="AK10" i="5"/>
  <c r="AJ8" i="6"/>
  <c r="D31" i="6"/>
  <c r="H22" i="7"/>
  <c r="AM8" i="7"/>
  <c r="H24" i="7"/>
  <c r="AM10" i="7"/>
  <c r="E31" i="7"/>
  <c r="D21" i="8"/>
  <c r="AF17" i="8"/>
  <c r="AK7" i="8"/>
  <c r="AL7" i="8" s="1"/>
  <c r="AJ7" i="8"/>
  <c r="D23" i="8"/>
  <c r="AK9" i="8"/>
  <c r="F23" i="8" s="1"/>
  <c r="AJ9" i="8"/>
  <c r="D25" i="8"/>
  <c r="AK11" i="8"/>
  <c r="F25" i="8" s="1"/>
  <c r="AJ11" i="8"/>
  <c r="AK8" i="9"/>
  <c r="AL9" i="9"/>
  <c r="F23" i="9" s="1"/>
  <c r="C31" i="9"/>
  <c r="G22" i="10"/>
  <c r="AJ8" i="10"/>
  <c r="E31" i="12"/>
  <c r="AM7" i="9"/>
  <c r="AM8" i="9"/>
  <c r="AM10" i="9"/>
  <c r="AM11" i="9"/>
  <c r="G21" i="10"/>
  <c r="AI17" i="10"/>
  <c r="AJ7" i="10"/>
  <c r="AK8" i="10"/>
  <c r="AL9" i="10"/>
  <c r="F23" i="10" s="1"/>
  <c r="G25" i="10"/>
  <c r="AJ11" i="10"/>
  <c r="G29" i="10"/>
  <c r="AJ15" i="10"/>
  <c r="H29" i="10" s="1"/>
  <c r="AK17" i="11"/>
  <c r="F21" i="11"/>
  <c r="F31" i="11" s="1"/>
  <c r="G24" i="11"/>
  <c r="AI10" i="11"/>
  <c r="G28" i="11"/>
  <c r="AI14" i="11"/>
  <c r="H28" i="11" s="1"/>
  <c r="H21" i="12"/>
  <c r="AM7" i="12"/>
  <c r="H25" i="12"/>
  <c r="AM11" i="12"/>
  <c r="AJ17" i="12"/>
  <c r="AL8" i="10"/>
  <c r="F22" i="10" s="1"/>
  <c r="G24" i="10"/>
  <c r="AJ10" i="10"/>
  <c r="G28" i="10"/>
  <c r="AJ14" i="10"/>
  <c r="H28" i="10" s="1"/>
  <c r="G21" i="11"/>
  <c r="AH17" i="11"/>
  <c r="AI7" i="11"/>
  <c r="G25" i="11"/>
  <c r="AI11" i="11"/>
  <c r="G27" i="11"/>
  <c r="AI13" i="11"/>
  <c r="H27" i="11" s="1"/>
  <c r="H22" i="12"/>
  <c r="AL7" i="10"/>
  <c r="G23" i="10"/>
  <c r="AJ9" i="10"/>
  <c r="AL11" i="10"/>
  <c r="F25" i="10" s="1"/>
  <c r="G27" i="10"/>
  <c r="AJ13" i="10"/>
  <c r="H27" i="10" s="1"/>
  <c r="AG17" i="10"/>
  <c r="G22" i="11"/>
  <c r="AI8" i="11"/>
  <c r="G26" i="11"/>
  <c r="AI12" i="11"/>
  <c r="H26" i="11" s="1"/>
  <c r="G30" i="11"/>
  <c r="AI16" i="11"/>
  <c r="H30" i="11" s="1"/>
  <c r="H23" i="12"/>
  <c r="F21" i="13"/>
  <c r="F31" i="13" s="1"/>
  <c r="D21" i="12"/>
  <c r="D31" i="12" s="1"/>
  <c r="AG17" i="12"/>
  <c r="AK7" i="12"/>
  <c r="AK8" i="12"/>
  <c r="AK9" i="12"/>
  <c r="AK10" i="12"/>
  <c r="AK11" i="12"/>
  <c r="G21" i="12"/>
  <c r="G31" i="12" s="1"/>
  <c r="E21" i="13"/>
  <c r="E31" i="13" s="1"/>
  <c r="AG17" i="13"/>
  <c r="AL8" i="13"/>
  <c r="H24" i="13"/>
  <c r="D21" i="14"/>
  <c r="AG17" i="14"/>
  <c r="AL7" i="14"/>
  <c r="G22" i="14"/>
  <c r="AJ8" i="14"/>
  <c r="D23" i="14"/>
  <c r="AL9" i="14"/>
  <c r="F23" i="14" s="1"/>
  <c r="G24" i="14"/>
  <c r="AJ10" i="14"/>
  <c r="D25" i="14"/>
  <c r="AL11" i="14"/>
  <c r="F25" i="14" s="1"/>
  <c r="G26" i="14"/>
  <c r="AJ12" i="14"/>
  <c r="H26" i="14" s="1"/>
  <c r="G30" i="14"/>
  <c r="AJ16" i="14"/>
  <c r="H30" i="14" s="1"/>
  <c r="AJ7" i="11"/>
  <c r="AJ8" i="11"/>
  <c r="AJ9" i="11"/>
  <c r="AJ10" i="11"/>
  <c r="AJ11" i="11"/>
  <c r="AL7" i="12"/>
  <c r="AL8" i="12"/>
  <c r="F22" i="12" s="1"/>
  <c r="AL9" i="12"/>
  <c r="F23" i="12" s="1"/>
  <c r="AL10" i="12"/>
  <c r="F24" i="12" s="1"/>
  <c r="AL11" i="12"/>
  <c r="F25" i="12" s="1"/>
  <c r="AJ8" i="13"/>
  <c r="AK8" i="13"/>
  <c r="F22" i="13" s="1"/>
  <c r="AJ10" i="13"/>
  <c r="AK10" i="13"/>
  <c r="F24" i="13" s="1"/>
  <c r="E31" i="14"/>
  <c r="G29" i="14"/>
  <c r="AJ15" i="14"/>
  <c r="H29" i="14" s="1"/>
  <c r="AF17" i="11"/>
  <c r="C31" i="12"/>
  <c r="AI17" i="13"/>
  <c r="AL7" i="13"/>
  <c r="AL9" i="13"/>
  <c r="AL11" i="13"/>
  <c r="H22" i="13"/>
  <c r="H31" i="13" s="1"/>
  <c r="G21" i="14"/>
  <c r="AI17" i="14"/>
  <c r="AJ7" i="14"/>
  <c r="D22" i="14"/>
  <c r="AL8" i="14"/>
  <c r="F22" i="14" s="1"/>
  <c r="G23" i="14"/>
  <c r="AJ9" i="14"/>
  <c r="D24" i="14"/>
  <c r="AL10" i="14"/>
  <c r="F24" i="14" s="1"/>
  <c r="G25" i="14"/>
  <c r="AJ11" i="14"/>
  <c r="G28" i="14"/>
  <c r="AJ14" i="14"/>
  <c r="H28" i="14" s="1"/>
  <c r="AH17" i="14"/>
  <c r="P7" i="1" l="1"/>
  <c r="AL11" i="8"/>
  <c r="I25" i="8" s="1"/>
  <c r="H25" i="8"/>
  <c r="AI17" i="8"/>
  <c r="Q13" i="1"/>
  <c r="P5" i="1"/>
  <c r="AL9" i="6"/>
  <c r="H23" i="6"/>
  <c r="F31" i="9"/>
  <c r="I23" i="13"/>
  <c r="N7" i="1"/>
  <c r="F21" i="12"/>
  <c r="F31" i="12" s="1"/>
  <c r="AL17" i="12"/>
  <c r="H24" i="14"/>
  <c r="AM10" i="14"/>
  <c r="H22" i="14"/>
  <c r="AM8" i="14"/>
  <c r="D31" i="14"/>
  <c r="AM9" i="12"/>
  <c r="AM9" i="10"/>
  <c r="H23" i="10"/>
  <c r="AM8" i="12"/>
  <c r="H25" i="11"/>
  <c r="AL11" i="11"/>
  <c r="G31" i="11"/>
  <c r="AM9" i="9"/>
  <c r="AM8" i="10"/>
  <c r="H22" i="10"/>
  <c r="AK17" i="8"/>
  <c r="F21" i="8"/>
  <c r="F31" i="8" s="1"/>
  <c r="I24" i="7"/>
  <c r="H8" i="1"/>
  <c r="H31" i="8"/>
  <c r="H31" i="7"/>
  <c r="G31" i="6"/>
  <c r="H25" i="3"/>
  <c r="AM11" i="3"/>
  <c r="H23" i="4"/>
  <c r="AJ9" i="4"/>
  <c r="D31" i="4"/>
  <c r="H23" i="11"/>
  <c r="AL9" i="11"/>
  <c r="F22" i="4"/>
  <c r="F31" i="4" s="1"/>
  <c r="AJ8" i="4"/>
  <c r="H25" i="14"/>
  <c r="AM11" i="14"/>
  <c r="H23" i="14"/>
  <c r="AM9" i="14"/>
  <c r="H21" i="14"/>
  <c r="AJ17" i="14"/>
  <c r="AM7" i="14"/>
  <c r="I25" i="13"/>
  <c r="N9" i="1"/>
  <c r="I22" i="13"/>
  <c r="N6" i="1"/>
  <c r="I25" i="12"/>
  <c r="M9" i="1"/>
  <c r="I24" i="9"/>
  <c r="J8" i="1"/>
  <c r="I23" i="8"/>
  <c r="I7" i="1"/>
  <c r="D31" i="7"/>
  <c r="I21" i="7"/>
  <c r="H5" i="1"/>
  <c r="F23" i="5"/>
  <c r="AM9" i="5"/>
  <c r="I23" i="7"/>
  <c r="H7" i="1"/>
  <c r="H22" i="3"/>
  <c r="AM8" i="3"/>
  <c r="I21" i="13"/>
  <c r="N5" i="1"/>
  <c r="G31" i="10"/>
  <c r="I22" i="9"/>
  <c r="J6" i="1"/>
  <c r="I21" i="8"/>
  <c r="I5" i="1"/>
  <c r="AL17" i="7"/>
  <c r="F21" i="7"/>
  <c r="F31" i="7" s="1"/>
  <c r="F21" i="5"/>
  <c r="F31" i="5" s="1"/>
  <c r="AL17" i="5"/>
  <c r="AM7" i="5"/>
  <c r="F22" i="3"/>
  <c r="P6" i="1"/>
  <c r="H24" i="3"/>
  <c r="AM10" i="3"/>
  <c r="I25" i="6"/>
  <c r="G9" i="1"/>
  <c r="I21" i="4"/>
  <c r="E5" i="1"/>
  <c r="AL10" i="8"/>
  <c r="AG17" i="4"/>
  <c r="P9" i="1"/>
  <c r="AM11" i="5"/>
  <c r="AM10" i="10"/>
  <c r="H24" i="10"/>
  <c r="AM11" i="10"/>
  <c r="H25" i="10"/>
  <c r="AJ17" i="10"/>
  <c r="AM7" i="10"/>
  <c r="H21" i="10"/>
  <c r="H22" i="6"/>
  <c r="AL8" i="6"/>
  <c r="H25" i="4"/>
  <c r="AJ11" i="4"/>
  <c r="AJ17" i="4" s="1"/>
  <c r="G31" i="14"/>
  <c r="I21" i="12"/>
  <c r="M5" i="1"/>
  <c r="H24" i="11"/>
  <c r="AL10" i="11"/>
  <c r="AL17" i="14"/>
  <c r="F21" i="14"/>
  <c r="F31" i="14" s="1"/>
  <c r="AL10" i="13"/>
  <c r="AL17" i="13" s="1"/>
  <c r="AK17" i="13"/>
  <c r="H22" i="11"/>
  <c r="AL8" i="11"/>
  <c r="F21" i="10"/>
  <c r="F31" i="10" s="1"/>
  <c r="AL17" i="10"/>
  <c r="H21" i="11"/>
  <c r="AI17" i="11"/>
  <c r="AL7" i="11"/>
  <c r="H31" i="12"/>
  <c r="I25" i="9"/>
  <c r="J9" i="1"/>
  <c r="I21" i="9"/>
  <c r="AM17" i="9"/>
  <c r="J5" i="1"/>
  <c r="D31" i="8"/>
  <c r="I22" i="7"/>
  <c r="H6" i="1"/>
  <c r="AI17" i="6"/>
  <c r="AJ17" i="3"/>
  <c r="H21" i="3"/>
  <c r="AM7" i="3"/>
  <c r="AL8" i="8"/>
  <c r="G8" i="1"/>
  <c r="I24" i="6"/>
  <c r="AK17" i="6"/>
  <c r="F21" i="6"/>
  <c r="F31" i="6" s="1"/>
  <c r="AL7" i="6"/>
  <c r="AM11" i="7"/>
  <c r="I24" i="5"/>
  <c r="F8" i="1"/>
  <c r="E8" i="1"/>
  <c r="I24" i="4"/>
  <c r="AM9" i="3"/>
  <c r="H23" i="3"/>
  <c r="AM10" i="12"/>
  <c r="H31" i="4"/>
  <c r="AL17" i="9"/>
  <c r="P8" i="1"/>
  <c r="F31" i="3"/>
  <c r="I9" i="1" l="1"/>
  <c r="AL17" i="8"/>
  <c r="H31" i="6"/>
  <c r="H31" i="14"/>
  <c r="P15" i="1"/>
  <c r="I24" i="10"/>
  <c r="K8" i="1"/>
  <c r="I22" i="14"/>
  <c r="O6" i="1"/>
  <c r="I25" i="7"/>
  <c r="H9" i="1"/>
  <c r="H15" i="1" s="1"/>
  <c r="H31" i="3"/>
  <c r="I21" i="11"/>
  <c r="AL17" i="11"/>
  <c r="L5" i="1"/>
  <c r="I24" i="13"/>
  <c r="N8" i="1"/>
  <c r="N15" i="1" s="1"/>
  <c r="I25" i="5"/>
  <c r="F9" i="1"/>
  <c r="I31" i="13"/>
  <c r="I31" i="7"/>
  <c r="I23" i="14"/>
  <c r="O7" i="1"/>
  <c r="I22" i="4"/>
  <c r="E6" i="1"/>
  <c r="I25" i="11"/>
  <c r="L9" i="1"/>
  <c r="I23" i="10"/>
  <c r="K7" i="1"/>
  <c r="D7" i="1"/>
  <c r="I23" i="3"/>
  <c r="I25" i="3"/>
  <c r="D9" i="1"/>
  <c r="I21" i="6"/>
  <c r="G5" i="1"/>
  <c r="AL17" i="6"/>
  <c r="I22" i="11"/>
  <c r="L6" i="1"/>
  <c r="I25" i="4"/>
  <c r="E9" i="1"/>
  <c r="E15" i="1" s="1"/>
  <c r="H31" i="10"/>
  <c r="I25" i="10"/>
  <c r="K9" i="1"/>
  <c r="D8" i="1"/>
  <c r="I24" i="3"/>
  <c r="AM17" i="5"/>
  <c r="I21" i="5"/>
  <c r="F5" i="1"/>
  <c r="I22" i="3"/>
  <c r="D6" i="1"/>
  <c r="I23" i="5"/>
  <c r="F7" i="1"/>
  <c r="AM17" i="7"/>
  <c r="I21" i="14"/>
  <c r="AM17" i="14"/>
  <c r="O5" i="1"/>
  <c r="I23" i="4"/>
  <c r="I31" i="4" s="1"/>
  <c r="E7" i="1"/>
  <c r="I22" i="10"/>
  <c r="K6" i="1"/>
  <c r="I23" i="12"/>
  <c r="M7" i="1"/>
  <c r="I24" i="14"/>
  <c r="O8" i="1"/>
  <c r="I21" i="3"/>
  <c r="AM17" i="3"/>
  <c r="D5" i="1"/>
  <c r="I24" i="11"/>
  <c r="L8" i="1"/>
  <c r="I22" i="6"/>
  <c r="G6" i="1"/>
  <c r="I24" i="8"/>
  <c r="I8" i="1"/>
  <c r="I24" i="12"/>
  <c r="M8" i="1"/>
  <c r="I22" i="8"/>
  <c r="I6" i="1"/>
  <c r="J15" i="1"/>
  <c r="H31" i="11"/>
  <c r="AM17" i="12"/>
  <c r="I21" i="10"/>
  <c r="AM17" i="10"/>
  <c r="K5" i="1"/>
  <c r="I25" i="14"/>
  <c r="O9" i="1"/>
  <c r="I23" i="11"/>
  <c r="L7" i="1"/>
  <c r="I23" i="9"/>
  <c r="I31" i="9" s="1"/>
  <c r="J7" i="1"/>
  <c r="I22" i="12"/>
  <c r="I31" i="12" s="1"/>
  <c r="M6" i="1"/>
  <c r="G7" i="1"/>
  <c r="I23" i="6"/>
  <c r="I15" i="1" l="1"/>
  <c r="I31" i="8"/>
  <c r="K15" i="1"/>
  <c r="L15" i="1"/>
  <c r="M15" i="1"/>
  <c r="I31" i="3"/>
  <c r="D15" i="1"/>
  <c r="Q5" i="1"/>
  <c r="I31" i="5"/>
  <c r="Q7" i="1"/>
  <c r="I31" i="14"/>
  <c r="Q6" i="1"/>
  <c r="Q9" i="1"/>
  <c r="G15" i="1"/>
  <c r="I31" i="11"/>
  <c r="I31" i="10"/>
  <c r="O15" i="1"/>
  <c r="F15" i="1"/>
  <c r="Q8" i="1"/>
  <c r="I31" i="6"/>
  <c r="Q15" i="1" l="1"/>
</calcChain>
</file>

<file path=xl/sharedStrings.xml><?xml version="1.0" encoding="utf-8"?>
<sst xmlns="http://schemas.openxmlformats.org/spreadsheetml/2006/main" count="727" uniqueCount="103">
  <si>
    <t>الملخص السنوي الشامل — 2026</t>
  </si>
  <si>
    <t>يعرض هذا الملخص صافي راتب كل موظف لكل شهر خلال السنة</t>
  </si>
  <si>
    <t>#</t>
  </si>
  <si>
    <t>اسم الموظف</t>
  </si>
  <si>
    <t>الراتب الشهري</t>
  </si>
  <si>
    <t>يناير</t>
  </si>
  <si>
    <t>فبراير</t>
  </si>
  <si>
    <t>مارس</t>
  </si>
  <si>
    <t>أبريل</t>
  </si>
  <si>
    <t>مايو</t>
  </si>
  <si>
    <t>يونيو</t>
  </si>
  <si>
    <t>يوليو</t>
  </si>
  <si>
    <t>أغسطس</t>
  </si>
  <si>
    <t>سبتمبر</t>
  </si>
  <si>
    <t>أكتوبر</t>
  </si>
  <si>
    <t>نوفمبر</t>
  </si>
  <si>
    <t>ديسمبر</t>
  </si>
  <si>
    <t>إجمالي الخصومات</t>
  </si>
  <si>
    <t>الراتب السنوي الصافي</t>
  </si>
  <si>
    <t>الإجمالي الكلي</t>
  </si>
  <si>
    <t>بيانات الموظفين — نظام ضبط الغياب 2026</t>
  </si>
  <si>
    <t>ساعات العمل اليومية:</t>
  </si>
  <si>
    <t>عدّل الخلية G2  ←</t>
  </si>
  <si>
    <t>أدخل أسماء الموظفين ورواتبهم في الجدول أدناه</t>
  </si>
  <si>
    <t>ساعة/يوم ✏</t>
  </si>
  <si>
    <t>ملاحظات</t>
  </si>
  <si>
    <t>تاريخ التعيين</t>
  </si>
  <si>
    <t>الحالة</t>
  </si>
  <si>
    <t xml:space="preserve">أبو بكر </t>
  </si>
  <si>
    <t>نشط</t>
  </si>
  <si>
    <t>هيثم صمادي</t>
  </si>
  <si>
    <t>حسام كبريتة</t>
  </si>
  <si>
    <t>انس المنسي</t>
  </si>
  <si>
    <t>عمار مجيد</t>
  </si>
  <si>
    <t>📋  دليل رموز الغياب</t>
  </si>
  <si>
    <t>الرمز</t>
  </si>
  <si>
    <t>التفسير</t>
  </si>
  <si>
    <t>فارغ</t>
  </si>
  <si>
    <t>حضور كامل — لا تكتب شيئاً</t>
  </si>
  <si>
    <t>غ</t>
  </si>
  <si>
    <t>غياب يوم كامل — يُخصم يوم من الراتب</t>
  </si>
  <si>
    <t>نصف</t>
  </si>
  <si>
    <t>حضور نصف يوم — يُخصم نصف يوم</t>
  </si>
  <si>
    <t>رقم (مثال: 3)</t>
  </si>
  <si>
    <t>ساعات إضافية — يُضاف بدلها للراتب</t>
  </si>
  <si>
    <t>جدول ضبط الغياب وحساب الرواتب  ◀  يناير  2026  ★ يوم إضافي مضاف</t>
  </si>
  <si>
    <t>فارغ=حضور  |  غ=غياب يوم  |  نصف=نصف يوم  |  رقم=ساعات إضافية  |  🔴 الجمعة باللون الأحمر</t>
  </si>
  <si>
    <t>الخميس</t>
  </si>
  <si>
    <t>الجمعة</t>
  </si>
  <si>
    <t>السبت</t>
  </si>
  <si>
    <t>الأحد</t>
  </si>
  <si>
    <t>الاثنين</t>
  </si>
  <si>
    <t>الثلاثاء</t>
  </si>
  <si>
    <t>الأربعاء</t>
  </si>
  <si>
    <t>أيام
الغياب</t>
  </si>
  <si>
    <t>نصف
يوم</t>
  </si>
  <si>
    <t>ساعات
إضافية</t>
  </si>
  <si>
    <t>قيمة
الإضافي</t>
  </si>
  <si>
    <t>أيام
العمل</t>
  </si>
  <si>
    <t>خصم
الغياب</t>
  </si>
  <si>
    <t>صافي
الراتب</t>
  </si>
  <si>
    <t>إجمالي الغياب اليومي — يناير</t>
  </si>
  <si>
    <t>📊  الملخص الشهري للرواتب — يناير  2026</t>
  </si>
  <si>
    <t>الراتب الأساسي</t>
  </si>
  <si>
    <t>أيام الغياب</t>
  </si>
  <si>
    <t>نصف يوم</t>
  </si>
  <si>
    <t>خصم الغياب</t>
  </si>
  <si>
    <t>ساعات إضافية</t>
  </si>
  <si>
    <t>قيمة الإضافي</t>
  </si>
  <si>
    <t>صافي الراتب</t>
  </si>
  <si>
    <t>جدول ضبط الغياب وحساب الرواتب  ◀  فبراير  2026</t>
  </si>
  <si>
    <t>إجمالي الغياب اليومي — فبراير</t>
  </si>
  <si>
    <t>📊  الملخص الشهري للرواتب — فبراير  2026</t>
  </si>
  <si>
    <t>جدول ضبط الغياب وحساب الرواتب  ◀  مارس  2026  ★ يوم إضافي مضاف</t>
  </si>
  <si>
    <t>إجمالي الغياب اليومي — مارس</t>
  </si>
  <si>
    <t>📊  الملخص الشهري للرواتب — مارس  2026</t>
  </si>
  <si>
    <t>جدول ضبط الغياب وحساب الرواتب  ◀  أبريل  2026</t>
  </si>
  <si>
    <t>إجمالي الغياب اليومي — أبريل</t>
  </si>
  <si>
    <t>📊  الملخص الشهري للرواتب — أبريل  2026</t>
  </si>
  <si>
    <t>جدول ضبط الغياب وحساب الرواتب  ◀  مايو  2026  ★ يوم إضافي مضاف</t>
  </si>
  <si>
    <t>إجمالي الغياب اليومي — مايو</t>
  </si>
  <si>
    <t>📊  الملخص الشهري للرواتب — مايو  2026</t>
  </si>
  <si>
    <t>جدول ضبط الغياب وحساب الرواتب  ◀  يونيو  2026</t>
  </si>
  <si>
    <t>إجمالي الغياب اليومي — يونيو</t>
  </si>
  <si>
    <t>📊  الملخص الشهري للرواتب — يونيو  2026</t>
  </si>
  <si>
    <t>جدول ضبط الغياب وحساب الرواتب  ◀  يوليو  2026  ★ يوم إضافي مضاف</t>
  </si>
  <si>
    <t>إجمالي الغياب اليومي — يوليو</t>
  </si>
  <si>
    <t>📊  الملخص الشهري للرواتب — يوليو  2026</t>
  </si>
  <si>
    <t>جدول ضبط الغياب وحساب الرواتب  ◀  أغسطس  2026  ★ يوم إضافي مضاف</t>
  </si>
  <si>
    <t>إجمالي الغياب اليومي — أغسطس</t>
  </si>
  <si>
    <t>📊  الملخص الشهري للرواتب — أغسطس  2026</t>
  </si>
  <si>
    <t>جدول ضبط الغياب وحساب الرواتب  ◀  سبتمبر  2026</t>
  </si>
  <si>
    <t>إجمالي الغياب اليومي — سبتمبر</t>
  </si>
  <si>
    <t>📊  الملخص الشهري للرواتب — سبتمبر  2026</t>
  </si>
  <si>
    <t>جدول ضبط الغياب وحساب الرواتب  ◀  أكتوبر  2026  ★ يوم إضافي مضاف</t>
  </si>
  <si>
    <t>إجمالي الغياب اليومي — أكتوبر</t>
  </si>
  <si>
    <t>📊  الملخص الشهري للرواتب — أكتوبر  2026</t>
  </si>
  <si>
    <t>جدول ضبط الغياب وحساب الرواتب  ◀  نوفمبر  2026</t>
  </si>
  <si>
    <t>إجمالي الغياب اليومي — نوفمبر</t>
  </si>
  <si>
    <t>📊  الملخص الشهري للرواتب — نوفمبر  2026</t>
  </si>
  <si>
    <t>جدول ضبط الغياب وحساب الرواتب  ◀  ديسمبر  2026  ★ يوم إضافي مضاف</t>
  </si>
  <si>
    <t>إجمالي الغياب اليومي — ديسمبر</t>
  </si>
  <si>
    <t>📊  الملخص الشهري للرواتب — ديسمبر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</si>
</sst>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.0"/>
    <numFmt numFmtId="166" formatCode="0.#"/>
  </numFmts>
  <fonts count="36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555555"/>
      <name val="Arial"/>
      <charset val="1"/>
    </font>
    <font>
      <b/>
      <sz val="10"/>
      <color rgb="FF1F3864"/>
      <name val="Arial"/>
      <charset val="1"/>
    </font>
    <font>
      <sz val="10"/>
      <color rgb="FF000000"/>
      <name val="Arial"/>
      <charset val="1"/>
    </font>
    <font>
      <sz val="9"/>
      <color rgb="FF1B5E20"/>
      <name val="Arial"/>
      <charset val="1"/>
    </font>
    <font>
      <b/>
      <sz val="10"/>
      <color rgb="FFB71C1C"/>
      <name val="Arial"/>
      <charset val="1"/>
    </font>
    <font>
      <b/>
      <sz val="12"/>
      <color rgb="FF1B5E20"/>
      <name val="Arial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888888"/>
      <name val="Arial"/>
      <charset val="1"/>
    </font>
    <font>
      <i/>
      <sz val="9"/>
      <color rgb="FF555555"/>
      <name val="Arial"/>
      <charset val="1"/>
    </font>
    <font>
      <b/>
      <sz val="16"/>
      <color rgb="FFC00000"/>
      <name val="Arial"/>
      <charset val="1"/>
    </font>
    <font>
      <sz val="10"/>
      <color rgb="FF1F3864"/>
      <name val="Arial"/>
      <charset val="1"/>
    </font>
    <font>
      <sz val="10"/>
      <color rgb="FF444444"/>
      <name val="Arial"/>
      <charset val="1"/>
    </font>
    <font>
      <sz val="10"/>
      <color rgb="FF2E7D32"/>
      <name val="Arial"/>
      <charset val="1"/>
    </font>
    <font>
      <sz val="10"/>
      <color rgb="FF222222"/>
      <name val="Arial"/>
      <charset val="1"/>
    </font>
    <font>
      <i/>
      <sz val="9"/>
      <color rgb="FF1F3864"/>
      <name val="Arial"/>
      <charset val="1"/>
    </font>
    <font>
      <b/>
      <sz val="7"/>
      <color rgb="FF1F3864"/>
      <name val="Arial"/>
      <charset val="1"/>
    </font>
    <font>
      <b/>
      <sz val="7"/>
      <color rgb="FFC00000"/>
      <name val="Arial"/>
      <charset val="1"/>
    </font>
    <font>
      <b/>
      <sz val="10"/>
      <color rgb="FFC00000"/>
      <name val="Arial"/>
      <charset val="1"/>
    </font>
    <font>
      <b/>
      <sz val="10"/>
      <color rgb="FFE65100"/>
      <name val="Arial"/>
      <charset val="1"/>
    </font>
    <font>
      <b/>
      <sz val="10"/>
      <color rgb="FF1565C0"/>
      <name val="Arial"/>
      <charset val="1"/>
    </font>
    <font>
      <b/>
      <sz val="10"/>
      <color rgb="FF0D47A1"/>
      <name val="Arial"/>
      <charset val="1"/>
    </font>
    <font>
      <b/>
      <sz val="10"/>
      <color rgb="FF1B5E20"/>
      <name val="Arial"/>
      <charset val="1"/>
    </font>
    <font>
      <b/>
      <sz val="9"/>
      <color rgb="FF1F3864"/>
      <name val="Arial"/>
      <charset val="1"/>
    </font>
    <font>
      <b/>
      <sz val="9"/>
      <color rgb="FFC00000"/>
      <name val="Arial"/>
      <charset val="1"/>
    </font>
    <font>
      <sz val="10"/>
      <color rgb="FFC00000"/>
      <name val="Arial"/>
      <charset val="1"/>
    </font>
    <font>
      <b/>
      <sz val="11"/>
      <color rgb="FF1B5E20"/>
      <name val="Arial"/>
      <charset val="1"/>
    </font>
    <font>
      <b/>
      <sz val="9"/>
      <color rgb="FFFFFFFF"/>
      <name val="Arial"/>
      <charset val="1"/>
    </font>
    <font>
      <b/>
      <sz val="13"/>
      <color rgb="FFFFFFFF"/>
      <name val="Arial"/>
      <charset val="1"/>
    </font>
    <font>
      <sz val="10"/>
      <color rgb="FFE65100"/>
      <name val="Arial"/>
      <charset val="1"/>
    </font>
    <font>
      <sz val="10"/>
      <color rgb="FF1565C0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2E75B6"/>
        <bgColor rgb="FF1565C0"/>
      </patternFill>
    </fill>
    <fill>
      <patternFill patternType="solid">
        <fgColor rgb="FFFFFFFF"/>
        <bgColor rgb="FFEEF4FB"/>
      </patternFill>
    </fill>
    <fill>
      <patternFill patternType="solid">
        <fgColor rgb="FFEEF4FB"/>
        <bgColor rgb="FFEBF3FB"/>
      </patternFill>
    </fill>
    <fill>
      <patternFill patternType="solid">
        <fgColor rgb="FFFDECEA"/>
        <bgColor rgb="FFFFF3E0"/>
      </patternFill>
    </fill>
    <fill>
      <patternFill patternType="solid">
        <fgColor rgb="FFE8F5E9"/>
        <bgColor rgb="FFEBF3FB"/>
      </patternFill>
    </fill>
    <fill>
      <patternFill patternType="solid">
        <fgColor rgb="FFEBF3FB"/>
        <bgColor rgb="FFEEF4FB"/>
      </patternFill>
    </fill>
    <fill>
      <patternFill patternType="solid">
        <fgColor rgb="FFFFF9C4"/>
        <bgColor rgb="FFFFF3E0"/>
      </patternFill>
    </fill>
    <fill>
      <patternFill patternType="solid">
        <fgColor rgb="FFFFE0E0"/>
        <bgColor rgb="FFFFD6D6"/>
      </patternFill>
    </fill>
    <fill>
      <patternFill patternType="solid">
        <fgColor rgb="FFFFF3E0"/>
        <bgColor rgb="FFFDECEA"/>
      </patternFill>
    </fill>
    <fill>
      <patternFill patternType="solid">
        <fgColor rgb="FFE3F2FD"/>
        <bgColor rgb="FFEBF3FB"/>
      </patternFill>
    </fill>
    <fill>
      <patternFill patternType="solid">
        <fgColor rgb="FFD6E4F0"/>
        <bgColor rgb="FFC8E6FA"/>
      </patternFill>
    </fill>
    <fill>
      <patternFill patternType="solid">
        <fgColor rgb="FFFFD6D6"/>
        <bgColor rgb="FFFFE0E0"/>
      </patternFill>
    </fill>
    <fill>
      <patternFill patternType="solid">
        <fgColor rgb="FFC8E6FA"/>
        <bgColor rgb="FFD6E4F0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right" vertical="center" wrapText="1"/>
    </xf>
    <xf numFmtId="3" fontId="6" fillId="4" borderId="2" xfId="0" applyNumberFormat="1" applyFont="1" applyFill="1" applyBorder="1" applyAlignment="1">
      <alignment horizontal="center" vertical="center" wrapText="1"/>
    </xf>
    <xf numFmtId="3" fontId="7" fillId="4" borderId="2" xfId="0" applyNumberFormat="1" applyFont="1" applyFill="1" applyBorder="1" applyAlignment="1">
      <alignment horizontal="center" vertical="center" wrapText="1"/>
    </xf>
    <xf numFmtId="4" fontId="8" fillId="6" borderId="2" xfId="0" applyNumberFormat="1" applyFont="1" applyFill="1" applyBorder="1" applyAlignment="1">
      <alignment horizontal="center" vertical="center" wrapText="1"/>
    </xf>
    <xf numFmtId="4" fontId="9" fillId="7" borderId="2" xfId="0" applyNumberFormat="1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3" fontId="6" fillId="8" borderId="2" xfId="0" applyNumberFormat="1" applyFont="1" applyFill="1" applyBorder="1" applyAlignment="1">
      <alignment horizontal="center" vertical="center" wrapText="1"/>
    </xf>
    <xf numFmtId="3" fontId="7" fillId="8" borderId="2" xfId="0" applyNumberFormat="1" applyFont="1" applyFill="1" applyBorder="1" applyAlignment="1">
      <alignment horizontal="center" vertical="center" wrapText="1"/>
    </xf>
    <xf numFmtId="3" fontId="11" fillId="2" borderId="2" xfId="0" applyNumberFormat="1" applyFont="1" applyFill="1" applyBorder="1" applyAlignment="1">
      <alignment horizontal="center" vertical="center" wrapText="1"/>
    </xf>
    <xf numFmtId="4" fontId="11" fillId="2" borderId="2" xfId="0" applyNumberFormat="1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right" vertical="center" wrapText="1"/>
    </xf>
    <xf numFmtId="0" fontId="15" fillId="9" borderId="2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right" vertical="center" wrapText="1"/>
    </xf>
    <xf numFmtId="0" fontId="11" fillId="2" borderId="2" xfId="0" applyFont="1" applyFill="1" applyBorder="1" applyAlignment="1">
      <alignment horizontal="center" vertical="center" wrapText="1"/>
    </xf>
    <xf numFmtId="3" fontId="16" fillId="8" borderId="2" xfId="0" applyNumberFormat="1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right" vertical="center" wrapText="1"/>
    </xf>
    <xf numFmtId="164" fontId="17" fillId="8" borderId="2" xfId="0" applyNumberFormat="1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3" fontId="16" fillId="4" borderId="2" xfId="0" applyNumberFormat="1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right" vertical="center" wrapText="1"/>
    </xf>
    <xf numFmtId="164" fontId="17" fillId="4" borderId="2" xfId="0" applyNumberFormat="1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21" fillId="13" borderId="2" xfId="0" applyFont="1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8" fillId="13" borderId="2" xfId="0" applyFont="1" applyFill="1" applyBorder="1" applyAlignment="1">
      <alignment horizontal="center" vertical="center" wrapText="1"/>
    </xf>
    <xf numFmtId="0" fontId="29" fillId="14" borderId="2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30" fillId="14" borderId="2" xfId="0" applyFont="1" applyFill="1" applyBorder="1" applyAlignment="1">
      <alignment horizontal="center" vertical="center" wrapText="1"/>
    </xf>
    <xf numFmtId="0" fontId="23" fillId="10" borderId="2" xfId="0" applyFont="1" applyFill="1" applyBorder="1" applyAlignment="1">
      <alignment horizontal="center" vertical="center" wrapText="1"/>
    </xf>
    <xf numFmtId="0" fontId="24" fillId="11" borderId="2" xfId="0" applyFont="1" applyFill="1" applyBorder="1" applyAlignment="1">
      <alignment horizontal="center" vertical="center" wrapText="1"/>
    </xf>
    <xf numFmtId="0" fontId="25" fillId="12" borderId="2" xfId="0" applyFont="1" applyFill="1" applyBorder="1" applyAlignment="1">
      <alignment horizontal="center" vertical="center" wrapText="1"/>
    </xf>
    <xf numFmtId="4" fontId="26" fillId="15" borderId="2" xfId="0" applyNumberFormat="1" applyFont="1" applyFill="1" applyBorder="1" applyAlignment="1">
      <alignment horizontal="center" vertical="center" wrapText="1"/>
    </xf>
    <xf numFmtId="165" fontId="27" fillId="7" borderId="2" xfId="0" applyNumberFormat="1" applyFont="1" applyFill="1" applyBorder="1" applyAlignment="1">
      <alignment horizontal="center" vertical="center" wrapText="1"/>
    </xf>
    <xf numFmtId="4" fontId="31" fillId="7" borderId="2" xfId="0" applyNumberFormat="1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166" fontId="32" fillId="2" borderId="2" xfId="0" applyNumberFormat="1" applyFont="1" applyFill="1" applyBorder="1" applyAlignment="1">
      <alignment horizontal="center" vertical="center" wrapText="1"/>
    </xf>
    <xf numFmtId="1" fontId="32" fillId="2" borderId="2" xfId="0" applyNumberFormat="1" applyFont="1" applyFill="1" applyBorder="1" applyAlignment="1">
      <alignment horizontal="center" vertical="center" wrapText="1"/>
    </xf>
    <xf numFmtId="4" fontId="32" fillId="2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/>
    <xf numFmtId="0" fontId="30" fillId="10" borderId="2" xfId="0" applyFont="1" applyFill="1" applyBorder="1" applyAlignment="1">
      <alignment horizontal="center" vertical="center" wrapText="1"/>
    </xf>
    <xf numFmtId="0" fontId="34" fillId="11" borderId="2" xfId="0" applyFont="1" applyFill="1" applyBorder="1" applyAlignment="1">
      <alignment horizontal="center" vertical="center" wrapText="1"/>
    </xf>
    <xf numFmtId="0" fontId="35" fillId="12" borderId="2" xfId="0" applyFont="1" applyFill="1" applyBorder="1" applyAlignment="1">
      <alignment horizontal="center" vertical="center" wrapText="1"/>
    </xf>
    <xf numFmtId="1" fontId="11" fillId="2" borderId="2" xfId="0" applyNumberFormat="1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23" fillId="10" borderId="3" xfId="0" applyFont="1" applyFill="1" applyBorder="1" applyAlignment="1">
      <alignment horizontal="center" vertical="center" wrapText="1"/>
    </xf>
    <xf numFmtId="0" fontId="24" fillId="11" borderId="3" xfId="0" applyFont="1" applyFill="1" applyBorder="1" applyAlignment="1">
      <alignment horizontal="center" vertical="center" wrapText="1"/>
    </xf>
    <xf numFmtId="0" fontId="25" fillId="12" borderId="3" xfId="0" applyFont="1" applyFill="1" applyBorder="1" applyAlignment="1">
      <alignment horizontal="center" vertical="center" wrapText="1"/>
    </xf>
    <xf numFmtId="0" fontId="26" fillId="15" borderId="3" xfId="0" applyFont="1" applyFill="1" applyBorder="1" applyAlignment="1">
      <alignment horizontal="center" vertical="center" wrapText="1"/>
    </xf>
    <xf numFmtId="0" fontId="27" fillId="7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right" vertical="center" wrapText="1"/>
    </xf>
    <xf numFmtId="0" fontId="13" fillId="9" borderId="1" xfId="0" applyFont="1" applyFill="1" applyBorder="1" applyAlignment="1">
      <alignment horizontal="right" vertical="center" wrapText="1"/>
    </xf>
    <xf numFmtId="0" fontId="14" fillId="9" borderId="1" xfId="0" applyFont="1" applyFill="1" applyBorder="1" applyAlignment="1">
      <alignment horizontal="righ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EEF4FB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FBFBF"/>
      <rgbColor rgb="FF888888"/>
      <rgbColor rgb="FF9999FF"/>
      <rgbColor rgb="FF993366"/>
      <rgbColor rgb="FFFFF9C4"/>
      <rgbColor rgb="FFE3F2FD"/>
      <rgbColor rgb="FF660066"/>
      <rgbColor rgb="FFFF8080"/>
      <rgbColor rgb="FF1565C0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FA"/>
      <rgbColor rgb="FFFFF3E0"/>
      <rgbColor rgb="FFEBF3FB"/>
      <rgbColor rgb="FFFFE0E0"/>
      <rgbColor rgb="FFFDECEA"/>
      <rgbColor rgb="FFFFD6D6"/>
      <rgbColor rgb="FF2E75B6"/>
      <rgbColor rgb="FF33CCCC"/>
      <rgbColor rgb="FF99CC00"/>
      <rgbColor rgb="FFFFCC00"/>
      <rgbColor rgb="FFFF9900"/>
      <rgbColor rgb="FFE65100"/>
      <rgbColor rgb="FF555555"/>
      <rgbColor rgb="FF969696"/>
      <rgbColor rgb="FF1F3864"/>
      <rgbColor rgb="FF2E7D32"/>
      <rgbColor rgb="FF003300"/>
      <rgbColor rgb="FF444444"/>
      <rgbColor rgb="FFB71C1C"/>
      <rgbColor rgb="FF993366"/>
      <rgbColor rgb="FF0D47A1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rightToLeft="1" zoomScaleNormal="100" workbookViewId="0">
      <pane xSplit="3" ySplit="4" topLeftCell="D6" activePane="bottomRight" state="frozen"/>
      <selection pane="topRight" activeCell="D1" sqref="D1"/>
      <selection pane="bottomLeft" activeCell="A5" sqref="A5"/>
      <selection pane="bottomRight" sqref="A1:Q1"/>
    </sheetView>
  </sheetViews>
  <sheetFormatPr defaultColWidth="8.7109375" defaultRowHeight="15" x14ac:dyDescent="0.25"/>
  <cols>
    <col min="1" max="1" width="5" customWidth="1"/>
    <col min="2" max="2" width="26" customWidth="1"/>
    <col min="3" max="3" width="16" customWidth="1"/>
    <col min="4" max="15" width="12" customWidth="1"/>
    <col min="16" max="16" width="18" customWidth="1"/>
    <col min="17" max="17" width="20" customWidth="1"/>
  </cols>
  <sheetData>
    <row r="1" spans="1:17" ht="39.75" customHeight="1" x14ac:dyDescent="0.25">
      <c r="A1" s="61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</row>
    <row r="2" spans="1:17" ht="21.75" customHeight="1" x14ac:dyDescent="0.25">
      <c r="A2" s="62" t="s">
        <v>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</row>
    <row r="3" spans="1:17" ht="7.5" customHeight="1" x14ac:dyDescent="0.25"/>
    <row r="4" spans="1:17" ht="27.7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</row>
    <row r="5" spans="1:17" ht="24" customHeight="1" x14ac:dyDescent="0.25">
      <c r="A5" s="2">
        <v>1</v>
      </c>
      <c r="B5" s="3" t="str">
        <f>'بيانات الموظفين'!B5</f>
        <v xml:space="preserve">أبو بكر </v>
      </c>
      <c r="C5" s="4">
        <f>'بيانات الموظفين'!C5</f>
        <v>7000000</v>
      </c>
      <c r="D5" s="5">
        <f>IF(ISNUMBER(يناير!AM7),يناير!AM7,"")</f>
        <v>7233333.3300000001</v>
      </c>
      <c r="E5" s="5">
        <f>IF(ISNUMBER(فبراير!AJ7),فبراير!AJ7,"")</f>
        <v>7000000</v>
      </c>
      <c r="F5" s="5">
        <f>IF(ISNUMBER(مارس!AM7),مارس!AM7,"")</f>
        <v>7233333.3300000001</v>
      </c>
      <c r="G5" s="5">
        <f>IF(ISNUMBER(أبريل!AL7),أبريل!AL7,"")</f>
        <v>7000000</v>
      </c>
      <c r="H5" s="5">
        <f>IF(ISNUMBER(مايو!AM7),مايو!AM7,"")</f>
        <v>7233333.3300000001</v>
      </c>
      <c r="I5" s="5">
        <f>IF(ISNUMBER(يونيو!AL7),يونيو!AL7,"")</f>
        <v>6300000</v>
      </c>
      <c r="J5" s="5">
        <f>IF(ISNUMBER(يوليو!AM7),يوليو!AM7,"")</f>
        <v>7233333.3300000001</v>
      </c>
      <c r="K5" s="5">
        <f>IF(ISNUMBER(أغسطس!AM7),أغسطس!AM7,"")</f>
        <v>7233333.3300000001</v>
      </c>
      <c r="L5" s="5">
        <f>IF(ISNUMBER(سبتمبر!AL7),سبتمبر!AL7,"")</f>
        <v>7000000</v>
      </c>
      <c r="M5" s="5">
        <f>IF(ISNUMBER(أكتوبر!AM7),أكتوبر!AM7,"")</f>
        <v>7233333.3300000001</v>
      </c>
      <c r="N5" s="5">
        <f>IF(ISNUMBER(نوفمبر!AL7),نوفمبر!AL7,"")</f>
        <v>7000000</v>
      </c>
      <c r="O5" s="5">
        <f>IF(ISNUMBER(ديسمبر!AM7),ديسمبر!AM7,"")</f>
        <v>7233333.3300000001</v>
      </c>
      <c r="P5" s="6">
        <f>IF(ISNUMBER(يناير!AL7),يناير!AL7,0)+IF(ISNUMBER(فبراير!AI7),فبراير!AI7,0)+IF(ISNUMBER(مارس!AL7),مارس!AL7,0)+IF(ISNUMBER(أبريل!AK7),أبريل!AK7,0)+IF(ISNUMBER(مايو!AL7),مايو!AL7,0)+IF(ISNUMBER(يونيو!AK7),يونيو!AK7,0)+IF(ISNUMBER(يوليو!AL7),يوليو!AL7,0)+IF(ISNUMBER(أغسطس!AL7),أغسطس!AL7,0)+IF(ISNUMBER(سبتمبر!AK7),سبتمبر!AK7,0)+IF(ISNUMBER(أكتوبر!AL7),أكتوبر!AL7,0)+IF(ISNUMBER(نوفمبر!AK7),نوفمبر!AK7,0)+IF(ISNUMBER(ديسمبر!AL7),ديسمبر!AL7,0)</f>
        <v>700000</v>
      </c>
      <c r="Q5" s="7">
        <f t="shared" ref="Q5:Q14" si="0">IFERROR(SUM(D5:O5),"")</f>
        <v>84933333.310000002</v>
      </c>
    </row>
    <row r="6" spans="1:17" ht="24" customHeight="1" x14ac:dyDescent="0.25">
      <c r="A6" s="8">
        <v>2</v>
      </c>
      <c r="B6" s="3" t="str">
        <f>'بيانات الموظفين'!B6</f>
        <v>هيثم صمادي</v>
      </c>
      <c r="C6" s="9">
        <f>'بيانات الموظفين'!C6</f>
        <v>3000000</v>
      </c>
      <c r="D6" s="10">
        <f>IF(ISNUMBER(يناير!AM8),يناير!AM8,"")</f>
        <v>3100000</v>
      </c>
      <c r="E6" s="10">
        <f>IF(ISNUMBER(فبراير!AJ8),فبراير!AJ8,"")</f>
        <v>3000000</v>
      </c>
      <c r="F6" s="10">
        <f>IF(ISNUMBER(مارس!AM8),مارس!AM8,"")</f>
        <v>3100000</v>
      </c>
      <c r="G6" s="10">
        <f>IF(ISNUMBER(أبريل!AL8),أبريل!AL8,"")</f>
        <v>3000000</v>
      </c>
      <c r="H6" s="10">
        <f>IF(ISNUMBER(مايو!AM8),مايو!AM8,"")</f>
        <v>3100000</v>
      </c>
      <c r="I6" s="10">
        <f>IF(ISNUMBER(يونيو!AL8),يونيو!AL8,"")</f>
        <v>2866666.67</v>
      </c>
      <c r="J6" s="10">
        <f>IF(ISNUMBER(يوليو!AM8),يوليو!AM8,"")</f>
        <v>3100000</v>
      </c>
      <c r="K6" s="10">
        <f>IF(ISNUMBER(أغسطس!AM8),أغسطس!AM8,"")</f>
        <v>3100000</v>
      </c>
      <c r="L6" s="10">
        <f>IF(ISNUMBER(سبتمبر!AL8),سبتمبر!AL8,"")</f>
        <v>3000000</v>
      </c>
      <c r="M6" s="10">
        <f>IF(ISNUMBER(أكتوبر!AM8),أكتوبر!AM8,"")</f>
        <v>3100000</v>
      </c>
      <c r="N6" s="10">
        <f>IF(ISNUMBER(نوفمبر!AL8),نوفمبر!AL8,"")</f>
        <v>3000000</v>
      </c>
      <c r="O6" s="10">
        <f>IF(ISNUMBER(ديسمبر!AM8),ديسمبر!AM8,"")</f>
        <v>3100000</v>
      </c>
      <c r="P6" s="6">
        <f>IF(ISNUMBER(يناير!AL8),يناير!AL8,0)+IF(ISNUMBER(فبراير!AI8),فبراير!AI8,0)+IF(ISNUMBER(مارس!AL8),مارس!AL8,0)+IF(ISNUMBER(أبريل!AK8),أبريل!AK8,0)+IF(ISNUMBER(مايو!AL8),مايو!AL8,0)+IF(ISNUMBER(يونيو!AK8),يونيو!AK8,0)+IF(ISNUMBER(يوليو!AL8),يوليو!AL8,0)+IF(ISNUMBER(أغسطس!AL8),أغسطس!AL8,0)+IF(ISNUMBER(سبتمبر!AK8),سبتمبر!AK8,0)+IF(ISNUMBER(أكتوبر!AL8),أكتوبر!AL8,0)+IF(ISNUMBER(نوفمبر!AK8),نوفمبر!AK8,0)+IF(ISNUMBER(ديسمبر!AL8),ديسمبر!AL8,0)</f>
        <v>200000</v>
      </c>
      <c r="Q6" s="7">
        <f t="shared" si="0"/>
        <v>36566666.670000002</v>
      </c>
    </row>
    <row r="7" spans="1:17" ht="24" customHeight="1" x14ac:dyDescent="0.25">
      <c r="A7" s="2">
        <v>3</v>
      </c>
      <c r="B7" s="3" t="str">
        <f>'بيانات الموظفين'!B7</f>
        <v>حسام كبريتة</v>
      </c>
      <c r="C7" s="4">
        <f>'بيانات الموظفين'!C7</f>
        <v>2500000</v>
      </c>
      <c r="D7" s="5">
        <f>IF(ISNUMBER(يناير!AM9),يناير!AM9,"")</f>
        <v>2583333.33</v>
      </c>
      <c r="E7" s="5">
        <f>IF(ISNUMBER(فبراير!AJ9),فبراير!AJ9,"")</f>
        <v>2500000</v>
      </c>
      <c r="F7" s="5">
        <f>IF(ISNUMBER(مارس!AM9),مارس!AM9,"")</f>
        <v>2583333.33</v>
      </c>
      <c r="G7" s="5">
        <f>IF(ISNUMBER(أبريل!AL9),أبريل!AL9,"")</f>
        <v>2500000</v>
      </c>
      <c r="H7" s="5">
        <f>IF(ISNUMBER(مايو!AM9),مايو!AM9,"")</f>
        <v>2583333.33</v>
      </c>
      <c r="I7" s="5">
        <f>IF(ISNUMBER(يونيو!AL9),يونيو!AL9,"")</f>
        <v>2305555.56</v>
      </c>
      <c r="J7" s="5">
        <f>IF(ISNUMBER(يوليو!AM9),يوليو!AM9,"")</f>
        <v>2583333.33</v>
      </c>
      <c r="K7" s="5">
        <f>IF(ISNUMBER(أغسطس!AM9),أغسطس!AM9,"")</f>
        <v>2583333.33</v>
      </c>
      <c r="L7" s="5">
        <f>IF(ISNUMBER(سبتمبر!AL9),سبتمبر!AL9,"")</f>
        <v>2500000</v>
      </c>
      <c r="M7" s="5">
        <f>IF(ISNUMBER(أكتوبر!AM9),أكتوبر!AM9,"")</f>
        <v>2583333.33</v>
      </c>
      <c r="N7" s="5">
        <f>IF(ISNUMBER(نوفمبر!AL9),نوفمبر!AL9,"")</f>
        <v>2500000</v>
      </c>
      <c r="O7" s="5">
        <f>IF(ISNUMBER(ديسمبر!AM9),ديسمبر!AM9,"")</f>
        <v>2583333.33</v>
      </c>
      <c r="P7" s="6">
        <f>IF(ISNUMBER(يناير!AL9),يناير!AL9,0)+IF(ISNUMBER(فبراير!AI9),فبراير!AI9,0)+IF(ISNUMBER(مارس!AL9),مارس!AL9,0)+IF(ISNUMBER(أبريل!AK9),أبريل!AK9,0)+IF(ISNUMBER(مايو!AL9),مايو!AL9,0)+IF(ISNUMBER(يونيو!AK9),يونيو!AK9,0)+IF(ISNUMBER(يوليو!AL9),يوليو!AL9,0)+IF(ISNUMBER(أغسطس!AL9),أغسطس!AL9,0)+IF(ISNUMBER(سبتمبر!AK9),سبتمبر!AK9,0)+IF(ISNUMBER(أكتوبر!AL9),أكتوبر!AL9,0)+IF(ISNUMBER(نوفمبر!AK9),نوفمبر!AK9,0)+IF(ISNUMBER(ديسمبر!AL9),ديسمبر!AL9,0)</f>
        <v>250000</v>
      </c>
      <c r="Q7" s="7">
        <f t="shared" si="0"/>
        <v>30388888.869999997</v>
      </c>
    </row>
    <row r="8" spans="1:17" ht="24" customHeight="1" x14ac:dyDescent="0.25">
      <c r="A8" s="8">
        <v>4</v>
      </c>
      <c r="B8" s="3" t="str">
        <f>'بيانات الموظفين'!B8</f>
        <v>انس المنسي</v>
      </c>
      <c r="C8" s="9">
        <f>'بيانات الموظفين'!C8</f>
        <v>800000</v>
      </c>
      <c r="D8" s="10">
        <f>IF(ISNUMBER(يناير!AM10),يناير!AM10,"")</f>
        <v>826666.67</v>
      </c>
      <c r="E8" s="10">
        <f>IF(ISNUMBER(فبراير!AJ10),فبراير!AJ10,"")</f>
        <v>800000</v>
      </c>
      <c r="F8" s="10">
        <f>IF(ISNUMBER(مارس!AM10),مارس!AM10,"")</f>
        <v>826666.67</v>
      </c>
      <c r="G8" s="10">
        <f>IF(ISNUMBER(أبريل!AL10),أبريل!AL10,"")</f>
        <v>800000</v>
      </c>
      <c r="H8" s="10">
        <f>IF(ISNUMBER(مايو!AM10),مايو!AM10,"")</f>
        <v>826666.67</v>
      </c>
      <c r="I8" s="10">
        <f>IF(ISNUMBER(يونيو!AL10),يونيو!AL10,"")</f>
        <v>506666.67</v>
      </c>
      <c r="J8" s="10">
        <f>IF(ISNUMBER(يوليو!AM10),يوليو!AM10,"")</f>
        <v>826666.67</v>
      </c>
      <c r="K8" s="10">
        <f>IF(ISNUMBER(أغسطس!AM10),أغسطس!AM10,"")</f>
        <v>826666.67</v>
      </c>
      <c r="L8" s="10">
        <f>IF(ISNUMBER(سبتمبر!AL10),سبتمبر!AL10,"")</f>
        <v>800000</v>
      </c>
      <c r="M8" s="10">
        <f>IF(ISNUMBER(أكتوبر!AM10),أكتوبر!AM10,"")</f>
        <v>826666.67</v>
      </c>
      <c r="N8" s="10">
        <f>IF(ISNUMBER(نوفمبر!AL10),نوفمبر!AL10,"")</f>
        <v>800000</v>
      </c>
      <c r="O8" s="10">
        <f>IF(ISNUMBER(ديسمبر!AM10),ديسمبر!AM10,"")</f>
        <v>826666.67</v>
      </c>
      <c r="P8" s="6">
        <f>IF(ISNUMBER(يناير!AL10),يناير!AL10,0)+IF(ISNUMBER(فبراير!AI10),فبراير!AI10,0)+IF(ISNUMBER(مارس!AL10),مارس!AL10,0)+IF(ISNUMBER(أبريل!AK10),أبريل!AK10,0)+IF(ISNUMBER(مايو!AL10),مايو!AL10,0)+IF(ISNUMBER(يونيو!AK10),يونيو!AK10,0)+IF(ISNUMBER(يوليو!AL10),يوليو!AL10,0)+IF(ISNUMBER(أغسطس!AL10),أغسطس!AL10,0)+IF(ISNUMBER(سبتمبر!AK10),سبتمبر!AK10,0)+IF(ISNUMBER(أكتوبر!AL10),أكتوبر!AL10,0)+IF(ISNUMBER(نوفمبر!AK10),نوفمبر!AK10,0)+IF(ISNUMBER(ديسمبر!AL10),ديسمبر!AL10,0)</f>
        <v>293333.33</v>
      </c>
      <c r="Q8" s="7">
        <f t="shared" si="0"/>
        <v>9493333.3599999994</v>
      </c>
    </row>
    <row r="9" spans="1:17" ht="24" customHeight="1" x14ac:dyDescent="0.25">
      <c r="A9" s="2">
        <v>5</v>
      </c>
      <c r="B9" s="3" t="str">
        <f>'بيانات الموظفين'!B9</f>
        <v>عمار مجيد</v>
      </c>
      <c r="C9" s="4">
        <f>'بيانات الموظفين'!C9</f>
        <v>2000000</v>
      </c>
      <c r="D9" s="5">
        <f>IF(ISNUMBER(يناير!AM11),يناير!AM11,"")</f>
        <v>2066666.67</v>
      </c>
      <c r="E9" s="5">
        <f>IF(ISNUMBER(فبراير!AJ11),فبراير!AJ11,"")</f>
        <v>2000000</v>
      </c>
      <c r="F9" s="5">
        <f>IF(ISNUMBER(مارس!AM11),مارس!AM11,"")</f>
        <v>2066666.67</v>
      </c>
      <c r="G9" s="5">
        <f>IF(ISNUMBER(أبريل!AL11),أبريل!AL11,"")</f>
        <v>2000000</v>
      </c>
      <c r="H9" s="5">
        <f>IF(ISNUMBER(مايو!AM11),مايو!AM11,"")</f>
        <v>2066666.67</v>
      </c>
      <c r="I9" s="5">
        <f>IF(ISNUMBER(يونيو!AL11),يونيو!AL11,"")</f>
        <v>540740.74</v>
      </c>
      <c r="J9" s="5">
        <f>IF(ISNUMBER(يوليو!AM11),يوليو!AM11,"")</f>
        <v>2066666.67</v>
      </c>
      <c r="K9" s="5">
        <f>IF(ISNUMBER(أغسطس!AM11),أغسطس!AM11,"")</f>
        <v>2066666.67</v>
      </c>
      <c r="L9" s="5">
        <f>IF(ISNUMBER(سبتمبر!AL11),سبتمبر!AL11,"")</f>
        <v>2000000</v>
      </c>
      <c r="M9" s="5">
        <f>IF(ISNUMBER(أكتوبر!AM11),أكتوبر!AM11,"")</f>
        <v>2066666.67</v>
      </c>
      <c r="N9" s="5">
        <f>IF(ISNUMBER(نوفمبر!AL11),نوفمبر!AL11,"")</f>
        <v>2000000</v>
      </c>
      <c r="O9" s="5">
        <f>IF(ISNUMBER(ديسمبر!AM11),ديسمبر!AM11,"")</f>
        <v>2066666.67</v>
      </c>
      <c r="P9" s="6">
        <f>IF(ISNUMBER(يناير!AL11),يناير!AL11,0)+IF(ISNUMBER(فبراير!AI11),فبراير!AI11,0)+IF(ISNUMBER(مارس!AL11),مارس!AL11,0)+IF(ISNUMBER(أبريل!AK11),أبريل!AK11,0)+IF(ISNUMBER(مايو!AL11),مايو!AL11,0)+IF(ISNUMBER(يونيو!AK11),يونيو!AK11,0)+IF(ISNUMBER(يوليو!AL11),يوليو!AL11,0)+IF(ISNUMBER(أغسطس!AL11),أغسطس!AL11,0)+IF(ISNUMBER(سبتمبر!AK11),سبتمبر!AK11,0)+IF(ISNUMBER(أكتوبر!AL11),أكتوبر!AL11,0)+IF(ISNUMBER(نوفمبر!AK11),نوفمبر!AK11,0)+IF(ISNUMBER(ديسمبر!AL11),ديسمبر!AL11,0)</f>
        <v>1466666.67</v>
      </c>
      <c r="Q9" s="7">
        <f t="shared" si="0"/>
        <v>23007407.43</v>
      </c>
    </row>
    <row r="10" spans="1:17" ht="24" customHeight="1" x14ac:dyDescent="0.25">
      <c r="A10" s="8">
        <v>6</v>
      </c>
      <c r="B10" s="3">
        <f>'بيانات الموظفين'!B10</f>
        <v>0</v>
      </c>
      <c r="C10" s="9">
        <f>'بيانات الموظفين'!C10</f>
        <v>0</v>
      </c>
      <c r="D10" s="10" t="str">
        <f>IF(ISNUMBER(يناير!AM12),يناير!AM12,"")</f>
        <v/>
      </c>
      <c r="E10" s="10" t="str">
        <f>IF(ISNUMBER(فبراير!AJ12),فبراير!AJ12,"")</f>
        <v/>
      </c>
      <c r="F10" s="10" t="str">
        <f>IF(ISNUMBER(مارس!AM12),مارس!AM12,"")</f>
        <v/>
      </c>
      <c r="G10" s="10" t="str">
        <f>IF(ISNUMBER(أبريل!AL12),أبريل!AL12,"")</f>
        <v/>
      </c>
      <c r="H10" s="10" t="str">
        <f>IF(ISNUMBER(مايو!AM12),مايو!AM12,"")</f>
        <v/>
      </c>
      <c r="I10" s="10" t="str">
        <f>IF(ISNUMBER(يونيو!AL12),يونيو!AL12,"")</f>
        <v/>
      </c>
      <c r="J10" s="10" t="str">
        <f>IF(ISNUMBER(يوليو!AM12),يوليو!AM12,"")</f>
        <v/>
      </c>
      <c r="K10" s="10" t="str">
        <f>IF(ISNUMBER(أغسطس!AM12),أغسطس!AM12,"")</f>
        <v/>
      </c>
      <c r="L10" s="10" t="str">
        <f>IF(ISNUMBER(سبتمبر!AL12),سبتمبر!AL12,"")</f>
        <v/>
      </c>
      <c r="M10" s="10" t="str">
        <f>IF(ISNUMBER(أكتوبر!AM12),أكتوبر!AM12,"")</f>
        <v/>
      </c>
      <c r="N10" s="10" t="str">
        <f>IF(ISNUMBER(نوفمبر!AL12),نوفمبر!AL12,"")</f>
        <v/>
      </c>
      <c r="O10" s="10" t="str">
        <f>IF(ISNUMBER(ديسمبر!AM12),ديسمبر!AM12,"")</f>
        <v/>
      </c>
      <c r="P10" s="6">
        <f>IF(ISNUMBER(يناير!AL12),يناير!AL12,0)+IF(ISNUMBER(فبراير!AI12),فبراير!AI12,0)+IF(ISNUMBER(مارس!AL12),مارس!AL12,0)+IF(ISNUMBER(أبريل!AK12),أبريل!AK12,0)+IF(ISNUMBER(مايو!AL12),مايو!AL12,0)+IF(ISNUMBER(يونيو!AK12),يونيو!AK12,0)+IF(ISNUMBER(يوليو!AL12),يوليو!AL12,0)+IF(ISNUMBER(أغسطس!AL12),أغسطس!AL12,0)+IF(ISNUMBER(سبتمبر!AK12),سبتمبر!AK12,0)+IF(ISNUMBER(أكتوبر!AL12),أكتوبر!AL12,0)+IF(ISNUMBER(نوفمبر!AK12),نوفمبر!AK12,0)+IF(ISNUMBER(ديسمبر!AL12),ديسمبر!AL12,0)</f>
        <v>0</v>
      </c>
      <c r="Q10" s="7">
        <f t="shared" si="0"/>
        <v>0</v>
      </c>
    </row>
    <row r="11" spans="1:17" ht="24" customHeight="1" x14ac:dyDescent="0.25">
      <c r="A11" s="2">
        <v>7</v>
      </c>
      <c r="B11" s="3">
        <f>'بيانات الموظفين'!B11</f>
        <v>0</v>
      </c>
      <c r="C11" s="4">
        <f>'بيانات الموظفين'!C11</f>
        <v>0</v>
      </c>
      <c r="D11" s="5" t="str">
        <f>IF(ISNUMBER(يناير!AM13),يناير!AM13,"")</f>
        <v/>
      </c>
      <c r="E11" s="5" t="str">
        <f>IF(ISNUMBER(فبراير!AJ13),فبراير!AJ13,"")</f>
        <v/>
      </c>
      <c r="F11" s="5" t="str">
        <f>IF(ISNUMBER(مارس!AM13),مارس!AM13,"")</f>
        <v/>
      </c>
      <c r="G11" s="5" t="str">
        <f>IF(ISNUMBER(أبريل!AL13),أبريل!AL13,"")</f>
        <v/>
      </c>
      <c r="H11" s="5" t="str">
        <f>IF(ISNUMBER(مايو!AM13),مايو!AM13,"")</f>
        <v/>
      </c>
      <c r="I11" s="5" t="str">
        <f>IF(ISNUMBER(يونيو!AL13),يونيو!AL13,"")</f>
        <v/>
      </c>
      <c r="J11" s="5" t="str">
        <f>IF(ISNUMBER(يوليو!AM13),يوليو!AM13,"")</f>
        <v/>
      </c>
      <c r="K11" s="5" t="str">
        <f>IF(ISNUMBER(أغسطس!AM13),أغسطس!AM13,"")</f>
        <v/>
      </c>
      <c r="L11" s="5" t="str">
        <f>IF(ISNUMBER(سبتمبر!AL13),سبتمبر!AL13,"")</f>
        <v/>
      </c>
      <c r="M11" s="5" t="str">
        <f>IF(ISNUMBER(أكتوبر!AM13),أكتوبر!AM13,"")</f>
        <v/>
      </c>
      <c r="N11" s="5" t="str">
        <f>IF(ISNUMBER(نوفمبر!AL13),نوفمبر!AL13,"")</f>
        <v/>
      </c>
      <c r="O11" s="5" t="str">
        <f>IF(ISNUMBER(ديسمبر!AM13),ديسمبر!AM13,"")</f>
        <v/>
      </c>
      <c r="P11" s="6">
        <f>IF(ISNUMBER(يناير!AL13),يناير!AL13,0)+IF(ISNUMBER(فبراير!AI13),فبراير!AI13,0)+IF(ISNUMBER(مارس!AL13),مارس!AL13,0)+IF(ISNUMBER(أبريل!AK13),أبريل!AK13,0)+IF(ISNUMBER(مايو!AL13),مايو!AL13,0)+IF(ISNUMBER(يونيو!AK13),يونيو!AK13,0)+IF(ISNUMBER(يوليو!AL13),يوليو!AL13,0)+IF(ISNUMBER(أغسطس!AL13),أغسطس!AL13,0)+IF(ISNUMBER(سبتمبر!AK13),سبتمبر!AK13,0)+IF(ISNUMBER(أكتوبر!AL13),أكتوبر!AL13,0)+IF(ISNUMBER(نوفمبر!AK13),نوفمبر!AK13,0)+IF(ISNUMBER(ديسمبر!AL13),ديسمبر!AL13,0)</f>
        <v>0</v>
      </c>
      <c r="Q11" s="7">
        <f t="shared" si="0"/>
        <v>0</v>
      </c>
    </row>
    <row r="12" spans="1:17" ht="24" customHeight="1" x14ac:dyDescent="0.25">
      <c r="A12" s="8">
        <v>8</v>
      </c>
      <c r="B12" s="3">
        <f>'بيانات الموظفين'!B12</f>
        <v>0</v>
      </c>
      <c r="C12" s="9">
        <f>'بيانات الموظفين'!C12</f>
        <v>0</v>
      </c>
      <c r="D12" s="10" t="str">
        <f>IF(ISNUMBER(يناير!AM14),يناير!AM14,"")</f>
        <v/>
      </c>
      <c r="E12" s="10" t="str">
        <f>IF(ISNUMBER(فبراير!AJ14),فبراير!AJ14,"")</f>
        <v/>
      </c>
      <c r="F12" s="10" t="str">
        <f>IF(ISNUMBER(مارس!AM14),مارس!AM14,"")</f>
        <v/>
      </c>
      <c r="G12" s="10" t="str">
        <f>IF(ISNUMBER(أبريل!AL14),أبريل!AL14,"")</f>
        <v/>
      </c>
      <c r="H12" s="10" t="str">
        <f>IF(ISNUMBER(مايو!AM14),مايو!AM14,"")</f>
        <v/>
      </c>
      <c r="I12" s="10" t="str">
        <f>IF(ISNUMBER(يونيو!AL14),يونيو!AL14,"")</f>
        <v/>
      </c>
      <c r="J12" s="10" t="str">
        <f>IF(ISNUMBER(يوليو!AM14),يوليو!AM14,"")</f>
        <v/>
      </c>
      <c r="K12" s="10" t="str">
        <f>IF(ISNUMBER(أغسطس!AM14),أغسطس!AM14,"")</f>
        <v/>
      </c>
      <c r="L12" s="10" t="str">
        <f>IF(ISNUMBER(سبتمبر!AL14),سبتمبر!AL14,"")</f>
        <v/>
      </c>
      <c r="M12" s="10" t="str">
        <f>IF(ISNUMBER(أكتوبر!AM14),أكتوبر!AM14,"")</f>
        <v/>
      </c>
      <c r="N12" s="10" t="str">
        <f>IF(ISNUMBER(نوفمبر!AL14),نوفمبر!AL14,"")</f>
        <v/>
      </c>
      <c r="O12" s="10" t="str">
        <f>IF(ISNUMBER(ديسمبر!AM14),ديسمبر!AM14,"")</f>
        <v/>
      </c>
      <c r="P12" s="6">
        <f>IF(ISNUMBER(يناير!AL14),يناير!AL14,0)+IF(ISNUMBER(فبراير!AI14),فبراير!AI14,0)+IF(ISNUMBER(مارس!AL14),مارس!AL14,0)+IF(ISNUMBER(أبريل!AK14),أبريل!AK14,0)+IF(ISNUMBER(مايو!AL14),مايو!AL14,0)+IF(ISNUMBER(يونيو!AK14),يونيو!AK14,0)+IF(ISNUMBER(يوليو!AL14),يوليو!AL14,0)+IF(ISNUMBER(أغسطس!AL14),أغسطس!AL14,0)+IF(ISNUMBER(سبتمبر!AK14),سبتمبر!AK14,0)+IF(ISNUMBER(أكتوبر!AL14),أكتوبر!AL14,0)+IF(ISNUMBER(نوفمبر!AK14),نوفمبر!AK14,0)+IF(ISNUMBER(ديسمبر!AL14),ديسمبر!AL14,0)</f>
        <v>0</v>
      </c>
      <c r="Q12" s="7">
        <f t="shared" si="0"/>
        <v>0</v>
      </c>
    </row>
    <row r="13" spans="1:17" ht="24" customHeight="1" x14ac:dyDescent="0.25">
      <c r="A13" s="2">
        <v>9</v>
      </c>
      <c r="B13" s="3">
        <f>'بيانات الموظفين'!B13</f>
        <v>0</v>
      </c>
      <c r="C13" s="4">
        <f>'بيانات الموظفين'!C13</f>
        <v>0</v>
      </c>
      <c r="D13" s="5" t="str">
        <f>IF(ISNUMBER(يناير!AM15),يناير!AM15,"")</f>
        <v/>
      </c>
      <c r="E13" s="5" t="str">
        <f>IF(ISNUMBER(فبراير!AJ15),فبراير!AJ15,"")</f>
        <v/>
      </c>
      <c r="F13" s="5" t="str">
        <f>IF(ISNUMBER(مارس!AM15),مارس!AM15,"")</f>
        <v/>
      </c>
      <c r="G13" s="5" t="str">
        <f>IF(ISNUMBER(أبريل!AL15),أبريل!AL15,"")</f>
        <v/>
      </c>
      <c r="H13" s="5" t="str">
        <f>IF(ISNUMBER(مايو!AM15),مايو!AM15,"")</f>
        <v/>
      </c>
      <c r="I13" s="5" t="str">
        <f>IF(ISNUMBER(يونيو!AL15),يونيو!AL15,"")</f>
        <v/>
      </c>
      <c r="J13" s="5" t="str">
        <f>IF(ISNUMBER(يوليو!AM15),يوليو!AM15,"")</f>
        <v/>
      </c>
      <c r="K13" s="5" t="str">
        <f>IF(ISNUMBER(أغسطس!AM15),أغسطس!AM15,"")</f>
        <v/>
      </c>
      <c r="L13" s="5" t="str">
        <f>IF(ISNUMBER(سبتمبر!AL15),سبتمبر!AL15,"")</f>
        <v/>
      </c>
      <c r="M13" s="5" t="str">
        <f>IF(ISNUMBER(أكتوبر!AM15),أكتوبر!AM15,"")</f>
        <v/>
      </c>
      <c r="N13" s="5" t="str">
        <f>IF(ISNUMBER(نوفمبر!AL15),نوفمبر!AL15,"")</f>
        <v/>
      </c>
      <c r="O13" s="5" t="str">
        <f>IF(ISNUMBER(ديسمبر!AM15),ديسمبر!AM15,"")</f>
        <v/>
      </c>
      <c r="P13" s="6">
        <f>IF(ISNUMBER(يناير!AL15),يناير!AL15,0)+IF(ISNUMBER(فبراير!AI15),فبراير!AI15,0)+IF(ISNUMBER(مارس!AL15),مارس!AL15,0)+IF(ISNUMBER(أبريل!AK15),أبريل!AK15,0)+IF(ISNUMBER(مايو!AL15),مايو!AL15,0)+IF(ISNUMBER(يونيو!AK15),يونيو!AK15,0)+IF(ISNUMBER(يوليو!AL15),يوليو!AL15,0)+IF(ISNUMBER(أغسطس!AL15),أغسطس!AL15,0)+IF(ISNUMBER(سبتمبر!AK15),سبتمبر!AK15,0)+IF(ISNUMBER(أكتوبر!AL15),أكتوبر!AL15,0)+IF(ISNUMBER(نوفمبر!AK15),نوفمبر!AK15,0)+IF(ISNUMBER(ديسمبر!AL15),ديسمبر!AL15,0)</f>
        <v>0</v>
      </c>
      <c r="Q13" s="7">
        <f t="shared" si="0"/>
        <v>0</v>
      </c>
    </row>
    <row r="14" spans="1:17" ht="24" customHeight="1" x14ac:dyDescent="0.25">
      <c r="A14" s="8">
        <v>10</v>
      </c>
      <c r="B14" s="3">
        <f>'بيانات الموظفين'!B14</f>
        <v>0</v>
      </c>
      <c r="C14" s="9">
        <f>'بيانات الموظفين'!C14</f>
        <v>0</v>
      </c>
      <c r="D14" s="10" t="str">
        <f>IF(ISNUMBER(يناير!AM16),يناير!AM16,"")</f>
        <v/>
      </c>
      <c r="E14" s="10" t="str">
        <f>IF(ISNUMBER(فبراير!AJ16),فبراير!AJ16,"")</f>
        <v/>
      </c>
      <c r="F14" s="10" t="str">
        <f>IF(ISNUMBER(مارس!AM16),مارس!AM16,"")</f>
        <v/>
      </c>
      <c r="G14" s="10" t="str">
        <f>IF(ISNUMBER(أبريل!AL16),أبريل!AL16,"")</f>
        <v/>
      </c>
      <c r="H14" s="10" t="str">
        <f>IF(ISNUMBER(مايو!AM16),مايو!AM16,"")</f>
        <v/>
      </c>
      <c r="I14" s="10" t="str">
        <f>IF(ISNUMBER(يونيو!AL16),يونيو!AL16,"")</f>
        <v/>
      </c>
      <c r="J14" s="10" t="str">
        <f>IF(ISNUMBER(يوليو!AM16),يوليو!AM16,"")</f>
        <v/>
      </c>
      <c r="K14" s="10" t="str">
        <f>IF(ISNUMBER(أغسطس!AM16),أغسطس!AM16,"")</f>
        <v/>
      </c>
      <c r="L14" s="10" t="str">
        <f>IF(ISNUMBER(سبتمبر!AL16),سبتمبر!AL16,"")</f>
        <v/>
      </c>
      <c r="M14" s="10" t="str">
        <f>IF(ISNUMBER(أكتوبر!AM16),أكتوبر!AM16,"")</f>
        <v/>
      </c>
      <c r="N14" s="10" t="str">
        <f>IF(ISNUMBER(نوفمبر!AL16),نوفمبر!AL16,"")</f>
        <v/>
      </c>
      <c r="O14" s="10" t="str">
        <f>IF(ISNUMBER(ديسمبر!AM16),ديسمبر!AM16,"")</f>
        <v/>
      </c>
      <c r="P14" s="6">
        <f>IF(ISNUMBER(يناير!AL16),يناير!AL16,0)+IF(ISNUMBER(فبراير!AI16),فبراير!AI16,0)+IF(ISNUMBER(مارس!AL16),مارس!AL16,0)+IF(ISNUMBER(أبريل!AK16),أبريل!AK16,0)+IF(ISNUMBER(مايو!AL16),مايو!AL16,0)+IF(ISNUMBER(يونيو!AK16),يونيو!AK16,0)+IF(ISNUMBER(يوليو!AL16),يوليو!AL16,0)+IF(ISNUMBER(أغسطس!AL16),أغسطس!AL16,0)+IF(ISNUMBER(سبتمبر!AK16),سبتمبر!AK16,0)+IF(ISNUMBER(أكتوبر!AL16),أكتوبر!AL16,0)+IF(ISNUMBER(نوفمبر!AK16),نوفمبر!AK16,0)+IF(ISNUMBER(ديسمبر!AL16),ديسمبر!AL16,0)</f>
        <v>0</v>
      </c>
      <c r="Q14" s="7">
        <f t="shared" si="0"/>
        <v>0</v>
      </c>
    </row>
    <row r="15" spans="1:17" ht="27.75" customHeight="1" x14ac:dyDescent="0.25">
      <c r="A15" s="63" t="s">
        <v>19</v>
      </c>
      <c r="B15" s="63"/>
      <c r="C15" s="11">
        <f t="shared" ref="C15:Q15" si="1">IFERROR(SUM(C5:C14),0)</f>
        <v>15300000</v>
      </c>
      <c r="D15" s="11">
        <f t="shared" si="1"/>
        <v>15810000</v>
      </c>
      <c r="E15" s="11">
        <f t="shared" si="1"/>
        <v>15300000</v>
      </c>
      <c r="F15" s="11">
        <f t="shared" si="1"/>
        <v>15810000</v>
      </c>
      <c r="G15" s="11">
        <f t="shared" si="1"/>
        <v>15300000</v>
      </c>
      <c r="H15" s="11">
        <f t="shared" si="1"/>
        <v>15810000</v>
      </c>
      <c r="I15" s="11">
        <f t="shared" si="1"/>
        <v>12519629.640000001</v>
      </c>
      <c r="J15" s="11">
        <f t="shared" si="1"/>
        <v>15810000</v>
      </c>
      <c r="K15" s="11">
        <f t="shared" si="1"/>
        <v>15810000</v>
      </c>
      <c r="L15" s="11">
        <f t="shared" si="1"/>
        <v>15300000</v>
      </c>
      <c r="M15" s="11">
        <f t="shared" si="1"/>
        <v>15810000</v>
      </c>
      <c r="N15" s="11">
        <f t="shared" si="1"/>
        <v>15300000</v>
      </c>
      <c r="O15" s="11">
        <f t="shared" si="1"/>
        <v>15810000</v>
      </c>
      <c r="P15" s="12">
        <f t="shared" si="1"/>
        <v>2910000</v>
      </c>
      <c r="Q15" s="12">
        <f t="shared" si="1"/>
        <v>184389629.63999999</v>
      </c>
    </row>
  </sheetData>
  <mergeCells count="3">
    <mergeCell ref="A1:Q1"/>
    <mergeCell ref="A2:Q2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rightToLeft="1" zoomScaleNormal="100" workbookViewId="0">
      <selection activeCell="G2" sqref="G2"/>
    </sheetView>
  </sheetViews>
  <sheetFormatPr defaultColWidth="8.7109375" defaultRowHeight="15" x14ac:dyDescent="0.25"/>
  <cols>
    <col min="1" max="1" width="5" customWidth="1"/>
    <col min="2" max="2" width="30" customWidth="1"/>
    <col min="3" max="3" width="18" customWidth="1"/>
    <col min="4" max="4" width="26" customWidth="1"/>
    <col min="5" max="5" width="16" customWidth="1"/>
    <col min="6" max="6" width="12" customWidth="1"/>
    <col min="7" max="7" width="10" customWidth="1"/>
    <col min="8" max="8" width="14" customWidth="1"/>
  </cols>
  <sheetData>
    <row r="1" spans="1:8" ht="36" customHeight="1" x14ac:dyDescent="0.25">
      <c r="A1" s="52" t="s">
        <v>20</v>
      </c>
      <c r="B1" s="52"/>
      <c r="C1" s="52"/>
      <c r="D1" s="52"/>
      <c r="E1" s="52"/>
      <c r="F1" s="52"/>
      <c r="G1" s="52"/>
      <c r="H1" s="52"/>
    </row>
    <row r="2" spans="1:8" ht="24" customHeight="1" x14ac:dyDescent="0.25">
      <c r="A2" s="13" t="s">
        <v>21</v>
      </c>
      <c r="B2" s="65" t="s">
        <v>22</v>
      </c>
      <c r="C2" s="65"/>
      <c r="D2" s="66" t="s">
        <v>23</v>
      </c>
      <c r="E2" s="66"/>
      <c r="F2" s="66"/>
      <c r="G2" s="14">
        <v>9</v>
      </c>
      <c r="H2" s="15" t="s">
        <v>24</v>
      </c>
    </row>
    <row r="3" spans="1:8" ht="6" customHeight="1" x14ac:dyDescent="0.25"/>
    <row r="4" spans="1:8" ht="27.75" customHeight="1" x14ac:dyDescent="0.25">
      <c r="A4" s="16" t="s">
        <v>2</v>
      </c>
      <c r="B4" s="16" t="s">
        <v>3</v>
      </c>
      <c r="C4" s="16" t="s">
        <v>4</v>
      </c>
      <c r="D4" s="16" t="s">
        <v>25</v>
      </c>
      <c r="E4" s="16" t="s">
        <v>26</v>
      </c>
      <c r="F4" s="16" t="s">
        <v>27</v>
      </c>
    </row>
    <row r="5" spans="1:8" ht="24" customHeight="1" x14ac:dyDescent="0.25">
      <c r="A5" s="8">
        <v>1</v>
      </c>
      <c r="B5" s="3" t="s">
        <v>28</v>
      </c>
      <c r="C5" s="17">
        <v>7000000</v>
      </c>
      <c r="D5" s="18"/>
      <c r="E5" s="19"/>
      <c r="F5" s="20" t="s">
        <v>29</v>
      </c>
    </row>
    <row r="6" spans="1:8" ht="24" customHeight="1" x14ac:dyDescent="0.25">
      <c r="A6" s="2">
        <v>2</v>
      </c>
      <c r="B6" s="3" t="s">
        <v>30</v>
      </c>
      <c r="C6" s="21">
        <v>3000000</v>
      </c>
      <c r="D6" s="22"/>
      <c r="E6" s="23"/>
      <c r="F6" s="24" t="s">
        <v>29</v>
      </c>
    </row>
    <row r="7" spans="1:8" ht="24" customHeight="1" x14ac:dyDescent="0.25">
      <c r="A7" s="8">
        <v>3</v>
      </c>
      <c r="B7" s="3" t="s">
        <v>31</v>
      </c>
      <c r="C7" s="17">
        <v>2500000</v>
      </c>
      <c r="D7" s="18"/>
      <c r="E7" s="19"/>
      <c r="F7" s="20" t="s">
        <v>29</v>
      </c>
    </row>
    <row r="8" spans="1:8" ht="24" customHeight="1" x14ac:dyDescent="0.25">
      <c r="A8" s="2">
        <v>4</v>
      </c>
      <c r="B8" s="3" t="s">
        <v>32</v>
      </c>
      <c r="C8" s="21">
        <v>800000</v>
      </c>
      <c r="D8" s="22"/>
      <c r="E8" s="23"/>
      <c r="F8" s="24" t="s">
        <v>29</v>
      </c>
    </row>
    <row r="9" spans="1:8" ht="24" customHeight="1" x14ac:dyDescent="0.25">
      <c r="A9" s="8">
        <v>5</v>
      </c>
      <c r="B9" s="3" t="s">
        <v>33</v>
      </c>
      <c r="C9" s="17">
        <v>2000000</v>
      </c>
      <c r="D9" s="18"/>
      <c r="E9" s="19"/>
      <c r="F9" s="20" t="s">
        <v>29</v>
      </c>
    </row>
    <row r="10" spans="1:8" ht="24" customHeight="1" x14ac:dyDescent="0.25">
      <c r="A10" s="2">
        <v>6</v>
      </c>
      <c r="B10" s="3"/>
      <c r="C10" s="21"/>
      <c r="D10" s="22"/>
      <c r="E10" s="23"/>
      <c r="F10" s="24" t="s">
        <v>29</v>
      </c>
    </row>
    <row r="11" spans="1:8" ht="24" customHeight="1" x14ac:dyDescent="0.25">
      <c r="A11" s="8">
        <v>7</v>
      </c>
      <c r="B11" s="3"/>
      <c r="C11" s="17"/>
      <c r="D11" s="18"/>
      <c r="E11" s="19"/>
      <c r="F11" s="20" t="s">
        <v>29</v>
      </c>
    </row>
    <row r="12" spans="1:8" ht="24" customHeight="1" x14ac:dyDescent="0.25">
      <c r="A12" s="2">
        <v>8</v>
      </c>
      <c r="B12" s="3"/>
      <c r="C12" s="21"/>
      <c r="D12" s="22"/>
      <c r="E12" s="23"/>
      <c r="F12" s="24" t="s">
        <v>29</v>
      </c>
    </row>
    <row r="13" spans="1:8" ht="24" customHeight="1" x14ac:dyDescent="0.25">
      <c r="A13" s="8">
        <v>9</v>
      </c>
      <c r="B13" s="3"/>
      <c r="C13" s="17"/>
      <c r="D13" s="18"/>
      <c r="E13" s="19"/>
      <c r="F13" s="20" t="s">
        <v>29</v>
      </c>
    </row>
    <row r="14" spans="1:8" ht="24" customHeight="1" x14ac:dyDescent="0.25">
      <c r="A14" s="2">
        <v>10</v>
      </c>
      <c r="B14" s="3"/>
      <c r="C14" s="21"/>
      <c r="D14" s="22"/>
      <c r="E14" s="23"/>
      <c r="F14" s="24" t="s">
        <v>29</v>
      </c>
    </row>
    <row r="16" spans="1:8" ht="7.5" customHeight="1" x14ac:dyDescent="0.25"/>
    <row r="17" spans="1:6" ht="27.75" customHeight="1" x14ac:dyDescent="0.25">
      <c r="A17" s="67" t="s">
        <v>34</v>
      </c>
      <c r="B17" s="67"/>
      <c r="C17" s="67"/>
      <c r="D17" s="67"/>
      <c r="E17" s="67"/>
      <c r="F17" s="67"/>
    </row>
    <row r="18" spans="1:6" ht="21.75" customHeight="1" x14ac:dyDescent="0.25">
      <c r="A18" s="1" t="s">
        <v>35</v>
      </c>
      <c r="B18" s="68" t="s">
        <v>36</v>
      </c>
      <c r="C18" s="68"/>
      <c r="D18" s="68"/>
      <c r="E18" s="68"/>
      <c r="F18" s="68"/>
    </row>
    <row r="19" spans="1:6" ht="21.75" customHeight="1" x14ac:dyDescent="0.25">
      <c r="A19" s="25" t="s">
        <v>37</v>
      </c>
      <c r="B19" s="64" t="s">
        <v>38</v>
      </c>
      <c r="C19" s="64"/>
      <c r="D19" s="64"/>
      <c r="E19" s="64"/>
      <c r="F19" s="64"/>
    </row>
    <row r="20" spans="1:6" ht="21.75" customHeight="1" x14ac:dyDescent="0.25">
      <c r="A20" s="26" t="s">
        <v>39</v>
      </c>
      <c r="B20" s="64" t="s">
        <v>40</v>
      </c>
      <c r="C20" s="64"/>
      <c r="D20" s="64"/>
      <c r="E20" s="64"/>
      <c r="F20" s="64"/>
    </row>
    <row r="21" spans="1:6" ht="21.75" customHeight="1" x14ac:dyDescent="0.25">
      <c r="A21" s="27" t="s">
        <v>41</v>
      </c>
      <c r="B21" s="64" t="s">
        <v>42</v>
      </c>
      <c r="C21" s="64"/>
      <c r="D21" s="64"/>
      <c r="E21" s="64"/>
      <c r="F21" s="64"/>
    </row>
    <row r="22" spans="1:6" ht="21.75" customHeight="1" x14ac:dyDescent="0.25">
      <c r="A22" s="28" t="s">
        <v>43</v>
      </c>
      <c r="B22" s="64" t="s">
        <v>44</v>
      </c>
      <c r="C22" s="64"/>
      <c r="D22" s="64"/>
      <c r="E22" s="64"/>
      <c r="F22" s="64"/>
    </row>
  </sheetData>
  <mergeCells count="9">
    <mergeCell ref="B19:F19"/>
    <mergeCell ref="B20:F20"/>
    <mergeCell ref="B21:F21"/>
    <mergeCell ref="B22:F22"/>
    <mergeCell ref="A1:H1"/>
    <mergeCell ref="B2:C2"/>
    <mergeCell ref="D2:F2"/>
    <mergeCell ref="A17:F17"/>
    <mergeCell ref="B18:F18"/>
  </mergeCells>
  <dataValidations count="2">
    <dataValidation type="whole" showInputMessage="1" showErrorMessage="1" errorTitle="❌ خطأ في عدد الساعات" error="يجب إدخال رقم صحيح بين 1 و 24" promptTitle="⏱ ساعات العمل اليومية" prompt="أدخل عدد ساعات العمل (1-24)" sqref="G2" xr:uid="{00000000-0002-0000-0100-000000000000}">
      <formula1>1</formula1>
      <formula2>24</formula2>
    </dataValidation>
    <dataValidation type="decimal" operator="greaterThan" showInputMessage="1" showErrorMessage="1" errorTitle="❌ راتب غير صحيح" error="أدخل رقماً موجباً يمثل الراتب الشهري" promptTitle="الراتب الشهري" prompt="أدخل الراتب الشهري بالأرقام" sqref="C5:C14" xr:uid="{00000000-0002-0000-0100-000001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31"/>
  <sheetViews>
    <sheetView rightToLeft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ColWidth="8.7109375" defaultRowHeight="15" x14ac:dyDescent="0.25"/>
  <cols>
    <col min="1" max="1" width="26" customWidth="1"/>
    <col min="2" max="32" width="10" customWidth="1"/>
    <col min="33" max="39" width="15" customWidth="1"/>
  </cols>
  <sheetData>
    <row r="1" spans="1:39" ht="36" customHeight="1" x14ac:dyDescent="0.25">
      <c r="A1" s="52" t="s">
        <v>45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</row>
    <row r="2" spans="1:39" ht="18" customHeight="1" x14ac:dyDescent="0.25">
      <c r="A2" s="53" t="s">
        <v>46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</row>
    <row r="3" spans="1:39" ht="6" customHeight="1" x14ac:dyDescent="0.25"/>
    <row r="4" spans="1:39" ht="30" customHeight="1" x14ac:dyDescent="0.25">
      <c r="A4" s="54" t="s">
        <v>3</v>
      </c>
      <c r="B4" s="29" t="s">
        <v>47</v>
      </c>
      <c r="C4" s="30" t="s">
        <v>48</v>
      </c>
      <c r="D4" s="29" t="s">
        <v>49</v>
      </c>
      <c r="E4" s="29" t="s">
        <v>50</v>
      </c>
      <c r="F4" s="29" t="s">
        <v>51</v>
      </c>
      <c r="G4" s="29" t="s">
        <v>52</v>
      </c>
      <c r="H4" s="29" t="s">
        <v>53</v>
      </c>
      <c r="I4" s="29" t="s">
        <v>47</v>
      </c>
      <c r="J4" s="30" t="s">
        <v>48</v>
      </c>
      <c r="K4" s="29" t="s">
        <v>49</v>
      </c>
      <c r="L4" s="29" t="s">
        <v>50</v>
      </c>
      <c r="M4" s="29" t="s">
        <v>51</v>
      </c>
      <c r="N4" s="29" t="s">
        <v>52</v>
      </c>
      <c r="O4" s="29" t="s">
        <v>53</v>
      </c>
      <c r="P4" s="29" t="s">
        <v>47</v>
      </c>
      <c r="Q4" s="30" t="s">
        <v>48</v>
      </c>
      <c r="R4" s="29" t="s">
        <v>49</v>
      </c>
      <c r="S4" s="29" t="s">
        <v>50</v>
      </c>
      <c r="T4" s="29" t="s">
        <v>51</v>
      </c>
      <c r="U4" s="29" t="s">
        <v>52</v>
      </c>
      <c r="V4" s="29" t="s">
        <v>53</v>
      </c>
      <c r="W4" s="29" t="s">
        <v>47</v>
      </c>
      <c r="X4" s="30" t="s">
        <v>48</v>
      </c>
      <c r="Y4" s="29" t="s">
        <v>49</v>
      </c>
      <c r="Z4" s="29" t="s">
        <v>50</v>
      </c>
      <c r="AA4" s="29" t="s">
        <v>51</v>
      </c>
      <c r="AB4" s="29" t="s">
        <v>52</v>
      </c>
      <c r="AC4" s="29" t="s">
        <v>53</v>
      </c>
      <c r="AD4" s="29" t="s">
        <v>47</v>
      </c>
      <c r="AE4" s="30" t="s">
        <v>48</v>
      </c>
      <c r="AF4" s="29" t="s">
        <v>49</v>
      </c>
      <c r="AG4" s="55" t="s">
        <v>54</v>
      </c>
      <c r="AH4" s="56" t="s">
        <v>55</v>
      </c>
      <c r="AI4" s="57" t="s">
        <v>56</v>
      </c>
      <c r="AJ4" s="58" t="s">
        <v>57</v>
      </c>
      <c r="AK4" s="59" t="s">
        <v>58</v>
      </c>
      <c r="AL4" s="60" t="s">
        <v>59</v>
      </c>
      <c r="AM4" s="59" t="s">
        <v>60</v>
      </c>
    </row>
    <row r="5" spans="1:39" ht="19.5" customHeight="1" x14ac:dyDescent="0.25">
      <c r="A5" s="54"/>
      <c r="B5" s="31">
        <v>1</v>
      </c>
      <c r="C5" s="32">
        <v>2</v>
      </c>
      <c r="D5" s="31">
        <v>3</v>
      </c>
      <c r="E5" s="31">
        <v>4</v>
      </c>
      <c r="F5" s="31">
        <v>5</v>
      </c>
      <c r="G5" s="31">
        <v>6</v>
      </c>
      <c r="H5" s="31">
        <v>7</v>
      </c>
      <c r="I5" s="31">
        <v>8</v>
      </c>
      <c r="J5" s="32">
        <v>9</v>
      </c>
      <c r="K5" s="31">
        <v>10</v>
      </c>
      <c r="L5" s="31">
        <v>11</v>
      </c>
      <c r="M5" s="31">
        <v>12</v>
      </c>
      <c r="N5" s="31">
        <v>13</v>
      </c>
      <c r="O5" s="31">
        <v>14</v>
      </c>
      <c r="P5" s="31">
        <v>15</v>
      </c>
      <c r="Q5" s="32">
        <v>16</v>
      </c>
      <c r="R5" s="31">
        <v>17</v>
      </c>
      <c r="S5" s="31">
        <v>18</v>
      </c>
      <c r="T5" s="31">
        <v>19</v>
      </c>
      <c r="U5" s="31">
        <v>20</v>
      </c>
      <c r="V5" s="31">
        <v>21</v>
      </c>
      <c r="W5" s="31">
        <v>22</v>
      </c>
      <c r="X5" s="32">
        <v>23</v>
      </c>
      <c r="Y5" s="31">
        <v>24</v>
      </c>
      <c r="Z5" s="31">
        <v>25</v>
      </c>
      <c r="AA5" s="31">
        <v>26</v>
      </c>
      <c r="AB5" s="31">
        <v>27</v>
      </c>
      <c r="AC5" s="31">
        <v>28</v>
      </c>
      <c r="AD5" s="31">
        <v>29</v>
      </c>
      <c r="AE5" s="32">
        <v>30</v>
      </c>
      <c r="AF5" s="31">
        <v>31</v>
      </c>
      <c r="AG5" s="55"/>
      <c r="AH5" s="55"/>
      <c r="AI5" s="55"/>
      <c r="AJ5" s="55"/>
      <c r="AK5" s="55"/>
      <c r="AL5" s="55"/>
      <c r="AM5" s="55"/>
    </row>
    <row r="6" spans="1:39" ht="4.5" customHeight="1" x14ac:dyDescent="0.25"/>
    <row r="7" spans="1:39" ht="25.5" customHeight="1" x14ac:dyDescent="0.25">
      <c r="A7" s="3" t="str">
        <f>'بيانات الموظفين'!B5</f>
        <v xml:space="preserve">أبو بكر </v>
      </c>
      <c r="B7" s="33"/>
      <c r="C7" s="34"/>
      <c r="D7" s="33"/>
      <c r="E7" s="33"/>
      <c r="F7" s="33"/>
      <c r="G7" s="33"/>
      <c r="H7" s="33"/>
      <c r="I7" s="33"/>
      <c r="J7" s="34"/>
      <c r="K7" s="33"/>
      <c r="L7" s="33"/>
      <c r="M7" s="33"/>
      <c r="N7" s="33"/>
      <c r="O7" s="33"/>
      <c r="P7" s="33"/>
      <c r="Q7" s="34"/>
      <c r="R7" s="33"/>
      <c r="S7" s="33"/>
      <c r="T7" s="33"/>
      <c r="U7" s="33"/>
      <c r="V7" s="33"/>
      <c r="W7" s="33"/>
      <c r="X7" s="34"/>
      <c r="Y7" s="33"/>
      <c r="Z7" s="33"/>
      <c r="AA7" s="33"/>
      <c r="AB7" s="33"/>
      <c r="AC7" s="33"/>
      <c r="AD7" s="33"/>
      <c r="AE7" s="34"/>
      <c r="AF7" s="33"/>
      <c r="AG7" s="35">
        <f t="shared" ref="AG7:AG16" si="0">COUNTIF(B7:AF7,"غ")</f>
        <v>0</v>
      </c>
      <c r="AH7" s="36">
        <f t="shared" ref="AH7:AH16" si="1">COUNTIF(B7:AF7,"نصف")</f>
        <v>0</v>
      </c>
      <c r="AI7" s="37">
        <f t="shared" ref="AI7:AI16" si="2">SUMIF(B7:AF7,"&gt;"&amp;0)</f>
        <v>0</v>
      </c>
      <c r="AJ7" s="38" t="str">
        <f>IF(OR('بيانات الموظفين'!C5="",NOT(ISNUMBER('بيانات الموظفين'!G2)),AI7=0),"-",ROUND(AI7*(('بيانات الموظفين'!C5/31)/'بيانات الموظفين'!G2),2))</f>
        <v>-</v>
      </c>
      <c r="AK7" s="39">
        <f>IF('بيانات الموظفين'!C5="","-",31-AG7-AH7*0.5)</f>
        <v>31</v>
      </c>
      <c r="AL7" s="6">
        <f>IF('بيانات الموظفين'!C5="","-",ROUND(('بيانات الموظفين'!C5/31)*AG7+(('بيانات الموظفين'!C5/31)/2)*AH7,2))</f>
        <v>0</v>
      </c>
      <c r="AM7" s="40">
        <f>IF('بيانات الموظفين'!C5="","-",ROUND('بيانات الموظفين'!C5+ROUND('بيانات الموظفين'!C5/30,2)+IF(ISNUMBER(AJ7),AJ7,0)-IF(ISNUMBER(AL7),AL7,0),2))</f>
        <v>7233333.3300000001</v>
      </c>
    </row>
    <row r="8" spans="1:39" ht="25.5" customHeight="1" x14ac:dyDescent="0.25">
      <c r="A8" s="3" t="str">
        <f>'بيانات الموظفين'!B6</f>
        <v>هيثم صمادي</v>
      </c>
      <c r="B8" s="41"/>
      <c r="C8" s="34"/>
      <c r="D8" s="41"/>
      <c r="E8" s="41"/>
      <c r="F8" s="41"/>
      <c r="G8" s="41"/>
      <c r="H8" s="41"/>
      <c r="I8" s="41"/>
      <c r="J8" s="34"/>
      <c r="K8" s="41"/>
      <c r="L8" s="41"/>
      <c r="M8" s="41"/>
      <c r="N8" s="41"/>
      <c r="O8" s="41"/>
      <c r="P8" s="41"/>
      <c r="Q8" s="34"/>
      <c r="R8" s="41"/>
      <c r="S8" s="41"/>
      <c r="T8" s="41"/>
      <c r="U8" s="41"/>
      <c r="V8" s="41"/>
      <c r="W8" s="41"/>
      <c r="X8" s="34"/>
      <c r="Y8" s="41"/>
      <c r="Z8" s="41"/>
      <c r="AA8" s="41"/>
      <c r="AB8" s="41"/>
      <c r="AC8" s="41"/>
      <c r="AD8" s="41"/>
      <c r="AE8" s="34"/>
      <c r="AF8" s="41"/>
      <c r="AG8" s="35">
        <f t="shared" si="0"/>
        <v>0</v>
      </c>
      <c r="AH8" s="36">
        <f t="shared" si="1"/>
        <v>0</v>
      </c>
      <c r="AI8" s="37">
        <f t="shared" si="2"/>
        <v>0</v>
      </c>
      <c r="AJ8" s="38" t="str">
        <f>IF(OR('بيانات الموظفين'!C6="",NOT(ISNUMBER('بيانات الموظفين'!G2)),AI8=0),"-",ROUND(AI8*(('بيانات الموظفين'!C6/31)/'بيانات الموظفين'!G2),2))</f>
        <v>-</v>
      </c>
      <c r="AK8" s="39">
        <f>IF('بيانات الموظفين'!C6="","-",31-AG8-AH8*0.5)</f>
        <v>31</v>
      </c>
      <c r="AL8" s="6">
        <f>IF('بيانات الموظفين'!C6="","-",ROUND(('بيانات الموظفين'!C6/31)*AG8+(('بيانات الموظفين'!C6/31)/2)*AH8,2))</f>
        <v>0</v>
      </c>
      <c r="AM8" s="40">
        <f>IF('بيانات الموظفين'!C6="","-",ROUND('بيانات الموظفين'!C6+ROUND('بيانات الموظفين'!C6/30,2)+IF(ISNUMBER(AJ8),AJ8,0)-IF(ISNUMBER(AL8),AL8,0),2))</f>
        <v>3100000</v>
      </c>
    </row>
    <row r="9" spans="1:39" ht="25.5" customHeight="1" x14ac:dyDescent="0.25">
      <c r="A9" s="3" t="str">
        <f>'بيانات الموظفين'!B7</f>
        <v>حسام كبريتة</v>
      </c>
      <c r="B9" s="33"/>
      <c r="C9" s="34"/>
      <c r="D9" s="33"/>
      <c r="E9" s="33"/>
      <c r="F9" s="33"/>
      <c r="G9" s="33"/>
      <c r="H9" s="33"/>
      <c r="I9" s="33"/>
      <c r="J9" s="34"/>
      <c r="K9" s="33"/>
      <c r="L9" s="33"/>
      <c r="M9" s="33"/>
      <c r="N9" s="33"/>
      <c r="O9" s="33"/>
      <c r="P9" s="33"/>
      <c r="Q9" s="34"/>
      <c r="R9" s="33"/>
      <c r="S9" s="33"/>
      <c r="T9" s="33"/>
      <c r="U9" s="33"/>
      <c r="V9" s="33"/>
      <c r="W9" s="33"/>
      <c r="X9" s="34"/>
      <c r="Y9" s="33"/>
      <c r="Z9" s="33"/>
      <c r="AA9" s="33"/>
      <c r="AB9" s="33"/>
      <c r="AC9" s="33"/>
      <c r="AD9" s="33"/>
      <c r="AE9" s="34"/>
      <c r="AF9" s="33"/>
      <c r="AG9" s="35">
        <f t="shared" si="0"/>
        <v>0</v>
      </c>
      <c r="AH9" s="36">
        <f t="shared" si="1"/>
        <v>0</v>
      </c>
      <c r="AI9" s="37">
        <f t="shared" si="2"/>
        <v>0</v>
      </c>
      <c r="AJ9" s="38" t="str">
        <f>IF(OR('بيانات الموظفين'!C7="",NOT(ISNUMBER('بيانات الموظفين'!G2)),AI9=0),"-",ROUND(AI9*(('بيانات الموظفين'!C7/31)/'بيانات الموظفين'!G2),2))</f>
        <v>-</v>
      </c>
      <c r="AK9" s="39">
        <f>IF('بيانات الموظفين'!C7="","-",31-AG9-AH9*0.5)</f>
        <v>31</v>
      </c>
      <c r="AL9" s="6">
        <f>IF('بيانات الموظفين'!C7="","-",ROUND(('بيانات الموظفين'!C7/31)*AG9+(('بيانات الموظفين'!C7/31)/2)*AH9,2))</f>
        <v>0</v>
      </c>
      <c r="AM9" s="40">
        <f>IF('بيانات الموظفين'!C7="","-",ROUND('بيانات الموظفين'!C7+ROUND('بيانات الموظفين'!C7/30,2)+IF(ISNUMBER(AJ9),AJ9,0)-IF(ISNUMBER(AL9),AL9,0),2))</f>
        <v>2583333.33</v>
      </c>
    </row>
    <row r="10" spans="1:39" ht="25.5" customHeight="1" x14ac:dyDescent="0.25">
      <c r="A10" s="3" t="str">
        <f>'بيانات الموظفين'!B8</f>
        <v>انس المنسي</v>
      </c>
      <c r="B10" s="41"/>
      <c r="C10" s="34"/>
      <c r="D10" s="41"/>
      <c r="E10" s="41"/>
      <c r="F10" s="41"/>
      <c r="G10" s="41"/>
      <c r="H10" s="41"/>
      <c r="I10" s="41"/>
      <c r="J10" s="34"/>
      <c r="K10" s="41"/>
      <c r="L10" s="41"/>
      <c r="M10" s="41"/>
      <c r="N10" s="41"/>
      <c r="O10" s="41"/>
      <c r="P10" s="41"/>
      <c r="Q10" s="34"/>
      <c r="R10" s="41"/>
      <c r="S10" s="41"/>
      <c r="T10" s="41"/>
      <c r="U10" s="41"/>
      <c r="V10" s="41"/>
      <c r="W10" s="41"/>
      <c r="X10" s="34"/>
      <c r="Y10" s="41"/>
      <c r="Z10" s="41"/>
      <c r="AA10" s="41"/>
      <c r="AB10" s="41"/>
      <c r="AC10" s="41"/>
      <c r="AD10" s="41"/>
      <c r="AE10" s="34"/>
      <c r="AF10" s="41"/>
      <c r="AG10" s="35">
        <f t="shared" si="0"/>
        <v>0</v>
      </c>
      <c r="AH10" s="36">
        <f t="shared" si="1"/>
        <v>0</v>
      </c>
      <c r="AI10" s="37">
        <f t="shared" si="2"/>
        <v>0</v>
      </c>
      <c r="AJ10" s="38" t="str">
        <f>IF(OR('بيانات الموظفين'!C8="",NOT(ISNUMBER('بيانات الموظفين'!G2)),AI10=0),"-",ROUND(AI10*(('بيانات الموظفين'!C8/31)/'بيانات الموظفين'!G2),2))</f>
        <v>-</v>
      </c>
      <c r="AK10" s="39">
        <f>IF('بيانات الموظفين'!C8="","-",31-AG10-AH10*0.5)</f>
        <v>31</v>
      </c>
      <c r="AL10" s="6">
        <f>IF('بيانات الموظفين'!C8="","-",ROUND(('بيانات الموظفين'!C8/31)*AG10+(('بيانات الموظفين'!C8/31)/2)*AH10,2))</f>
        <v>0</v>
      </c>
      <c r="AM10" s="40">
        <f>IF('بيانات الموظفين'!C8="","-",ROUND('بيانات الموظفين'!C8+ROUND('بيانات الموظفين'!C8/30,2)+IF(ISNUMBER(AJ10),AJ10,0)-IF(ISNUMBER(AL10),AL10,0),2))</f>
        <v>826666.67</v>
      </c>
    </row>
    <row r="11" spans="1:39" ht="25.5" customHeight="1" x14ac:dyDescent="0.25">
      <c r="A11" s="3" t="str">
        <f>'بيانات الموظفين'!B9</f>
        <v>عمار مجيد</v>
      </c>
      <c r="B11" s="33"/>
      <c r="C11" s="34"/>
      <c r="D11" s="33"/>
      <c r="E11" s="33"/>
      <c r="F11" s="33"/>
      <c r="G11" s="33"/>
      <c r="H11" s="33"/>
      <c r="I11" s="33"/>
      <c r="J11" s="34"/>
      <c r="K11" s="33"/>
      <c r="L11" s="33"/>
      <c r="M11" s="33"/>
      <c r="N11" s="33"/>
      <c r="O11" s="33"/>
      <c r="P11" s="33"/>
      <c r="Q11" s="34"/>
      <c r="R11" s="33"/>
      <c r="S11" s="33"/>
      <c r="T11" s="33"/>
      <c r="U11" s="33"/>
      <c r="V11" s="33"/>
      <c r="W11" s="33"/>
      <c r="X11" s="34"/>
      <c r="Y11" s="33"/>
      <c r="Z11" s="33"/>
      <c r="AA11" s="33"/>
      <c r="AB11" s="33"/>
      <c r="AC11" s="33"/>
      <c r="AD11" s="33"/>
      <c r="AE11" s="34"/>
      <c r="AF11" s="33"/>
      <c r="AG11" s="35">
        <f t="shared" si="0"/>
        <v>0</v>
      </c>
      <c r="AH11" s="36">
        <f t="shared" si="1"/>
        <v>0</v>
      </c>
      <c r="AI11" s="37">
        <f t="shared" si="2"/>
        <v>0</v>
      </c>
      <c r="AJ11" s="38" t="str">
        <f>IF(OR('بيانات الموظفين'!C9="",NOT(ISNUMBER('بيانات الموظفين'!G2)),AI11=0),"-",ROUND(AI11*(('بيانات الموظفين'!C9/31)/'بيانات الموظفين'!G2),2))</f>
        <v>-</v>
      </c>
      <c r="AK11" s="39">
        <f>IF('بيانات الموظفين'!C9="","-",31-AG11-AH11*0.5)</f>
        <v>31</v>
      </c>
      <c r="AL11" s="6">
        <f>IF('بيانات الموظفين'!C9="","-",ROUND(('بيانات الموظفين'!C9/31)*AG11+(('بيانات الموظفين'!C9/31)/2)*AH11,2))</f>
        <v>0</v>
      </c>
      <c r="AM11" s="40">
        <f>IF('بيانات الموظفين'!C9="","-",ROUND('بيانات الموظفين'!C9+ROUND('بيانات الموظفين'!C9/30,2)+IF(ISNUMBER(AJ11),AJ11,0)-IF(ISNUMBER(AL11),AL11,0),2))</f>
        <v>2066666.67</v>
      </c>
    </row>
    <row r="12" spans="1:39" ht="25.5" customHeight="1" x14ac:dyDescent="0.25">
      <c r="A12" s="3">
        <f>'بيانات الموظفين'!B10</f>
        <v>0</v>
      </c>
      <c r="B12" s="41"/>
      <c r="C12" s="34"/>
      <c r="D12" s="41"/>
      <c r="E12" s="41"/>
      <c r="F12" s="41"/>
      <c r="G12" s="41"/>
      <c r="H12" s="41"/>
      <c r="I12" s="41"/>
      <c r="J12" s="34"/>
      <c r="K12" s="41"/>
      <c r="L12" s="41"/>
      <c r="M12" s="41"/>
      <c r="N12" s="41"/>
      <c r="O12" s="41"/>
      <c r="P12" s="41"/>
      <c r="Q12" s="34"/>
      <c r="R12" s="41"/>
      <c r="S12" s="41"/>
      <c r="T12" s="41"/>
      <c r="U12" s="41"/>
      <c r="V12" s="41"/>
      <c r="W12" s="41"/>
      <c r="X12" s="34"/>
      <c r="Y12" s="41"/>
      <c r="Z12" s="41"/>
      <c r="AA12" s="41"/>
      <c r="AB12" s="41"/>
      <c r="AC12" s="41"/>
      <c r="AD12" s="41"/>
      <c r="AE12" s="34"/>
      <c r="AF12" s="41"/>
      <c r="AG12" s="35">
        <f t="shared" si="0"/>
        <v>0</v>
      </c>
      <c r="AH12" s="36">
        <f t="shared" si="1"/>
        <v>0</v>
      </c>
      <c r="AI12" s="37">
        <f t="shared" si="2"/>
        <v>0</v>
      </c>
      <c r="AJ12" s="38" t="str">
        <f>IF(OR('بيانات الموظفين'!C10="",NOT(ISNUMBER('بيانات الموظفين'!G2)),AI12=0),"-",ROUND(AI12*(('بيانات الموظفين'!C10/31)/'بيانات الموظفين'!G2),2))</f>
        <v>-</v>
      </c>
      <c r="AK12" s="39" t="str">
        <f>IF('بيانات الموظفين'!C10="","-",31-AG12-AH12*0.5)</f>
        <v>-</v>
      </c>
      <c r="AL12" s="6" t="str">
        <f>IF('بيانات الموظفين'!C10="","-",ROUND(('بيانات الموظفين'!C10/31)*AG12+(('بيانات الموظفين'!C10/31)/2)*AH12,2))</f>
        <v>-</v>
      </c>
      <c r="AM12" s="40" t="str">
        <f>IF('بيانات الموظفين'!C10="","-",ROUND('بيانات الموظفين'!C10+ROUND('بيانات الموظفين'!C10/30,2)+IF(ISNUMBER(AJ12),AJ12,0)-IF(ISNUMBER(AL12),AL12,0),2))</f>
        <v>-</v>
      </c>
    </row>
    <row r="13" spans="1:39" ht="25.5" customHeight="1" x14ac:dyDescent="0.25">
      <c r="A13" s="3">
        <f>'بيانات الموظفين'!B11</f>
        <v>0</v>
      </c>
      <c r="B13" s="33"/>
      <c r="C13" s="34"/>
      <c r="D13" s="33"/>
      <c r="E13" s="33"/>
      <c r="F13" s="33"/>
      <c r="G13" s="33"/>
      <c r="H13" s="33"/>
      <c r="I13" s="33"/>
      <c r="J13" s="34"/>
      <c r="K13" s="33"/>
      <c r="L13" s="33"/>
      <c r="M13" s="33"/>
      <c r="N13" s="33"/>
      <c r="O13" s="33"/>
      <c r="P13" s="33"/>
      <c r="Q13" s="34"/>
      <c r="R13" s="33"/>
      <c r="S13" s="33"/>
      <c r="T13" s="33"/>
      <c r="U13" s="33"/>
      <c r="V13" s="33"/>
      <c r="W13" s="33"/>
      <c r="X13" s="34"/>
      <c r="Y13" s="33"/>
      <c r="Z13" s="33"/>
      <c r="AA13" s="33"/>
      <c r="AB13" s="33"/>
      <c r="AC13" s="33"/>
      <c r="AD13" s="33"/>
      <c r="AE13" s="34"/>
      <c r="AF13" s="33"/>
      <c r="AG13" s="35">
        <f t="shared" si="0"/>
        <v>0</v>
      </c>
      <c r="AH13" s="36">
        <f t="shared" si="1"/>
        <v>0</v>
      </c>
      <c r="AI13" s="37">
        <f t="shared" si="2"/>
        <v>0</v>
      </c>
      <c r="AJ13" s="38" t="str">
        <f>IF(OR('بيانات الموظفين'!C11="",NOT(ISNUMBER('بيانات الموظفين'!G2)),AI13=0),"-",ROUND(AI13*(('بيانات الموظفين'!C11/31)/'بيانات الموظفين'!G2),2))</f>
        <v>-</v>
      </c>
      <c r="AK13" s="39" t="str">
        <f>IF('بيانات الموظفين'!C11="","-",31-AG13-AH13*0.5)</f>
        <v>-</v>
      </c>
      <c r="AL13" s="6" t="str">
        <f>IF('بيانات الموظفين'!C11="","-",ROUND(('بيانات الموظفين'!C11/31)*AG13+(('بيانات الموظفين'!C11/31)/2)*AH13,2))</f>
        <v>-</v>
      </c>
      <c r="AM13" s="40" t="str">
        <f>IF('بيانات الموظفين'!C11="","-",ROUND('بيانات الموظفين'!C11+ROUND('بيانات الموظفين'!C11/30,2)+IF(ISNUMBER(AJ13),AJ13,0)-IF(ISNUMBER(AL13),AL13,0),2))</f>
        <v>-</v>
      </c>
    </row>
    <row r="14" spans="1:39" ht="25.5" customHeight="1" x14ac:dyDescent="0.25">
      <c r="A14" s="3">
        <f>'بيانات الموظفين'!B12</f>
        <v>0</v>
      </c>
      <c r="B14" s="41"/>
      <c r="C14" s="34"/>
      <c r="D14" s="41"/>
      <c r="E14" s="41"/>
      <c r="F14" s="41"/>
      <c r="G14" s="41"/>
      <c r="H14" s="41"/>
      <c r="I14" s="41"/>
      <c r="J14" s="34"/>
      <c r="K14" s="41"/>
      <c r="L14" s="41"/>
      <c r="M14" s="41"/>
      <c r="N14" s="41"/>
      <c r="O14" s="41"/>
      <c r="P14" s="41"/>
      <c r="Q14" s="34"/>
      <c r="R14" s="41"/>
      <c r="S14" s="41"/>
      <c r="T14" s="41"/>
      <c r="U14" s="41"/>
      <c r="V14" s="41"/>
      <c r="W14" s="41"/>
      <c r="X14" s="34"/>
      <c r="Y14" s="41"/>
      <c r="Z14" s="41"/>
      <c r="AA14" s="41"/>
      <c r="AB14" s="41"/>
      <c r="AC14" s="41"/>
      <c r="AD14" s="41"/>
      <c r="AE14" s="34"/>
      <c r="AF14" s="41"/>
      <c r="AG14" s="35">
        <f t="shared" si="0"/>
        <v>0</v>
      </c>
      <c r="AH14" s="36">
        <f t="shared" si="1"/>
        <v>0</v>
      </c>
      <c r="AI14" s="37">
        <f t="shared" si="2"/>
        <v>0</v>
      </c>
      <c r="AJ14" s="38" t="str">
        <f>IF(OR('بيانات الموظفين'!C12="",NOT(ISNUMBER('بيانات الموظفين'!G2)),AI14=0),"-",ROUND(AI14*(('بيانات الموظفين'!C12/31)/'بيانات الموظفين'!G2),2))</f>
        <v>-</v>
      </c>
      <c r="AK14" s="39" t="str">
        <f>IF('بيانات الموظفين'!C12="","-",31-AG14-AH14*0.5)</f>
        <v>-</v>
      </c>
      <c r="AL14" s="6" t="str">
        <f>IF('بيانات الموظفين'!C12="","-",ROUND(('بيانات الموظفين'!C12/31)*AG14+(('بيانات الموظفين'!C12/31)/2)*AH14,2))</f>
        <v>-</v>
      </c>
      <c r="AM14" s="40" t="str">
        <f>IF('بيانات الموظفين'!C12="","-",ROUND('بيانات الموظفين'!C12+ROUND('بيانات الموظفين'!C12/30,2)+IF(ISNUMBER(AJ14),AJ14,0)-IF(ISNUMBER(AL14),AL14,0),2))</f>
        <v>-</v>
      </c>
    </row>
    <row r="15" spans="1:39" ht="25.5" customHeight="1" x14ac:dyDescent="0.25">
      <c r="A15" s="3">
        <f>'بيانات الموظفين'!B13</f>
        <v>0</v>
      </c>
      <c r="B15" s="33"/>
      <c r="C15" s="34"/>
      <c r="D15" s="33"/>
      <c r="E15" s="33"/>
      <c r="F15" s="33"/>
      <c r="G15" s="33"/>
      <c r="H15" s="33"/>
      <c r="I15" s="33"/>
      <c r="J15" s="34"/>
      <c r="K15" s="33"/>
      <c r="L15" s="33"/>
      <c r="M15" s="33"/>
      <c r="N15" s="33"/>
      <c r="O15" s="33"/>
      <c r="P15" s="33"/>
      <c r="Q15" s="34"/>
      <c r="R15" s="33"/>
      <c r="S15" s="33"/>
      <c r="T15" s="33"/>
      <c r="U15" s="33"/>
      <c r="V15" s="33"/>
      <c r="W15" s="33"/>
      <c r="X15" s="34"/>
      <c r="Y15" s="33"/>
      <c r="Z15" s="33"/>
      <c r="AA15" s="33"/>
      <c r="AB15" s="33"/>
      <c r="AC15" s="33"/>
      <c r="AD15" s="33"/>
      <c r="AE15" s="34"/>
      <c r="AF15" s="33"/>
      <c r="AG15" s="35">
        <f t="shared" si="0"/>
        <v>0</v>
      </c>
      <c r="AH15" s="36">
        <f t="shared" si="1"/>
        <v>0</v>
      </c>
      <c r="AI15" s="37">
        <f t="shared" si="2"/>
        <v>0</v>
      </c>
      <c r="AJ15" s="38" t="str">
        <f>IF(OR('بيانات الموظفين'!C13="",NOT(ISNUMBER('بيانات الموظفين'!G2)),AI15=0),"-",ROUND(AI15*(('بيانات الموظفين'!C13/31)/'بيانات الموظفين'!G2),2))</f>
        <v>-</v>
      </c>
      <c r="AK15" s="39" t="str">
        <f>IF('بيانات الموظفين'!C13="","-",31-AG15-AH15*0.5)</f>
        <v>-</v>
      </c>
      <c r="AL15" s="6" t="str">
        <f>IF('بيانات الموظفين'!C13="","-",ROUND(('بيانات الموظفين'!C13/31)*AG15+(('بيانات الموظفين'!C13/31)/2)*AH15,2))</f>
        <v>-</v>
      </c>
      <c r="AM15" s="40" t="str">
        <f>IF('بيانات الموظفين'!C13="","-",ROUND('بيانات الموظفين'!C13+ROUND('بيانات الموظفين'!C13/30,2)+IF(ISNUMBER(AJ15),AJ15,0)-IF(ISNUMBER(AL15),AL15,0),2))</f>
        <v>-</v>
      </c>
    </row>
    <row r="16" spans="1:39" ht="25.5" customHeight="1" x14ac:dyDescent="0.25">
      <c r="A16" s="3">
        <f>'بيانات الموظفين'!B14</f>
        <v>0</v>
      </c>
      <c r="B16" s="41"/>
      <c r="C16" s="34"/>
      <c r="D16" s="41"/>
      <c r="E16" s="41"/>
      <c r="F16" s="41"/>
      <c r="G16" s="41"/>
      <c r="H16" s="41"/>
      <c r="I16" s="41"/>
      <c r="J16" s="34"/>
      <c r="K16" s="41"/>
      <c r="L16" s="41"/>
      <c r="M16" s="41"/>
      <c r="N16" s="41"/>
      <c r="O16" s="41"/>
      <c r="P16" s="41"/>
      <c r="Q16" s="34"/>
      <c r="R16" s="41"/>
      <c r="S16" s="41"/>
      <c r="T16" s="41"/>
      <c r="U16" s="41"/>
      <c r="V16" s="41"/>
      <c r="W16" s="41"/>
      <c r="X16" s="34"/>
      <c r="Y16" s="41"/>
      <c r="Z16" s="41"/>
      <c r="AA16" s="41"/>
      <c r="AB16" s="41"/>
      <c r="AC16" s="41"/>
      <c r="AD16" s="41"/>
      <c r="AE16" s="34"/>
      <c r="AF16" s="41"/>
      <c r="AG16" s="35">
        <f t="shared" si="0"/>
        <v>0</v>
      </c>
      <c r="AH16" s="36">
        <f t="shared" si="1"/>
        <v>0</v>
      </c>
      <c r="AI16" s="37">
        <f t="shared" si="2"/>
        <v>0</v>
      </c>
      <c r="AJ16" s="38" t="str">
        <f>IF(OR('بيانات الموظفين'!C14="",NOT(ISNUMBER('بيانات الموظفين'!G2)),AI16=0),"-",ROUND(AI16*(('بيانات الموظفين'!C14/31)/'بيانات الموظفين'!G2),2))</f>
        <v>-</v>
      </c>
      <c r="AK16" s="39" t="str">
        <f>IF('بيانات الموظفين'!C14="","-",31-AG16-AH16*0.5)</f>
        <v>-</v>
      </c>
      <c r="AL16" s="6" t="str">
        <f>IF('بيانات الموظفين'!C14="","-",ROUND(('بيانات الموظفين'!C14/31)*AG16+(('بيانات الموظفين'!C14/31)/2)*AH16,2))</f>
        <v>-</v>
      </c>
      <c r="AM16" s="40" t="str">
        <f>IF('بيانات الموظفين'!C14="","-",ROUND('بيانات الموظفين'!C14+ROUND('بيانات الموظفين'!C14/30,2)+IF(ISNUMBER(AJ16),AJ16,0)-IF(ISNUMBER(AL16),AL16,0),2))</f>
        <v>-</v>
      </c>
    </row>
    <row r="17" spans="1:39" ht="25.5" customHeight="1" x14ac:dyDescent="0.25">
      <c r="A17" s="1" t="s">
        <v>61</v>
      </c>
      <c r="B17" s="42">
        <f t="shared" ref="B17:AF17" si="3">COUNTIF(B7:B16,"غ")+COUNTIF(B7:B16,"نصف")*0.5</f>
        <v>0</v>
      </c>
      <c r="C17" s="42">
        <f t="shared" si="3"/>
        <v>0</v>
      </c>
      <c r="D17" s="42">
        <f t="shared" si="3"/>
        <v>0</v>
      </c>
      <c r="E17" s="42">
        <f t="shared" si="3"/>
        <v>0</v>
      </c>
      <c r="F17" s="42">
        <f t="shared" si="3"/>
        <v>0</v>
      </c>
      <c r="G17" s="42">
        <f t="shared" si="3"/>
        <v>0</v>
      </c>
      <c r="H17" s="42">
        <f t="shared" si="3"/>
        <v>0</v>
      </c>
      <c r="I17" s="42">
        <f t="shared" si="3"/>
        <v>0</v>
      </c>
      <c r="J17" s="42">
        <f t="shared" si="3"/>
        <v>0</v>
      </c>
      <c r="K17" s="42">
        <f t="shared" si="3"/>
        <v>0</v>
      </c>
      <c r="L17" s="42">
        <f t="shared" si="3"/>
        <v>0</v>
      </c>
      <c r="M17" s="42">
        <f t="shared" si="3"/>
        <v>0</v>
      </c>
      <c r="N17" s="42">
        <f t="shared" si="3"/>
        <v>0</v>
      </c>
      <c r="O17" s="42">
        <f t="shared" si="3"/>
        <v>0</v>
      </c>
      <c r="P17" s="42">
        <f t="shared" si="3"/>
        <v>0</v>
      </c>
      <c r="Q17" s="42">
        <f t="shared" si="3"/>
        <v>0</v>
      </c>
      <c r="R17" s="42">
        <f t="shared" si="3"/>
        <v>0</v>
      </c>
      <c r="S17" s="42">
        <f t="shared" si="3"/>
        <v>0</v>
      </c>
      <c r="T17" s="42">
        <f t="shared" si="3"/>
        <v>0</v>
      </c>
      <c r="U17" s="42">
        <f t="shared" si="3"/>
        <v>0</v>
      </c>
      <c r="V17" s="42">
        <f t="shared" si="3"/>
        <v>0</v>
      </c>
      <c r="W17" s="42">
        <f t="shared" si="3"/>
        <v>0</v>
      </c>
      <c r="X17" s="42">
        <f t="shared" si="3"/>
        <v>0</v>
      </c>
      <c r="Y17" s="42">
        <f t="shared" si="3"/>
        <v>0</v>
      </c>
      <c r="Z17" s="42">
        <f t="shared" si="3"/>
        <v>0</v>
      </c>
      <c r="AA17" s="42">
        <f t="shared" si="3"/>
        <v>0</v>
      </c>
      <c r="AB17" s="42">
        <f t="shared" si="3"/>
        <v>0</v>
      </c>
      <c r="AC17" s="42">
        <f t="shared" si="3"/>
        <v>0</v>
      </c>
      <c r="AD17" s="42">
        <f t="shared" si="3"/>
        <v>0</v>
      </c>
      <c r="AE17" s="42">
        <f t="shared" si="3"/>
        <v>0</v>
      </c>
      <c r="AF17" s="42">
        <f t="shared" si="3"/>
        <v>0</v>
      </c>
      <c r="AG17" s="43">
        <f>SUM(AG7:AG16)</f>
        <v>0</v>
      </c>
      <c r="AH17" s="43">
        <f>SUM(AH7:AH16)</f>
        <v>0</v>
      </c>
      <c r="AI17" s="43">
        <f>SUM(AI7:AI16)</f>
        <v>0</v>
      </c>
      <c r="AJ17" s="44">
        <f>SUM(AJ7:AJ16)</f>
        <v>0</v>
      </c>
      <c r="AK17" s="45"/>
      <c r="AL17" s="44">
        <f>SUM(AL7:AL16)</f>
        <v>0</v>
      </c>
      <c r="AM17" s="44">
        <f>SUM(AM7:AM16)</f>
        <v>15810000</v>
      </c>
    </row>
    <row r="18" spans="1:39" ht="9.75" customHeight="1" x14ac:dyDescent="0.25"/>
    <row r="19" spans="1:39" ht="31.5" customHeight="1" x14ac:dyDescent="0.25">
      <c r="A19" s="50" t="s">
        <v>62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</row>
    <row r="20" spans="1:39" ht="27.75" customHeight="1" x14ac:dyDescent="0.25">
      <c r="A20" s="1" t="s">
        <v>2</v>
      </c>
      <c r="B20" s="1" t="s">
        <v>3</v>
      </c>
      <c r="C20" s="1" t="s">
        <v>63</v>
      </c>
      <c r="D20" s="1" t="s">
        <v>64</v>
      </c>
      <c r="E20" s="1" t="s">
        <v>65</v>
      </c>
      <c r="F20" s="1" t="s">
        <v>66</v>
      </c>
      <c r="G20" s="1" t="s">
        <v>67</v>
      </c>
      <c r="H20" s="1" t="s">
        <v>68</v>
      </c>
      <c r="I20" s="1" t="s">
        <v>69</v>
      </c>
    </row>
    <row r="21" spans="1:39" ht="24" customHeight="1" x14ac:dyDescent="0.25">
      <c r="A21" s="2">
        <v>1</v>
      </c>
      <c r="B21" s="3" t="str">
        <f>'بيانات الموظفين'!B5</f>
        <v xml:space="preserve">أبو بكر </v>
      </c>
      <c r="C21" s="4">
        <f>IF('بيانات الموظفين'!C5="","-",'بيانات الموظفين'!C5)</f>
        <v>7000000</v>
      </c>
      <c r="D21" s="46">
        <f t="shared" ref="D21:D30" si="4">AG7</f>
        <v>0</v>
      </c>
      <c r="E21" s="47">
        <f t="shared" ref="E21:E30" si="5">AH7</f>
        <v>0</v>
      </c>
      <c r="F21" s="6">
        <f t="shared" ref="F21:F30" si="6">AL7</f>
        <v>0</v>
      </c>
      <c r="G21" s="48">
        <f t="shared" ref="G21:G30" si="7">AI7</f>
        <v>0</v>
      </c>
      <c r="H21" s="38" t="str">
        <f t="shared" ref="H21:H30" si="8">AJ7</f>
        <v>-</v>
      </c>
      <c r="I21" s="40">
        <f t="shared" ref="I21:I30" si="9">AM7</f>
        <v>7233333.3300000001</v>
      </c>
    </row>
    <row r="22" spans="1:39" ht="24" customHeight="1" x14ac:dyDescent="0.25">
      <c r="A22" s="8">
        <v>2</v>
      </c>
      <c r="B22" s="3" t="str">
        <f>'بيانات الموظفين'!B6</f>
        <v>هيثم صمادي</v>
      </c>
      <c r="C22" s="9">
        <f>IF('بيانات الموظفين'!C6="","-",'بيانات الموظفين'!C6)</f>
        <v>3000000</v>
      </c>
      <c r="D22" s="46">
        <f t="shared" si="4"/>
        <v>0</v>
      </c>
      <c r="E22" s="47">
        <f t="shared" si="5"/>
        <v>0</v>
      </c>
      <c r="F22" s="6">
        <f t="shared" si="6"/>
        <v>0</v>
      </c>
      <c r="G22" s="48">
        <f t="shared" si="7"/>
        <v>0</v>
      </c>
      <c r="H22" s="38" t="str">
        <f t="shared" si="8"/>
        <v>-</v>
      </c>
      <c r="I22" s="40">
        <f t="shared" si="9"/>
        <v>3100000</v>
      </c>
    </row>
    <row r="23" spans="1:39" ht="24" customHeight="1" x14ac:dyDescent="0.25">
      <c r="A23" s="2">
        <v>3</v>
      </c>
      <c r="B23" s="3" t="str">
        <f>'بيانات الموظفين'!B7</f>
        <v>حسام كبريتة</v>
      </c>
      <c r="C23" s="4">
        <f>IF('بيانات الموظفين'!C7="","-",'بيانات الموظفين'!C7)</f>
        <v>2500000</v>
      </c>
      <c r="D23" s="46">
        <f t="shared" si="4"/>
        <v>0</v>
      </c>
      <c r="E23" s="47">
        <f t="shared" si="5"/>
        <v>0</v>
      </c>
      <c r="F23" s="6">
        <f t="shared" si="6"/>
        <v>0</v>
      </c>
      <c r="G23" s="48">
        <f t="shared" si="7"/>
        <v>0</v>
      </c>
      <c r="H23" s="38" t="str">
        <f t="shared" si="8"/>
        <v>-</v>
      </c>
      <c r="I23" s="40">
        <f t="shared" si="9"/>
        <v>2583333.33</v>
      </c>
    </row>
    <row r="24" spans="1:39" ht="24" customHeight="1" x14ac:dyDescent="0.25">
      <c r="A24" s="8">
        <v>4</v>
      </c>
      <c r="B24" s="3" t="str">
        <f>'بيانات الموظفين'!B8</f>
        <v>انس المنسي</v>
      </c>
      <c r="C24" s="9">
        <f>IF('بيانات الموظفين'!C8="","-",'بيانات الموظفين'!C8)</f>
        <v>800000</v>
      </c>
      <c r="D24" s="46">
        <f t="shared" si="4"/>
        <v>0</v>
      </c>
      <c r="E24" s="47">
        <f t="shared" si="5"/>
        <v>0</v>
      </c>
      <c r="F24" s="6">
        <f t="shared" si="6"/>
        <v>0</v>
      </c>
      <c r="G24" s="48">
        <f t="shared" si="7"/>
        <v>0</v>
      </c>
      <c r="H24" s="38" t="str">
        <f t="shared" si="8"/>
        <v>-</v>
      </c>
      <c r="I24" s="40">
        <f t="shared" si="9"/>
        <v>826666.67</v>
      </c>
    </row>
    <row r="25" spans="1:39" ht="24" customHeight="1" x14ac:dyDescent="0.25">
      <c r="A25" s="2">
        <v>5</v>
      </c>
      <c r="B25" s="3" t="str">
        <f>'بيانات الموظفين'!B9</f>
        <v>عمار مجيد</v>
      </c>
      <c r="C25" s="4">
        <f>IF('بيانات الموظفين'!C9="","-",'بيانات الموظفين'!C9)</f>
        <v>2000000</v>
      </c>
      <c r="D25" s="46">
        <f t="shared" si="4"/>
        <v>0</v>
      </c>
      <c r="E25" s="47">
        <f t="shared" si="5"/>
        <v>0</v>
      </c>
      <c r="F25" s="6">
        <f t="shared" si="6"/>
        <v>0</v>
      </c>
      <c r="G25" s="48">
        <f t="shared" si="7"/>
        <v>0</v>
      </c>
      <c r="H25" s="38" t="str">
        <f t="shared" si="8"/>
        <v>-</v>
      </c>
      <c r="I25" s="40">
        <f t="shared" si="9"/>
        <v>2066666.67</v>
      </c>
    </row>
    <row r="26" spans="1:39" ht="24" customHeight="1" x14ac:dyDescent="0.25">
      <c r="A26" s="8">
        <v>6</v>
      </c>
      <c r="B26" s="3">
        <f>'بيانات الموظفين'!B10</f>
        <v>0</v>
      </c>
      <c r="C26" s="9" t="str">
        <f>IF('بيانات الموظفين'!C10="","-",'بيانات الموظفين'!C10)</f>
        <v>-</v>
      </c>
      <c r="D26" s="46">
        <f t="shared" si="4"/>
        <v>0</v>
      </c>
      <c r="E26" s="47">
        <f t="shared" si="5"/>
        <v>0</v>
      </c>
      <c r="F26" s="6" t="str">
        <f t="shared" si="6"/>
        <v>-</v>
      </c>
      <c r="G26" s="48">
        <f t="shared" si="7"/>
        <v>0</v>
      </c>
      <c r="H26" s="38" t="str">
        <f t="shared" si="8"/>
        <v>-</v>
      </c>
      <c r="I26" s="40" t="str">
        <f t="shared" si="9"/>
        <v>-</v>
      </c>
    </row>
    <row r="27" spans="1:39" ht="24" customHeight="1" x14ac:dyDescent="0.25">
      <c r="A27" s="2">
        <v>7</v>
      </c>
      <c r="B27" s="3">
        <f>'بيانات الموظفين'!B11</f>
        <v>0</v>
      </c>
      <c r="C27" s="4" t="str">
        <f>IF('بيانات الموظفين'!C11="","-",'بيانات الموظفين'!C11)</f>
        <v>-</v>
      </c>
      <c r="D27" s="46">
        <f t="shared" si="4"/>
        <v>0</v>
      </c>
      <c r="E27" s="47">
        <f t="shared" si="5"/>
        <v>0</v>
      </c>
      <c r="F27" s="6" t="str">
        <f t="shared" si="6"/>
        <v>-</v>
      </c>
      <c r="G27" s="48">
        <f t="shared" si="7"/>
        <v>0</v>
      </c>
      <c r="H27" s="38" t="str">
        <f t="shared" si="8"/>
        <v>-</v>
      </c>
      <c r="I27" s="40" t="str">
        <f t="shared" si="9"/>
        <v>-</v>
      </c>
    </row>
    <row r="28" spans="1:39" ht="24" customHeight="1" x14ac:dyDescent="0.25">
      <c r="A28" s="8">
        <v>8</v>
      </c>
      <c r="B28" s="3">
        <f>'بيانات الموظفين'!B12</f>
        <v>0</v>
      </c>
      <c r="C28" s="9" t="str">
        <f>IF('بيانات الموظفين'!C12="","-",'بيانات الموظفين'!C12)</f>
        <v>-</v>
      </c>
      <c r="D28" s="46">
        <f t="shared" si="4"/>
        <v>0</v>
      </c>
      <c r="E28" s="47">
        <f t="shared" si="5"/>
        <v>0</v>
      </c>
      <c r="F28" s="6" t="str">
        <f t="shared" si="6"/>
        <v>-</v>
      </c>
      <c r="G28" s="48">
        <f t="shared" si="7"/>
        <v>0</v>
      </c>
      <c r="H28" s="38" t="str">
        <f t="shared" si="8"/>
        <v>-</v>
      </c>
      <c r="I28" s="40" t="str">
        <f t="shared" si="9"/>
        <v>-</v>
      </c>
    </row>
    <row r="29" spans="1:39" ht="24" customHeight="1" x14ac:dyDescent="0.25">
      <c r="A29" s="2">
        <v>9</v>
      </c>
      <c r="B29" s="3">
        <f>'بيانات الموظفين'!B13</f>
        <v>0</v>
      </c>
      <c r="C29" s="4" t="str">
        <f>IF('بيانات الموظفين'!C13="","-",'بيانات الموظفين'!C13)</f>
        <v>-</v>
      </c>
      <c r="D29" s="46">
        <f t="shared" si="4"/>
        <v>0</v>
      </c>
      <c r="E29" s="47">
        <f t="shared" si="5"/>
        <v>0</v>
      </c>
      <c r="F29" s="6" t="str">
        <f t="shared" si="6"/>
        <v>-</v>
      </c>
      <c r="G29" s="48">
        <f t="shared" si="7"/>
        <v>0</v>
      </c>
      <c r="H29" s="38" t="str">
        <f t="shared" si="8"/>
        <v>-</v>
      </c>
      <c r="I29" s="40" t="str">
        <f t="shared" si="9"/>
        <v>-</v>
      </c>
    </row>
    <row r="30" spans="1:39" ht="24" customHeight="1" x14ac:dyDescent="0.25">
      <c r="A30" s="8">
        <v>10</v>
      </c>
      <c r="B30" s="3">
        <f>'بيانات الموظفين'!B14</f>
        <v>0</v>
      </c>
      <c r="C30" s="9" t="str">
        <f>IF('بيانات الموظفين'!C14="","-",'بيانات الموظفين'!C14)</f>
        <v>-</v>
      </c>
      <c r="D30" s="46">
        <f t="shared" si="4"/>
        <v>0</v>
      </c>
      <c r="E30" s="47">
        <f t="shared" si="5"/>
        <v>0</v>
      </c>
      <c r="F30" s="6" t="str">
        <f t="shared" si="6"/>
        <v>-</v>
      </c>
      <c r="G30" s="48">
        <f t="shared" si="7"/>
        <v>0</v>
      </c>
      <c r="H30" s="38" t="str">
        <f t="shared" si="8"/>
        <v>-</v>
      </c>
      <c r="I30" s="40" t="str">
        <f t="shared" si="9"/>
        <v>-</v>
      </c>
    </row>
    <row r="31" spans="1:39" ht="27.75" customHeight="1" x14ac:dyDescent="0.25">
      <c r="A31" s="51" t="s">
        <v>19</v>
      </c>
      <c r="B31" s="51"/>
      <c r="C31" s="11">
        <f t="shared" ref="C31:I31" si="10">SUM(C21:C30)</f>
        <v>15300000</v>
      </c>
      <c r="D31" s="49">
        <f t="shared" si="10"/>
        <v>0</v>
      </c>
      <c r="E31" s="49">
        <f t="shared" si="10"/>
        <v>0</v>
      </c>
      <c r="F31" s="12">
        <f t="shared" si="10"/>
        <v>0</v>
      </c>
      <c r="G31" s="49">
        <f t="shared" si="10"/>
        <v>0</v>
      </c>
      <c r="H31" s="12">
        <f t="shared" si="10"/>
        <v>0</v>
      </c>
      <c r="I31" s="12">
        <f t="shared" si="10"/>
        <v>15810000</v>
      </c>
    </row>
  </sheetData>
  <mergeCells count="12">
    <mergeCell ref="A19:AM19"/>
    <mergeCell ref="A31:B31"/>
    <mergeCell ref="A1:AM1"/>
    <mergeCell ref="A2:AM2"/>
    <mergeCell ref="A4:A5"/>
    <mergeCell ref="AG4:AG5"/>
    <mergeCell ref="AH4:AH5"/>
    <mergeCell ref="AI4:AI5"/>
    <mergeCell ref="AJ4:AJ5"/>
    <mergeCell ref="AK4:AK5"/>
    <mergeCell ref="AL4:AL5"/>
    <mergeCell ref="AM4:AM5"/>
  </mergeCells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J31"/>
  <sheetViews>
    <sheetView rightToLeft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ColWidth="8.7109375" defaultRowHeight="15" x14ac:dyDescent="0.25"/>
  <cols>
    <col min="1" max="1" width="26" customWidth="1"/>
    <col min="2" max="29" width="10" customWidth="1"/>
    <col min="30" max="36" width="15" customWidth="1"/>
  </cols>
  <sheetData>
    <row r="1" spans="1:36" ht="36" customHeight="1" x14ac:dyDescent="0.25">
      <c r="A1" s="52" t="s">
        <v>70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</row>
    <row r="2" spans="1:36" ht="18" customHeight="1" x14ac:dyDescent="0.25">
      <c r="A2" s="53" t="s">
        <v>46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</row>
    <row r="3" spans="1:36" ht="6" customHeight="1" x14ac:dyDescent="0.25"/>
    <row r="4" spans="1:36" ht="30" customHeight="1" x14ac:dyDescent="0.25">
      <c r="A4" s="54" t="s">
        <v>3</v>
      </c>
      <c r="B4" s="29" t="s">
        <v>50</v>
      </c>
      <c r="C4" s="29" t="s">
        <v>51</v>
      </c>
      <c r="D4" s="29" t="s">
        <v>52</v>
      </c>
      <c r="E4" s="29" t="s">
        <v>53</v>
      </c>
      <c r="F4" s="29" t="s">
        <v>47</v>
      </c>
      <c r="G4" s="30" t="s">
        <v>48</v>
      </c>
      <c r="H4" s="29" t="s">
        <v>49</v>
      </c>
      <c r="I4" s="29" t="s">
        <v>50</v>
      </c>
      <c r="J4" s="29" t="s">
        <v>51</v>
      </c>
      <c r="K4" s="29" t="s">
        <v>52</v>
      </c>
      <c r="L4" s="29" t="s">
        <v>53</v>
      </c>
      <c r="M4" s="29" t="s">
        <v>47</v>
      </c>
      <c r="N4" s="30" t="s">
        <v>48</v>
      </c>
      <c r="O4" s="29" t="s">
        <v>49</v>
      </c>
      <c r="P4" s="29" t="s">
        <v>50</v>
      </c>
      <c r="Q4" s="29" t="s">
        <v>51</v>
      </c>
      <c r="R4" s="29" t="s">
        <v>52</v>
      </c>
      <c r="S4" s="29" t="s">
        <v>53</v>
      </c>
      <c r="T4" s="29" t="s">
        <v>47</v>
      </c>
      <c r="U4" s="30" t="s">
        <v>48</v>
      </c>
      <c r="V4" s="29" t="s">
        <v>49</v>
      </c>
      <c r="W4" s="29" t="s">
        <v>50</v>
      </c>
      <c r="X4" s="29" t="s">
        <v>51</v>
      </c>
      <c r="Y4" s="29" t="s">
        <v>52</v>
      </c>
      <c r="Z4" s="29" t="s">
        <v>53</v>
      </c>
      <c r="AA4" s="29" t="s">
        <v>47</v>
      </c>
      <c r="AB4" s="30" t="s">
        <v>48</v>
      </c>
      <c r="AC4" s="29" t="s">
        <v>49</v>
      </c>
      <c r="AD4" s="55" t="s">
        <v>54</v>
      </c>
      <c r="AE4" s="56" t="s">
        <v>55</v>
      </c>
      <c r="AF4" s="57" t="s">
        <v>56</v>
      </c>
      <c r="AG4" s="58" t="s">
        <v>57</v>
      </c>
      <c r="AH4" s="59" t="s">
        <v>58</v>
      </c>
      <c r="AI4" s="60" t="s">
        <v>59</v>
      </c>
      <c r="AJ4" s="59" t="s">
        <v>60</v>
      </c>
    </row>
    <row r="5" spans="1:36" ht="19.5" customHeight="1" x14ac:dyDescent="0.25">
      <c r="A5" s="54"/>
      <c r="B5" s="31">
        <v>1</v>
      </c>
      <c r="C5" s="31">
        <v>2</v>
      </c>
      <c r="D5" s="31">
        <v>3</v>
      </c>
      <c r="E5" s="31">
        <v>4</v>
      </c>
      <c r="F5" s="31">
        <v>5</v>
      </c>
      <c r="G5" s="32">
        <v>6</v>
      </c>
      <c r="H5" s="31">
        <v>7</v>
      </c>
      <c r="I5" s="31">
        <v>8</v>
      </c>
      <c r="J5" s="31">
        <v>9</v>
      </c>
      <c r="K5" s="31">
        <v>10</v>
      </c>
      <c r="L5" s="31">
        <v>11</v>
      </c>
      <c r="M5" s="31">
        <v>12</v>
      </c>
      <c r="N5" s="32">
        <v>13</v>
      </c>
      <c r="O5" s="31">
        <v>14</v>
      </c>
      <c r="P5" s="31">
        <v>15</v>
      </c>
      <c r="Q5" s="31">
        <v>16</v>
      </c>
      <c r="R5" s="31">
        <v>17</v>
      </c>
      <c r="S5" s="31">
        <v>18</v>
      </c>
      <c r="T5" s="31">
        <v>19</v>
      </c>
      <c r="U5" s="32">
        <v>20</v>
      </c>
      <c r="V5" s="31">
        <v>21</v>
      </c>
      <c r="W5" s="31">
        <v>22</v>
      </c>
      <c r="X5" s="31">
        <v>23</v>
      </c>
      <c r="Y5" s="31">
        <v>24</v>
      </c>
      <c r="Z5" s="31">
        <v>25</v>
      </c>
      <c r="AA5" s="31">
        <v>26</v>
      </c>
      <c r="AB5" s="32">
        <v>27</v>
      </c>
      <c r="AC5" s="31">
        <v>28</v>
      </c>
      <c r="AD5" s="55"/>
      <c r="AE5" s="55"/>
      <c r="AF5" s="55"/>
      <c r="AG5" s="55"/>
      <c r="AH5" s="55"/>
      <c r="AI5" s="55"/>
      <c r="AJ5" s="55"/>
    </row>
    <row r="6" spans="1:36" ht="4.5" customHeight="1" x14ac:dyDescent="0.25"/>
    <row r="7" spans="1:36" ht="25.5" customHeight="1" x14ac:dyDescent="0.25">
      <c r="A7" s="3" t="str">
        <f>'بيانات الموظفين'!B5</f>
        <v xml:space="preserve">أبو بكر </v>
      </c>
      <c r="B7" s="33"/>
      <c r="C7" s="33"/>
      <c r="D7" s="33"/>
      <c r="E7" s="33"/>
      <c r="F7" s="33"/>
      <c r="G7" s="34"/>
      <c r="H7" s="33"/>
      <c r="I7" s="33"/>
      <c r="J7" s="33"/>
      <c r="K7" s="33"/>
      <c r="L7" s="33"/>
      <c r="M7" s="33"/>
      <c r="N7" s="34"/>
      <c r="O7" s="33"/>
      <c r="P7" s="33"/>
      <c r="Q7" s="33"/>
      <c r="R7" s="33"/>
      <c r="S7" s="33"/>
      <c r="T7" s="33"/>
      <c r="U7" s="34"/>
      <c r="V7" s="33"/>
      <c r="W7" s="33"/>
      <c r="X7" s="33"/>
      <c r="Y7" s="33"/>
      <c r="Z7" s="33"/>
      <c r="AA7" s="33"/>
      <c r="AB7" s="34"/>
      <c r="AC7" s="33"/>
      <c r="AD7" s="35">
        <f t="shared" ref="AD7:AD16" si="0">COUNTIF(B7:AC7,"غ")</f>
        <v>0</v>
      </c>
      <c r="AE7" s="36">
        <f t="shared" ref="AE7:AE16" si="1">COUNTIF(B7:AC7,"نصف")</f>
        <v>0</v>
      </c>
      <c r="AF7" s="37">
        <f t="shared" ref="AF7:AF16" si="2">SUMIF(B7:AC7,"&gt;"&amp;0)</f>
        <v>0</v>
      </c>
      <c r="AG7" s="38" t="str">
        <f>IF(OR('بيانات الموظفين'!C5="",NOT(ISNUMBER('بيانات الموظفين'!G2)),AF7=0),"-",ROUND(AF7*(('بيانات الموظفين'!C5/28)/'بيانات الموظفين'!G2),2))</f>
        <v>-</v>
      </c>
      <c r="AH7" s="39">
        <f>IF('بيانات الموظفين'!C5="","-",28-AD7-AE7*0.5)</f>
        <v>28</v>
      </c>
      <c r="AI7" s="6">
        <f>IF('بيانات الموظفين'!C5="","-",ROUND(('بيانات الموظفين'!C5/28)*AD7+(('بيانات الموظفين'!C5/28)/2)*AE7,2))</f>
        <v>0</v>
      </c>
      <c r="AJ7" s="40">
        <f>IF('بيانات الموظفين'!C5="","-",ROUND('بيانات الموظفين'!C5+IF(ISNUMBER(AG7),AG7,0)-IF(ISNUMBER(AI7),AI7,0),2))</f>
        <v>7000000</v>
      </c>
    </row>
    <row r="8" spans="1:36" ht="25.5" customHeight="1" x14ac:dyDescent="0.25">
      <c r="A8" s="3" t="str">
        <f>'بيانات الموظفين'!B6</f>
        <v>هيثم صمادي</v>
      </c>
      <c r="B8" s="41"/>
      <c r="C8" s="41"/>
      <c r="D8" s="41"/>
      <c r="E8" s="41"/>
      <c r="F8" s="41"/>
      <c r="G8" s="34"/>
      <c r="H8" s="41"/>
      <c r="I8" s="41"/>
      <c r="J8" s="41"/>
      <c r="K8" s="41"/>
      <c r="L8" s="41"/>
      <c r="M8" s="41"/>
      <c r="N8" s="34"/>
      <c r="O8" s="41"/>
      <c r="P8" s="41"/>
      <c r="Q8" s="41"/>
      <c r="R8" s="41"/>
      <c r="S8" s="41"/>
      <c r="T8" s="41"/>
      <c r="U8" s="34"/>
      <c r="V8" s="41"/>
      <c r="W8" s="41"/>
      <c r="X8" s="41"/>
      <c r="Y8" s="41"/>
      <c r="Z8" s="41"/>
      <c r="AA8" s="41"/>
      <c r="AB8" s="34"/>
      <c r="AC8" s="41"/>
      <c r="AD8" s="35">
        <f t="shared" si="0"/>
        <v>0</v>
      </c>
      <c r="AE8" s="36">
        <f t="shared" si="1"/>
        <v>0</v>
      </c>
      <c r="AF8" s="37">
        <f t="shared" si="2"/>
        <v>0</v>
      </c>
      <c r="AG8" s="38" t="str">
        <f>IF(OR('بيانات الموظفين'!C6="",NOT(ISNUMBER('بيانات الموظفين'!G2)),AF8=0),"-",ROUND(AF8*(('بيانات الموظفين'!C6/28)/'بيانات الموظفين'!G2),2))</f>
        <v>-</v>
      </c>
      <c r="AH8" s="39">
        <f>IF('بيانات الموظفين'!C6="","-",28-AD8-AE8*0.5)</f>
        <v>28</v>
      </c>
      <c r="AI8" s="6">
        <f>IF('بيانات الموظفين'!C6="","-",ROUND(('بيانات الموظفين'!C6/28)*AD8+(('بيانات الموظفين'!C6/28)/2)*AE8,2))</f>
        <v>0</v>
      </c>
      <c r="AJ8" s="40">
        <f>IF('بيانات الموظفين'!C6="","-",ROUND('بيانات الموظفين'!C6+IF(ISNUMBER(AG8),AG8,0)-IF(ISNUMBER(AI8),AI8,0),2))</f>
        <v>3000000</v>
      </c>
    </row>
    <row r="9" spans="1:36" ht="25.5" customHeight="1" x14ac:dyDescent="0.25">
      <c r="A9" s="3" t="str">
        <f>'بيانات الموظفين'!B7</f>
        <v>حسام كبريتة</v>
      </c>
      <c r="B9" s="33"/>
      <c r="C9" s="33"/>
      <c r="D9" s="33"/>
      <c r="E9" s="33"/>
      <c r="F9" s="33"/>
      <c r="G9" s="34"/>
      <c r="H9" s="33"/>
      <c r="I9" s="33"/>
      <c r="J9" s="33"/>
      <c r="K9" s="33"/>
      <c r="L9" s="33"/>
      <c r="M9" s="33"/>
      <c r="N9" s="34"/>
      <c r="O9" s="33"/>
      <c r="P9" s="33"/>
      <c r="Q9" s="33"/>
      <c r="R9" s="33"/>
      <c r="S9" s="33"/>
      <c r="T9" s="33"/>
      <c r="U9" s="34"/>
      <c r="V9" s="33"/>
      <c r="W9" s="33"/>
      <c r="X9" s="33"/>
      <c r="Y9" s="33"/>
      <c r="Z9" s="33"/>
      <c r="AA9" s="33"/>
      <c r="AB9" s="34"/>
      <c r="AC9" s="33"/>
      <c r="AD9" s="35">
        <f t="shared" si="0"/>
        <v>0</v>
      </c>
      <c r="AE9" s="36">
        <f t="shared" si="1"/>
        <v>0</v>
      </c>
      <c r="AF9" s="37">
        <f t="shared" si="2"/>
        <v>0</v>
      </c>
      <c r="AG9" s="38" t="str">
        <f>IF(OR('بيانات الموظفين'!C7="",NOT(ISNUMBER('بيانات الموظفين'!G2)),AF9=0),"-",ROUND(AF9*(('بيانات الموظفين'!C7/28)/'بيانات الموظفين'!G2),2))</f>
        <v>-</v>
      </c>
      <c r="AH9" s="39">
        <f>IF('بيانات الموظفين'!C7="","-",28-AD9-AE9*0.5)</f>
        <v>28</v>
      </c>
      <c r="AI9" s="6">
        <f>IF('بيانات الموظفين'!C7="","-",ROUND(('بيانات الموظفين'!C7/28)*AD9+(('بيانات الموظفين'!C7/28)/2)*AE9,2))</f>
        <v>0</v>
      </c>
      <c r="AJ9" s="40">
        <f>IF('بيانات الموظفين'!C7="","-",ROUND('بيانات الموظفين'!C7+IF(ISNUMBER(AG9),AG9,0)-IF(ISNUMBER(AI9),AI9,0),2))</f>
        <v>2500000</v>
      </c>
    </row>
    <row r="10" spans="1:36" ht="25.5" customHeight="1" x14ac:dyDescent="0.25">
      <c r="A10" s="3" t="str">
        <f>'بيانات الموظفين'!B8</f>
        <v>انس المنسي</v>
      </c>
      <c r="B10" s="41"/>
      <c r="C10" s="41"/>
      <c r="D10" s="41"/>
      <c r="E10" s="41"/>
      <c r="F10" s="41"/>
      <c r="G10" s="34"/>
      <c r="H10" s="41"/>
      <c r="I10" s="41"/>
      <c r="J10" s="41"/>
      <c r="K10" s="41"/>
      <c r="L10" s="41"/>
      <c r="M10" s="41"/>
      <c r="N10" s="34"/>
      <c r="O10" s="41"/>
      <c r="P10" s="41"/>
      <c r="Q10" s="41"/>
      <c r="R10" s="41"/>
      <c r="S10" s="41"/>
      <c r="T10" s="41"/>
      <c r="U10" s="34"/>
      <c r="V10" s="41"/>
      <c r="W10" s="41"/>
      <c r="X10" s="41"/>
      <c r="Y10" s="41"/>
      <c r="Z10" s="41"/>
      <c r="AA10" s="41"/>
      <c r="AB10" s="34"/>
      <c r="AC10" s="41"/>
      <c r="AD10" s="35">
        <f t="shared" si="0"/>
        <v>0</v>
      </c>
      <c r="AE10" s="36">
        <f t="shared" si="1"/>
        <v>0</v>
      </c>
      <c r="AF10" s="37">
        <f t="shared" si="2"/>
        <v>0</v>
      </c>
      <c r="AG10" s="38" t="str">
        <f>IF(OR('بيانات الموظفين'!C8="",NOT(ISNUMBER('بيانات الموظفين'!G2)),AF10=0),"-",ROUND(AF10*(('بيانات الموظفين'!C8/28)/'بيانات الموظفين'!G2),2))</f>
        <v>-</v>
      </c>
      <c r="AH10" s="39">
        <f>IF('بيانات الموظفين'!C8="","-",28-AD10-AE10*0.5)</f>
        <v>28</v>
      </c>
      <c r="AI10" s="6">
        <f>IF('بيانات الموظفين'!C8="","-",ROUND(('بيانات الموظفين'!C8/28)*AD10+(('بيانات الموظفين'!C8/28)/2)*AE10,2))</f>
        <v>0</v>
      </c>
      <c r="AJ10" s="40">
        <f>IF('بيانات الموظفين'!C8="","-",ROUND('بيانات الموظفين'!C8+IF(ISNUMBER(AG10),AG10,0)-IF(ISNUMBER(AI10),AI10,0),2))</f>
        <v>800000</v>
      </c>
    </row>
    <row r="11" spans="1:36" ht="25.5" customHeight="1" x14ac:dyDescent="0.25">
      <c r="A11" s="3" t="str">
        <f>'بيانات الموظفين'!B9</f>
        <v>عمار مجيد</v>
      </c>
      <c r="B11" s="33"/>
      <c r="C11" s="33"/>
      <c r="D11" s="33"/>
      <c r="E11" s="33"/>
      <c r="F11" s="33"/>
      <c r="G11" s="34"/>
      <c r="H11" s="33"/>
      <c r="I11" s="33"/>
      <c r="J11" s="33"/>
      <c r="K11" s="33"/>
      <c r="L11" s="33"/>
      <c r="M11" s="33"/>
      <c r="N11" s="34"/>
      <c r="O11" s="33"/>
      <c r="P11" s="33"/>
      <c r="Q11" s="33"/>
      <c r="R11" s="33"/>
      <c r="S11" s="33"/>
      <c r="T11" s="33"/>
      <c r="U11" s="34"/>
      <c r="V11" s="33"/>
      <c r="W11" s="33"/>
      <c r="X11" s="33"/>
      <c r="Y11" s="33"/>
      <c r="Z11" s="33"/>
      <c r="AA11" s="33"/>
      <c r="AB11" s="34"/>
      <c r="AC11" s="33"/>
      <c r="AD11" s="35">
        <f t="shared" si="0"/>
        <v>0</v>
      </c>
      <c r="AE11" s="36">
        <f t="shared" si="1"/>
        <v>0</v>
      </c>
      <c r="AF11" s="37">
        <f t="shared" si="2"/>
        <v>0</v>
      </c>
      <c r="AG11" s="38" t="str">
        <f>IF(OR('بيانات الموظفين'!C9="",NOT(ISNUMBER('بيانات الموظفين'!G2)),AF11=0),"-",ROUND(AF11*(('بيانات الموظفين'!C9/28)/'بيانات الموظفين'!G2),2))</f>
        <v>-</v>
      </c>
      <c r="AH11" s="39">
        <f>IF('بيانات الموظفين'!C9="","-",28-AD11-AE11*0.5)</f>
        <v>28</v>
      </c>
      <c r="AI11" s="6">
        <f>IF('بيانات الموظفين'!C9="","-",ROUND(('بيانات الموظفين'!C9/28)*AD11+(('بيانات الموظفين'!C9/28)/2)*AE11,2))</f>
        <v>0</v>
      </c>
      <c r="AJ11" s="40">
        <f>IF('بيانات الموظفين'!C9="","-",ROUND('بيانات الموظفين'!C9+IF(ISNUMBER(AG11),AG11,0)-IF(ISNUMBER(AI11),AI11,0),2))</f>
        <v>2000000</v>
      </c>
    </row>
    <row r="12" spans="1:36" ht="25.5" customHeight="1" x14ac:dyDescent="0.25">
      <c r="A12" s="3">
        <f>'بيانات الموظفين'!B10</f>
        <v>0</v>
      </c>
      <c r="B12" s="41"/>
      <c r="C12" s="41"/>
      <c r="D12" s="41"/>
      <c r="E12" s="41"/>
      <c r="F12" s="41"/>
      <c r="G12" s="34"/>
      <c r="H12" s="41"/>
      <c r="I12" s="41"/>
      <c r="J12" s="41"/>
      <c r="K12" s="41"/>
      <c r="L12" s="41"/>
      <c r="M12" s="41"/>
      <c r="N12" s="34"/>
      <c r="O12" s="41"/>
      <c r="P12" s="41"/>
      <c r="Q12" s="41"/>
      <c r="R12" s="41"/>
      <c r="S12" s="41"/>
      <c r="T12" s="41"/>
      <c r="U12" s="34"/>
      <c r="V12" s="41"/>
      <c r="W12" s="41"/>
      <c r="X12" s="41"/>
      <c r="Y12" s="41"/>
      <c r="Z12" s="41"/>
      <c r="AA12" s="41"/>
      <c r="AB12" s="34"/>
      <c r="AC12" s="41"/>
      <c r="AD12" s="35">
        <f t="shared" si="0"/>
        <v>0</v>
      </c>
      <c r="AE12" s="36">
        <f t="shared" si="1"/>
        <v>0</v>
      </c>
      <c r="AF12" s="37">
        <f t="shared" si="2"/>
        <v>0</v>
      </c>
      <c r="AG12" s="38" t="str">
        <f>IF(OR('بيانات الموظفين'!C10="",NOT(ISNUMBER('بيانات الموظفين'!G2)),AF12=0),"-",ROUND(AF12*(('بيانات الموظفين'!C10/28)/'بيانات الموظفين'!G2),2))</f>
        <v>-</v>
      </c>
      <c r="AH12" s="39" t="str">
        <f>IF('بيانات الموظفين'!C10="","-",28-AD12-AE12*0.5)</f>
        <v>-</v>
      </c>
      <c r="AI12" s="6" t="str">
        <f>IF('بيانات الموظفين'!C10="","-",ROUND(('بيانات الموظفين'!C10/28)*AD12+(('بيانات الموظفين'!C10/28)/2)*AE12,2))</f>
        <v>-</v>
      </c>
      <c r="AJ12" s="40" t="str">
        <f>IF('بيانات الموظفين'!C10="","-",ROUND('بيانات الموظفين'!C10+IF(ISNUMBER(AG12),AG12,0)-IF(ISNUMBER(AI12),AI12,0),2))</f>
        <v>-</v>
      </c>
    </row>
    <row r="13" spans="1:36" ht="25.5" customHeight="1" x14ac:dyDescent="0.25">
      <c r="A13" s="3">
        <f>'بيانات الموظفين'!B11</f>
        <v>0</v>
      </c>
      <c r="B13" s="33"/>
      <c r="C13" s="33"/>
      <c r="D13" s="33"/>
      <c r="E13" s="33"/>
      <c r="F13" s="33"/>
      <c r="G13" s="34"/>
      <c r="H13" s="33"/>
      <c r="I13" s="33"/>
      <c r="J13" s="33"/>
      <c r="K13" s="33"/>
      <c r="L13" s="33"/>
      <c r="M13" s="33"/>
      <c r="N13" s="34"/>
      <c r="O13" s="33"/>
      <c r="P13" s="33"/>
      <c r="Q13" s="33"/>
      <c r="R13" s="33"/>
      <c r="S13" s="33"/>
      <c r="T13" s="33"/>
      <c r="U13" s="34"/>
      <c r="V13" s="33"/>
      <c r="W13" s="33"/>
      <c r="X13" s="33"/>
      <c r="Y13" s="33"/>
      <c r="Z13" s="33"/>
      <c r="AA13" s="33"/>
      <c r="AB13" s="34"/>
      <c r="AC13" s="33"/>
      <c r="AD13" s="35">
        <f t="shared" si="0"/>
        <v>0</v>
      </c>
      <c r="AE13" s="36">
        <f t="shared" si="1"/>
        <v>0</v>
      </c>
      <c r="AF13" s="37">
        <f t="shared" si="2"/>
        <v>0</v>
      </c>
      <c r="AG13" s="38" t="str">
        <f>IF(OR('بيانات الموظفين'!C11="",NOT(ISNUMBER('بيانات الموظفين'!G2)),AF13=0),"-",ROUND(AF13*(('بيانات الموظفين'!C11/28)/'بيانات الموظفين'!G2),2))</f>
        <v>-</v>
      </c>
      <c r="AH13" s="39" t="str">
        <f>IF('بيانات الموظفين'!C11="","-",28-AD13-AE13*0.5)</f>
        <v>-</v>
      </c>
      <c r="AI13" s="6" t="str">
        <f>IF('بيانات الموظفين'!C11="","-",ROUND(('بيانات الموظفين'!C11/28)*AD13+(('بيانات الموظفين'!C11/28)/2)*AE13,2))</f>
        <v>-</v>
      </c>
      <c r="AJ13" s="40" t="str">
        <f>IF('بيانات الموظفين'!C11="","-",ROUND('بيانات الموظفين'!C11+IF(ISNUMBER(AG13),AG13,0)-IF(ISNUMBER(AI13),AI13,0),2))</f>
        <v>-</v>
      </c>
    </row>
    <row r="14" spans="1:36" ht="25.5" customHeight="1" x14ac:dyDescent="0.25">
      <c r="A14" s="3">
        <f>'بيانات الموظفين'!B12</f>
        <v>0</v>
      </c>
      <c r="B14" s="41"/>
      <c r="C14" s="41"/>
      <c r="D14" s="41"/>
      <c r="E14" s="41"/>
      <c r="F14" s="41"/>
      <c r="G14" s="34"/>
      <c r="H14" s="41"/>
      <c r="I14" s="41"/>
      <c r="J14" s="41"/>
      <c r="K14" s="41"/>
      <c r="L14" s="41"/>
      <c r="M14" s="41"/>
      <c r="N14" s="34"/>
      <c r="O14" s="41"/>
      <c r="P14" s="41"/>
      <c r="Q14" s="41"/>
      <c r="R14" s="41"/>
      <c r="S14" s="41"/>
      <c r="T14" s="41"/>
      <c r="U14" s="34"/>
      <c r="V14" s="41"/>
      <c r="W14" s="41"/>
      <c r="X14" s="41"/>
      <c r="Y14" s="41"/>
      <c r="Z14" s="41"/>
      <c r="AA14" s="41"/>
      <c r="AB14" s="34"/>
      <c r="AC14" s="41"/>
      <c r="AD14" s="35">
        <f t="shared" si="0"/>
        <v>0</v>
      </c>
      <c r="AE14" s="36">
        <f t="shared" si="1"/>
        <v>0</v>
      </c>
      <c r="AF14" s="37">
        <f t="shared" si="2"/>
        <v>0</v>
      </c>
      <c r="AG14" s="38" t="str">
        <f>IF(OR('بيانات الموظفين'!C12="",NOT(ISNUMBER('بيانات الموظفين'!G2)),AF14=0),"-",ROUND(AF14*(('بيانات الموظفين'!C12/28)/'بيانات الموظفين'!G2),2))</f>
        <v>-</v>
      </c>
      <c r="AH14" s="39" t="str">
        <f>IF('بيانات الموظفين'!C12="","-",28-AD14-AE14*0.5)</f>
        <v>-</v>
      </c>
      <c r="AI14" s="6" t="str">
        <f>IF('بيانات الموظفين'!C12="","-",ROUND(('بيانات الموظفين'!C12/28)*AD14+(('بيانات الموظفين'!C12/28)/2)*AE14,2))</f>
        <v>-</v>
      </c>
      <c r="AJ14" s="40" t="str">
        <f>IF('بيانات الموظفين'!C12="","-",ROUND('بيانات الموظفين'!C12+IF(ISNUMBER(AG14),AG14,0)-IF(ISNUMBER(AI14),AI14,0),2))</f>
        <v>-</v>
      </c>
    </row>
    <row r="15" spans="1:36" ht="25.5" customHeight="1" x14ac:dyDescent="0.25">
      <c r="A15" s="3">
        <f>'بيانات الموظفين'!B13</f>
        <v>0</v>
      </c>
      <c r="B15" s="33"/>
      <c r="C15" s="33"/>
      <c r="D15" s="33"/>
      <c r="E15" s="33"/>
      <c r="F15" s="33"/>
      <c r="G15" s="34"/>
      <c r="H15" s="33"/>
      <c r="I15" s="33"/>
      <c r="J15" s="33"/>
      <c r="K15" s="33"/>
      <c r="L15" s="33"/>
      <c r="M15" s="33"/>
      <c r="N15" s="34"/>
      <c r="O15" s="33"/>
      <c r="P15" s="33"/>
      <c r="Q15" s="33"/>
      <c r="R15" s="33"/>
      <c r="S15" s="33"/>
      <c r="T15" s="33"/>
      <c r="U15" s="34"/>
      <c r="V15" s="33"/>
      <c r="W15" s="33"/>
      <c r="X15" s="33"/>
      <c r="Y15" s="33"/>
      <c r="Z15" s="33"/>
      <c r="AA15" s="33"/>
      <c r="AB15" s="34"/>
      <c r="AC15" s="33"/>
      <c r="AD15" s="35">
        <f t="shared" si="0"/>
        <v>0</v>
      </c>
      <c r="AE15" s="36">
        <f t="shared" si="1"/>
        <v>0</v>
      </c>
      <c r="AF15" s="37">
        <f t="shared" si="2"/>
        <v>0</v>
      </c>
      <c r="AG15" s="38" t="str">
        <f>IF(OR('بيانات الموظفين'!C13="",NOT(ISNUMBER('بيانات الموظفين'!G2)),AF15=0),"-",ROUND(AF15*(('بيانات الموظفين'!C13/28)/'بيانات الموظفين'!G2),2))</f>
        <v>-</v>
      </c>
      <c r="AH15" s="39" t="str">
        <f>IF('بيانات الموظفين'!C13="","-",28-AD15-AE15*0.5)</f>
        <v>-</v>
      </c>
      <c r="AI15" s="6" t="str">
        <f>IF('بيانات الموظفين'!C13="","-",ROUND(('بيانات الموظفين'!C13/28)*AD15+(('بيانات الموظفين'!C13/28)/2)*AE15,2))</f>
        <v>-</v>
      </c>
      <c r="AJ15" s="40" t="str">
        <f>IF('بيانات الموظفين'!C13="","-",ROUND('بيانات الموظفين'!C13+IF(ISNUMBER(AG15),AG15,0)-IF(ISNUMBER(AI15),AI15,0),2))</f>
        <v>-</v>
      </c>
    </row>
    <row r="16" spans="1:36" ht="25.5" customHeight="1" x14ac:dyDescent="0.25">
      <c r="A16" s="3">
        <f>'بيانات الموظفين'!B14</f>
        <v>0</v>
      </c>
      <c r="B16" s="41"/>
      <c r="C16" s="41"/>
      <c r="D16" s="41"/>
      <c r="E16" s="41"/>
      <c r="F16" s="41"/>
      <c r="G16" s="34"/>
      <c r="H16" s="41"/>
      <c r="I16" s="41"/>
      <c r="J16" s="41"/>
      <c r="K16" s="41"/>
      <c r="L16" s="41"/>
      <c r="M16" s="41"/>
      <c r="N16" s="34"/>
      <c r="O16" s="41"/>
      <c r="P16" s="41"/>
      <c r="Q16" s="41"/>
      <c r="R16" s="41"/>
      <c r="S16" s="41"/>
      <c r="T16" s="41"/>
      <c r="U16" s="34"/>
      <c r="V16" s="41"/>
      <c r="W16" s="41"/>
      <c r="X16" s="41"/>
      <c r="Y16" s="41"/>
      <c r="Z16" s="41"/>
      <c r="AA16" s="41"/>
      <c r="AB16" s="34"/>
      <c r="AC16" s="41"/>
      <c r="AD16" s="35">
        <f t="shared" si="0"/>
        <v>0</v>
      </c>
      <c r="AE16" s="36">
        <f t="shared" si="1"/>
        <v>0</v>
      </c>
      <c r="AF16" s="37">
        <f t="shared" si="2"/>
        <v>0</v>
      </c>
      <c r="AG16" s="38" t="str">
        <f>IF(OR('بيانات الموظفين'!C14="",NOT(ISNUMBER('بيانات الموظفين'!G2)),AF16=0),"-",ROUND(AF16*(('بيانات الموظفين'!C14/28)/'بيانات الموظفين'!G2),2))</f>
        <v>-</v>
      </c>
      <c r="AH16" s="39" t="str">
        <f>IF('بيانات الموظفين'!C14="","-",28-AD16-AE16*0.5)</f>
        <v>-</v>
      </c>
      <c r="AI16" s="6" t="str">
        <f>IF('بيانات الموظفين'!C14="","-",ROUND(('بيانات الموظفين'!C14/28)*AD16+(('بيانات الموظفين'!C14/28)/2)*AE16,2))</f>
        <v>-</v>
      </c>
      <c r="AJ16" s="40" t="str">
        <f>IF('بيانات الموظفين'!C14="","-",ROUND('بيانات الموظفين'!C14+IF(ISNUMBER(AG16),AG16,0)-IF(ISNUMBER(AI16),AI16,0),2))</f>
        <v>-</v>
      </c>
    </row>
    <row r="17" spans="1:36" ht="25.5" customHeight="1" x14ac:dyDescent="0.25">
      <c r="A17" s="1" t="s">
        <v>71</v>
      </c>
      <c r="B17" s="42">
        <f t="shared" ref="B17:AC17" si="3">COUNTIF(B7:B16,"غ")+COUNTIF(B7:B16,"نصف")*0.5</f>
        <v>0</v>
      </c>
      <c r="C17" s="42">
        <f t="shared" si="3"/>
        <v>0</v>
      </c>
      <c r="D17" s="42">
        <f t="shared" si="3"/>
        <v>0</v>
      </c>
      <c r="E17" s="42">
        <f t="shared" si="3"/>
        <v>0</v>
      </c>
      <c r="F17" s="42">
        <f t="shared" si="3"/>
        <v>0</v>
      </c>
      <c r="G17" s="42">
        <f t="shared" si="3"/>
        <v>0</v>
      </c>
      <c r="H17" s="42">
        <f t="shared" si="3"/>
        <v>0</v>
      </c>
      <c r="I17" s="42">
        <f t="shared" si="3"/>
        <v>0</v>
      </c>
      <c r="J17" s="42">
        <f t="shared" si="3"/>
        <v>0</v>
      </c>
      <c r="K17" s="42">
        <f t="shared" si="3"/>
        <v>0</v>
      </c>
      <c r="L17" s="42">
        <f t="shared" si="3"/>
        <v>0</v>
      </c>
      <c r="M17" s="42">
        <f t="shared" si="3"/>
        <v>0</v>
      </c>
      <c r="N17" s="42">
        <f t="shared" si="3"/>
        <v>0</v>
      </c>
      <c r="O17" s="42">
        <f t="shared" si="3"/>
        <v>0</v>
      </c>
      <c r="P17" s="42">
        <f t="shared" si="3"/>
        <v>0</v>
      </c>
      <c r="Q17" s="42">
        <f t="shared" si="3"/>
        <v>0</v>
      </c>
      <c r="R17" s="42">
        <f t="shared" si="3"/>
        <v>0</v>
      </c>
      <c r="S17" s="42">
        <f t="shared" si="3"/>
        <v>0</v>
      </c>
      <c r="T17" s="42">
        <f t="shared" si="3"/>
        <v>0</v>
      </c>
      <c r="U17" s="42">
        <f t="shared" si="3"/>
        <v>0</v>
      </c>
      <c r="V17" s="42">
        <f t="shared" si="3"/>
        <v>0</v>
      </c>
      <c r="W17" s="42">
        <f t="shared" si="3"/>
        <v>0</v>
      </c>
      <c r="X17" s="42">
        <f t="shared" si="3"/>
        <v>0</v>
      </c>
      <c r="Y17" s="42">
        <f t="shared" si="3"/>
        <v>0</v>
      </c>
      <c r="Z17" s="42">
        <f t="shared" si="3"/>
        <v>0</v>
      </c>
      <c r="AA17" s="42">
        <f t="shared" si="3"/>
        <v>0</v>
      </c>
      <c r="AB17" s="42">
        <f t="shared" si="3"/>
        <v>0</v>
      </c>
      <c r="AC17" s="42">
        <f t="shared" si="3"/>
        <v>0</v>
      </c>
      <c r="AD17" s="43">
        <f>SUM(AD7:AD16)</f>
        <v>0</v>
      </c>
      <c r="AE17" s="43">
        <f>SUM(AE7:AE16)</f>
        <v>0</v>
      </c>
      <c r="AF17" s="43">
        <f>SUM(AF7:AF16)</f>
        <v>0</v>
      </c>
      <c r="AG17" s="44">
        <f>SUM(AG7:AG16)</f>
        <v>0</v>
      </c>
      <c r="AH17" s="45"/>
      <c r="AI17" s="44">
        <f>SUM(AI7:AI16)</f>
        <v>0</v>
      </c>
      <c r="AJ17" s="44">
        <f>SUM(AJ7:AJ16)</f>
        <v>15300000</v>
      </c>
    </row>
    <row r="18" spans="1:36" ht="9.75" customHeight="1" x14ac:dyDescent="0.25"/>
    <row r="19" spans="1:36" ht="31.5" customHeight="1" x14ac:dyDescent="0.25">
      <c r="A19" s="50" t="s">
        <v>72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</row>
    <row r="20" spans="1:36" ht="27.75" customHeight="1" x14ac:dyDescent="0.25">
      <c r="A20" s="1" t="s">
        <v>2</v>
      </c>
      <c r="B20" s="1" t="s">
        <v>3</v>
      </c>
      <c r="C20" s="1" t="s">
        <v>63</v>
      </c>
      <c r="D20" s="1" t="s">
        <v>64</v>
      </c>
      <c r="E20" s="1" t="s">
        <v>65</v>
      </c>
      <c r="F20" s="1" t="s">
        <v>66</v>
      </c>
      <c r="G20" s="1" t="s">
        <v>67</v>
      </c>
      <c r="H20" s="1" t="s">
        <v>68</v>
      </c>
      <c r="I20" s="1" t="s">
        <v>69</v>
      </c>
    </row>
    <row r="21" spans="1:36" ht="24" customHeight="1" x14ac:dyDescent="0.25">
      <c r="A21" s="2">
        <v>1</v>
      </c>
      <c r="B21" s="3" t="str">
        <f>'بيانات الموظفين'!B5</f>
        <v xml:space="preserve">أبو بكر </v>
      </c>
      <c r="C21" s="4">
        <f>IF('بيانات الموظفين'!C5="","-",'بيانات الموظفين'!C5)</f>
        <v>7000000</v>
      </c>
      <c r="D21" s="46">
        <f t="shared" ref="D21:D30" si="4">AD7</f>
        <v>0</v>
      </c>
      <c r="E21" s="47">
        <f t="shared" ref="E21:E30" si="5">AE7</f>
        <v>0</v>
      </c>
      <c r="F21" s="6">
        <f t="shared" ref="F21:F30" si="6">AI7</f>
        <v>0</v>
      </c>
      <c r="G21" s="48">
        <f t="shared" ref="G21:G30" si="7">AF7</f>
        <v>0</v>
      </c>
      <c r="H21" s="38" t="str">
        <f t="shared" ref="H21:H30" si="8">AG7</f>
        <v>-</v>
      </c>
      <c r="I21" s="40">
        <f t="shared" ref="I21:I30" si="9">AJ7</f>
        <v>7000000</v>
      </c>
    </row>
    <row r="22" spans="1:36" ht="24" customHeight="1" x14ac:dyDescent="0.25">
      <c r="A22" s="8">
        <v>2</v>
      </c>
      <c r="B22" s="3" t="str">
        <f>'بيانات الموظفين'!B6</f>
        <v>هيثم صمادي</v>
      </c>
      <c r="C22" s="9">
        <f>IF('بيانات الموظفين'!C6="","-",'بيانات الموظفين'!C6)</f>
        <v>3000000</v>
      </c>
      <c r="D22" s="46">
        <f t="shared" si="4"/>
        <v>0</v>
      </c>
      <c r="E22" s="47">
        <f t="shared" si="5"/>
        <v>0</v>
      </c>
      <c r="F22" s="6">
        <f t="shared" si="6"/>
        <v>0</v>
      </c>
      <c r="G22" s="48">
        <f t="shared" si="7"/>
        <v>0</v>
      </c>
      <c r="H22" s="38" t="str">
        <f t="shared" si="8"/>
        <v>-</v>
      </c>
      <c r="I22" s="40">
        <f t="shared" si="9"/>
        <v>3000000</v>
      </c>
    </row>
    <row r="23" spans="1:36" ht="24" customHeight="1" x14ac:dyDescent="0.25">
      <c r="A23" s="2">
        <v>3</v>
      </c>
      <c r="B23" s="3" t="str">
        <f>'بيانات الموظفين'!B7</f>
        <v>حسام كبريتة</v>
      </c>
      <c r="C23" s="4">
        <f>IF('بيانات الموظفين'!C7="","-",'بيانات الموظفين'!C7)</f>
        <v>2500000</v>
      </c>
      <c r="D23" s="46">
        <f t="shared" si="4"/>
        <v>0</v>
      </c>
      <c r="E23" s="47">
        <f t="shared" si="5"/>
        <v>0</v>
      </c>
      <c r="F23" s="6">
        <f t="shared" si="6"/>
        <v>0</v>
      </c>
      <c r="G23" s="48">
        <f t="shared" si="7"/>
        <v>0</v>
      </c>
      <c r="H23" s="38" t="str">
        <f t="shared" si="8"/>
        <v>-</v>
      </c>
      <c r="I23" s="40">
        <f t="shared" si="9"/>
        <v>2500000</v>
      </c>
    </row>
    <row r="24" spans="1:36" ht="24" customHeight="1" x14ac:dyDescent="0.25">
      <c r="A24" s="8">
        <v>4</v>
      </c>
      <c r="B24" s="3" t="str">
        <f>'بيانات الموظفين'!B8</f>
        <v>انس المنسي</v>
      </c>
      <c r="C24" s="9">
        <f>IF('بيانات الموظفين'!C8="","-",'بيانات الموظفين'!C8)</f>
        <v>800000</v>
      </c>
      <c r="D24" s="46">
        <f t="shared" si="4"/>
        <v>0</v>
      </c>
      <c r="E24" s="47">
        <f t="shared" si="5"/>
        <v>0</v>
      </c>
      <c r="F24" s="6">
        <f t="shared" si="6"/>
        <v>0</v>
      </c>
      <c r="G24" s="48">
        <f t="shared" si="7"/>
        <v>0</v>
      </c>
      <c r="H24" s="38" t="str">
        <f t="shared" si="8"/>
        <v>-</v>
      </c>
      <c r="I24" s="40">
        <f t="shared" si="9"/>
        <v>800000</v>
      </c>
    </row>
    <row r="25" spans="1:36" ht="24" customHeight="1" x14ac:dyDescent="0.25">
      <c r="A25" s="2">
        <v>5</v>
      </c>
      <c r="B25" s="3" t="str">
        <f>'بيانات الموظفين'!B9</f>
        <v>عمار مجيد</v>
      </c>
      <c r="C25" s="4">
        <f>IF('بيانات الموظفين'!C9="","-",'بيانات الموظفين'!C9)</f>
        <v>2000000</v>
      </c>
      <c r="D25" s="46">
        <f t="shared" si="4"/>
        <v>0</v>
      </c>
      <c r="E25" s="47">
        <f t="shared" si="5"/>
        <v>0</v>
      </c>
      <c r="F25" s="6">
        <f t="shared" si="6"/>
        <v>0</v>
      </c>
      <c r="G25" s="48">
        <f t="shared" si="7"/>
        <v>0</v>
      </c>
      <c r="H25" s="38" t="str">
        <f t="shared" si="8"/>
        <v>-</v>
      </c>
      <c r="I25" s="40">
        <f t="shared" si="9"/>
        <v>2000000</v>
      </c>
    </row>
    <row r="26" spans="1:36" ht="24" customHeight="1" x14ac:dyDescent="0.25">
      <c r="A26" s="8">
        <v>6</v>
      </c>
      <c r="B26" s="3">
        <f>'بيانات الموظفين'!B10</f>
        <v>0</v>
      </c>
      <c r="C26" s="9" t="str">
        <f>IF('بيانات الموظفين'!C10="","-",'بيانات الموظفين'!C10)</f>
        <v>-</v>
      </c>
      <c r="D26" s="46">
        <f t="shared" si="4"/>
        <v>0</v>
      </c>
      <c r="E26" s="47">
        <f t="shared" si="5"/>
        <v>0</v>
      </c>
      <c r="F26" s="6" t="str">
        <f t="shared" si="6"/>
        <v>-</v>
      </c>
      <c r="G26" s="48">
        <f t="shared" si="7"/>
        <v>0</v>
      </c>
      <c r="H26" s="38" t="str">
        <f t="shared" si="8"/>
        <v>-</v>
      </c>
      <c r="I26" s="40" t="str">
        <f t="shared" si="9"/>
        <v>-</v>
      </c>
    </row>
    <row r="27" spans="1:36" ht="24" customHeight="1" x14ac:dyDescent="0.25">
      <c r="A27" s="2">
        <v>7</v>
      </c>
      <c r="B27" s="3">
        <f>'بيانات الموظفين'!B11</f>
        <v>0</v>
      </c>
      <c r="C27" s="4" t="str">
        <f>IF('بيانات الموظفين'!C11="","-",'بيانات الموظفين'!C11)</f>
        <v>-</v>
      </c>
      <c r="D27" s="46">
        <f t="shared" si="4"/>
        <v>0</v>
      </c>
      <c r="E27" s="47">
        <f t="shared" si="5"/>
        <v>0</v>
      </c>
      <c r="F27" s="6" t="str">
        <f t="shared" si="6"/>
        <v>-</v>
      </c>
      <c r="G27" s="48">
        <f t="shared" si="7"/>
        <v>0</v>
      </c>
      <c r="H27" s="38" t="str">
        <f t="shared" si="8"/>
        <v>-</v>
      </c>
      <c r="I27" s="40" t="str">
        <f t="shared" si="9"/>
        <v>-</v>
      </c>
    </row>
    <row r="28" spans="1:36" ht="24" customHeight="1" x14ac:dyDescent="0.25">
      <c r="A28" s="8">
        <v>8</v>
      </c>
      <c r="B28" s="3">
        <f>'بيانات الموظفين'!B12</f>
        <v>0</v>
      </c>
      <c r="C28" s="9" t="str">
        <f>IF('بيانات الموظفين'!C12="","-",'بيانات الموظفين'!C12)</f>
        <v>-</v>
      </c>
      <c r="D28" s="46">
        <f t="shared" si="4"/>
        <v>0</v>
      </c>
      <c r="E28" s="47">
        <f t="shared" si="5"/>
        <v>0</v>
      </c>
      <c r="F28" s="6" t="str">
        <f t="shared" si="6"/>
        <v>-</v>
      </c>
      <c r="G28" s="48">
        <f t="shared" si="7"/>
        <v>0</v>
      </c>
      <c r="H28" s="38" t="str">
        <f t="shared" si="8"/>
        <v>-</v>
      </c>
      <c r="I28" s="40" t="str">
        <f t="shared" si="9"/>
        <v>-</v>
      </c>
    </row>
    <row r="29" spans="1:36" ht="24" customHeight="1" x14ac:dyDescent="0.25">
      <c r="A29" s="2">
        <v>9</v>
      </c>
      <c r="B29" s="3">
        <f>'بيانات الموظفين'!B13</f>
        <v>0</v>
      </c>
      <c r="C29" s="4" t="str">
        <f>IF('بيانات الموظفين'!C13="","-",'بيانات الموظفين'!C13)</f>
        <v>-</v>
      </c>
      <c r="D29" s="46">
        <f t="shared" si="4"/>
        <v>0</v>
      </c>
      <c r="E29" s="47">
        <f t="shared" si="5"/>
        <v>0</v>
      </c>
      <c r="F29" s="6" t="str">
        <f t="shared" si="6"/>
        <v>-</v>
      </c>
      <c r="G29" s="48">
        <f t="shared" si="7"/>
        <v>0</v>
      </c>
      <c r="H29" s="38" t="str">
        <f t="shared" si="8"/>
        <v>-</v>
      </c>
      <c r="I29" s="40" t="str">
        <f t="shared" si="9"/>
        <v>-</v>
      </c>
    </row>
    <row r="30" spans="1:36" ht="24" customHeight="1" x14ac:dyDescent="0.25">
      <c r="A30" s="8">
        <v>10</v>
      </c>
      <c r="B30" s="3">
        <f>'بيانات الموظفين'!B14</f>
        <v>0</v>
      </c>
      <c r="C30" s="9" t="str">
        <f>IF('بيانات الموظفين'!C14="","-",'بيانات الموظفين'!C14)</f>
        <v>-</v>
      </c>
      <c r="D30" s="46">
        <f t="shared" si="4"/>
        <v>0</v>
      </c>
      <c r="E30" s="47">
        <f t="shared" si="5"/>
        <v>0</v>
      </c>
      <c r="F30" s="6" t="str">
        <f t="shared" si="6"/>
        <v>-</v>
      </c>
      <c r="G30" s="48">
        <f t="shared" si="7"/>
        <v>0</v>
      </c>
      <c r="H30" s="38" t="str">
        <f t="shared" si="8"/>
        <v>-</v>
      </c>
      <c r="I30" s="40" t="str">
        <f t="shared" si="9"/>
        <v>-</v>
      </c>
    </row>
    <row r="31" spans="1:36" ht="27.75" customHeight="1" x14ac:dyDescent="0.25">
      <c r="A31" s="51" t="s">
        <v>19</v>
      </c>
      <c r="B31" s="51"/>
      <c r="C31" s="11">
        <f t="shared" ref="C31:I31" si="10">SUM(C21:C30)</f>
        <v>15300000</v>
      </c>
      <c r="D31" s="49">
        <f t="shared" si="10"/>
        <v>0</v>
      </c>
      <c r="E31" s="49">
        <f t="shared" si="10"/>
        <v>0</v>
      </c>
      <c r="F31" s="12">
        <f t="shared" si="10"/>
        <v>0</v>
      </c>
      <c r="G31" s="49">
        <f t="shared" si="10"/>
        <v>0</v>
      </c>
      <c r="H31" s="12">
        <f t="shared" si="10"/>
        <v>0</v>
      </c>
      <c r="I31" s="12">
        <f t="shared" si="10"/>
        <v>15300000</v>
      </c>
    </row>
  </sheetData>
  <mergeCells count="12">
    <mergeCell ref="A19:AJ19"/>
    <mergeCell ref="A31:B31"/>
    <mergeCell ref="A1:AJ1"/>
    <mergeCell ref="A2:AJ2"/>
    <mergeCell ref="A4:A5"/>
    <mergeCell ref="AD4:AD5"/>
    <mergeCell ref="AE4:AE5"/>
    <mergeCell ref="AF4:AF5"/>
    <mergeCell ref="AG4:AG5"/>
    <mergeCell ref="AH4:AH5"/>
    <mergeCell ref="AI4:AI5"/>
    <mergeCell ref="AJ4:AJ5"/>
  </mergeCells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31"/>
  <sheetViews>
    <sheetView rightToLeft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ColWidth="8.7109375" defaultRowHeight="15" x14ac:dyDescent="0.25"/>
  <cols>
    <col min="1" max="1" width="26" customWidth="1"/>
    <col min="2" max="32" width="10" customWidth="1"/>
    <col min="33" max="39" width="15" customWidth="1"/>
  </cols>
  <sheetData>
    <row r="1" spans="1:39" ht="36" customHeight="1" x14ac:dyDescent="0.25">
      <c r="A1" s="52" t="s">
        <v>73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</row>
    <row r="2" spans="1:39" ht="18" customHeight="1" x14ac:dyDescent="0.25">
      <c r="A2" s="53" t="s">
        <v>46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</row>
    <row r="3" spans="1:39" ht="6" customHeight="1" x14ac:dyDescent="0.25"/>
    <row r="4" spans="1:39" ht="30" customHeight="1" x14ac:dyDescent="0.25">
      <c r="A4" s="54" t="s">
        <v>3</v>
      </c>
      <c r="B4" s="29" t="s">
        <v>50</v>
      </c>
      <c r="C4" s="29" t="s">
        <v>51</v>
      </c>
      <c r="D4" s="29" t="s">
        <v>52</v>
      </c>
      <c r="E4" s="29" t="s">
        <v>53</v>
      </c>
      <c r="F4" s="29" t="s">
        <v>47</v>
      </c>
      <c r="G4" s="30" t="s">
        <v>48</v>
      </c>
      <c r="H4" s="29" t="s">
        <v>49</v>
      </c>
      <c r="I4" s="29" t="s">
        <v>50</v>
      </c>
      <c r="J4" s="29" t="s">
        <v>51</v>
      </c>
      <c r="K4" s="29" t="s">
        <v>52</v>
      </c>
      <c r="L4" s="29" t="s">
        <v>53</v>
      </c>
      <c r="M4" s="29" t="s">
        <v>47</v>
      </c>
      <c r="N4" s="30" t="s">
        <v>48</v>
      </c>
      <c r="O4" s="29" t="s">
        <v>49</v>
      </c>
      <c r="P4" s="29" t="s">
        <v>50</v>
      </c>
      <c r="Q4" s="29" t="s">
        <v>51</v>
      </c>
      <c r="R4" s="29" t="s">
        <v>52</v>
      </c>
      <c r="S4" s="29" t="s">
        <v>53</v>
      </c>
      <c r="T4" s="29" t="s">
        <v>47</v>
      </c>
      <c r="U4" s="30" t="s">
        <v>48</v>
      </c>
      <c r="V4" s="29" t="s">
        <v>49</v>
      </c>
      <c r="W4" s="29" t="s">
        <v>50</v>
      </c>
      <c r="X4" s="29" t="s">
        <v>51</v>
      </c>
      <c r="Y4" s="29" t="s">
        <v>52</v>
      </c>
      <c r="Z4" s="29" t="s">
        <v>53</v>
      </c>
      <c r="AA4" s="29" t="s">
        <v>47</v>
      </c>
      <c r="AB4" s="30" t="s">
        <v>48</v>
      </c>
      <c r="AC4" s="29" t="s">
        <v>49</v>
      </c>
      <c r="AD4" s="29" t="s">
        <v>50</v>
      </c>
      <c r="AE4" s="29" t="s">
        <v>51</v>
      </c>
      <c r="AF4" s="29" t="s">
        <v>52</v>
      </c>
      <c r="AG4" s="55" t="s">
        <v>54</v>
      </c>
      <c r="AH4" s="56" t="s">
        <v>55</v>
      </c>
      <c r="AI4" s="57" t="s">
        <v>56</v>
      </c>
      <c r="AJ4" s="58" t="s">
        <v>57</v>
      </c>
      <c r="AK4" s="59" t="s">
        <v>58</v>
      </c>
      <c r="AL4" s="60" t="s">
        <v>59</v>
      </c>
      <c r="AM4" s="59" t="s">
        <v>60</v>
      </c>
    </row>
    <row r="5" spans="1:39" ht="19.5" customHeight="1" x14ac:dyDescent="0.25">
      <c r="A5" s="54"/>
      <c r="B5" s="31">
        <v>1</v>
      </c>
      <c r="C5" s="31">
        <v>2</v>
      </c>
      <c r="D5" s="31">
        <v>3</v>
      </c>
      <c r="E5" s="31">
        <v>4</v>
      </c>
      <c r="F5" s="31">
        <v>5</v>
      </c>
      <c r="G5" s="32">
        <v>6</v>
      </c>
      <c r="H5" s="31">
        <v>7</v>
      </c>
      <c r="I5" s="31">
        <v>8</v>
      </c>
      <c r="J5" s="31">
        <v>9</v>
      </c>
      <c r="K5" s="31">
        <v>10</v>
      </c>
      <c r="L5" s="31">
        <v>11</v>
      </c>
      <c r="M5" s="31">
        <v>12</v>
      </c>
      <c r="N5" s="32">
        <v>13</v>
      </c>
      <c r="O5" s="31">
        <v>14</v>
      </c>
      <c r="P5" s="31">
        <v>15</v>
      </c>
      <c r="Q5" s="31">
        <v>16</v>
      </c>
      <c r="R5" s="31">
        <v>17</v>
      </c>
      <c r="S5" s="31">
        <v>18</v>
      </c>
      <c r="T5" s="31">
        <v>19</v>
      </c>
      <c r="U5" s="32">
        <v>20</v>
      </c>
      <c r="V5" s="31">
        <v>21</v>
      </c>
      <c r="W5" s="31">
        <v>22</v>
      </c>
      <c r="X5" s="31">
        <v>23</v>
      </c>
      <c r="Y5" s="31">
        <v>24</v>
      </c>
      <c r="Z5" s="31">
        <v>25</v>
      </c>
      <c r="AA5" s="31">
        <v>26</v>
      </c>
      <c r="AB5" s="32">
        <v>27</v>
      </c>
      <c r="AC5" s="31">
        <v>28</v>
      </c>
      <c r="AD5" s="31">
        <v>29</v>
      </c>
      <c r="AE5" s="31">
        <v>30</v>
      </c>
      <c r="AF5" s="31">
        <v>31</v>
      </c>
      <c r="AG5" s="55"/>
      <c r="AH5" s="55"/>
      <c r="AI5" s="55"/>
      <c r="AJ5" s="55"/>
      <c r="AK5" s="55"/>
      <c r="AL5" s="55"/>
      <c r="AM5" s="55"/>
    </row>
    <row r="6" spans="1:39" ht="4.5" customHeight="1" x14ac:dyDescent="0.25"/>
    <row r="7" spans="1:39" ht="25.5" customHeight="1" x14ac:dyDescent="0.25">
      <c r="A7" s="3" t="str">
        <f>'بيانات الموظفين'!B5</f>
        <v xml:space="preserve">أبو بكر </v>
      </c>
      <c r="B7" s="33"/>
      <c r="C7" s="33"/>
      <c r="D7" s="33"/>
      <c r="E7" s="33"/>
      <c r="F7" s="33"/>
      <c r="G7" s="34"/>
      <c r="H7" s="33"/>
      <c r="I7" s="33"/>
      <c r="J7" s="33"/>
      <c r="K7" s="33"/>
      <c r="L7" s="33"/>
      <c r="M7" s="33"/>
      <c r="N7" s="34"/>
      <c r="O7" s="33"/>
      <c r="P7" s="33"/>
      <c r="Q7" s="33"/>
      <c r="R7" s="33"/>
      <c r="S7" s="33"/>
      <c r="T7" s="33"/>
      <c r="U7" s="34"/>
      <c r="V7" s="33"/>
      <c r="W7" s="33"/>
      <c r="X7" s="33"/>
      <c r="Y7" s="33"/>
      <c r="Z7" s="33"/>
      <c r="AA7" s="33"/>
      <c r="AB7" s="34"/>
      <c r="AC7" s="33"/>
      <c r="AD7" s="33"/>
      <c r="AE7" s="33"/>
      <c r="AF7" s="33"/>
      <c r="AG7" s="35">
        <f t="shared" ref="AG7:AG16" si="0">COUNTIF(B7:AF7,"غ")</f>
        <v>0</v>
      </c>
      <c r="AH7" s="36">
        <f t="shared" ref="AH7:AH16" si="1">COUNTIF(B7:AF7,"نصف")</f>
        <v>0</v>
      </c>
      <c r="AI7" s="37">
        <f t="shared" ref="AI7:AI16" si="2">SUMIF(B7:AF7,"&gt;"&amp;0)</f>
        <v>0</v>
      </c>
      <c r="AJ7" s="38" t="str">
        <f>IF(OR('بيانات الموظفين'!C5="",NOT(ISNUMBER('بيانات الموظفين'!G2)),AI7=0),"-",ROUND(AI7*(('بيانات الموظفين'!C5/31)/'بيانات الموظفين'!G2),2))</f>
        <v>-</v>
      </c>
      <c r="AK7" s="39">
        <f>IF('بيانات الموظفين'!C5="","-",31-AG7-AH7*0.5)</f>
        <v>31</v>
      </c>
      <c r="AL7" s="6">
        <f>IF('بيانات الموظفين'!C5="","-",ROUND(('بيانات الموظفين'!C5/31)*AG7+(('بيانات الموظفين'!C5/31)/2)*AH7,2))</f>
        <v>0</v>
      </c>
      <c r="AM7" s="40">
        <f>IF('بيانات الموظفين'!C5="","-",ROUND('بيانات الموظفين'!C5+ROUND('بيانات الموظفين'!C5/30,2)+IF(ISNUMBER(AJ7),AJ7,0)-IF(ISNUMBER(AL7),AL7,0),2))</f>
        <v>7233333.3300000001</v>
      </c>
    </row>
    <row r="8" spans="1:39" ht="25.5" customHeight="1" x14ac:dyDescent="0.25">
      <c r="A8" s="3" t="str">
        <f>'بيانات الموظفين'!B6</f>
        <v>هيثم صمادي</v>
      </c>
      <c r="B8" s="41"/>
      <c r="C8" s="41"/>
      <c r="D8" s="41"/>
      <c r="E8" s="41"/>
      <c r="F8" s="41"/>
      <c r="G8" s="34"/>
      <c r="H8" s="41"/>
      <c r="I8" s="41"/>
      <c r="J8" s="41"/>
      <c r="K8" s="41"/>
      <c r="L8" s="41"/>
      <c r="M8" s="41"/>
      <c r="N8" s="34"/>
      <c r="O8" s="41"/>
      <c r="P8" s="41"/>
      <c r="Q8" s="41"/>
      <c r="R8" s="41"/>
      <c r="S8" s="41"/>
      <c r="T8" s="41"/>
      <c r="U8" s="34"/>
      <c r="V8" s="41"/>
      <c r="W8" s="41"/>
      <c r="X8" s="41"/>
      <c r="Y8" s="41"/>
      <c r="Z8" s="41"/>
      <c r="AA8" s="41"/>
      <c r="AB8" s="34"/>
      <c r="AC8" s="41"/>
      <c r="AD8" s="41"/>
      <c r="AE8" s="41"/>
      <c r="AF8" s="41"/>
      <c r="AG8" s="35">
        <f t="shared" si="0"/>
        <v>0</v>
      </c>
      <c r="AH8" s="36">
        <f t="shared" si="1"/>
        <v>0</v>
      </c>
      <c r="AI8" s="37">
        <f t="shared" si="2"/>
        <v>0</v>
      </c>
      <c r="AJ8" s="38" t="str">
        <f>IF(OR('بيانات الموظفين'!C6="",NOT(ISNUMBER('بيانات الموظفين'!G2)),AI8=0),"-",ROUND(AI8*(('بيانات الموظفين'!C6/31)/'بيانات الموظفين'!G2),2))</f>
        <v>-</v>
      </c>
      <c r="AK8" s="39">
        <f>IF('بيانات الموظفين'!C6="","-",31-AG8-AH8*0.5)</f>
        <v>31</v>
      </c>
      <c r="AL8" s="6">
        <f>IF('بيانات الموظفين'!C6="","-",ROUND(('بيانات الموظفين'!C6/31)*AG8+(('بيانات الموظفين'!C6/31)/2)*AH8,2))</f>
        <v>0</v>
      </c>
      <c r="AM8" s="40">
        <f>IF('بيانات الموظفين'!C6="","-",ROUND('بيانات الموظفين'!C6+ROUND('بيانات الموظفين'!C6/30,2)+IF(ISNUMBER(AJ8),AJ8,0)-IF(ISNUMBER(AL8),AL8,0),2))</f>
        <v>3100000</v>
      </c>
    </row>
    <row r="9" spans="1:39" ht="25.5" customHeight="1" x14ac:dyDescent="0.25">
      <c r="A9" s="3" t="str">
        <f>'بيانات الموظفين'!B7</f>
        <v>حسام كبريتة</v>
      </c>
      <c r="B9" s="33"/>
      <c r="C9" s="33"/>
      <c r="D9" s="33"/>
      <c r="E9" s="33"/>
      <c r="F9" s="33"/>
      <c r="G9" s="34"/>
      <c r="H9" s="33"/>
      <c r="I9" s="33"/>
      <c r="J9" s="33"/>
      <c r="K9" s="33"/>
      <c r="L9" s="33"/>
      <c r="M9" s="33"/>
      <c r="N9" s="34"/>
      <c r="O9" s="33"/>
      <c r="P9" s="33"/>
      <c r="Q9" s="33"/>
      <c r="R9" s="33"/>
      <c r="S9" s="33"/>
      <c r="T9" s="33"/>
      <c r="U9" s="34"/>
      <c r="V9" s="33"/>
      <c r="W9" s="33"/>
      <c r="X9" s="33"/>
      <c r="Y9" s="33"/>
      <c r="Z9" s="33"/>
      <c r="AA9" s="33"/>
      <c r="AB9" s="34"/>
      <c r="AC9" s="33"/>
      <c r="AD9" s="33"/>
      <c r="AE9" s="33"/>
      <c r="AF9" s="33"/>
      <c r="AG9" s="35">
        <f t="shared" si="0"/>
        <v>0</v>
      </c>
      <c r="AH9" s="36">
        <f t="shared" si="1"/>
        <v>0</v>
      </c>
      <c r="AI9" s="37">
        <f t="shared" si="2"/>
        <v>0</v>
      </c>
      <c r="AJ9" s="38" t="str">
        <f>IF(OR('بيانات الموظفين'!C7="",NOT(ISNUMBER('بيانات الموظفين'!G2)),AI9=0),"-",ROUND(AI9*(('بيانات الموظفين'!C7/31)/'بيانات الموظفين'!G2),2))</f>
        <v>-</v>
      </c>
      <c r="AK9" s="39">
        <f>IF('بيانات الموظفين'!C7="","-",31-AG9-AH9*0.5)</f>
        <v>31</v>
      </c>
      <c r="AL9" s="6">
        <f>IF('بيانات الموظفين'!C7="","-",ROUND(('بيانات الموظفين'!C7/31)*AG9+(('بيانات الموظفين'!C7/31)/2)*AH9,2))</f>
        <v>0</v>
      </c>
      <c r="AM9" s="40">
        <f>IF('بيانات الموظفين'!C7="","-",ROUND('بيانات الموظفين'!C7+ROUND('بيانات الموظفين'!C7/30,2)+IF(ISNUMBER(AJ9),AJ9,0)-IF(ISNUMBER(AL9),AL9,0),2))</f>
        <v>2583333.33</v>
      </c>
    </row>
    <row r="10" spans="1:39" ht="25.5" customHeight="1" x14ac:dyDescent="0.25">
      <c r="A10" s="3" t="str">
        <f>'بيانات الموظفين'!B8</f>
        <v>انس المنسي</v>
      </c>
      <c r="B10" s="41"/>
      <c r="C10" s="41"/>
      <c r="D10" s="41"/>
      <c r="E10" s="41"/>
      <c r="F10" s="41"/>
      <c r="G10" s="34"/>
      <c r="H10" s="41"/>
      <c r="I10" s="41"/>
      <c r="J10" s="41"/>
      <c r="K10" s="41"/>
      <c r="L10" s="41"/>
      <c r="M10" s="41"/>
      <c r="N10" s="34"/>
      <c r="O10" s="41"/>
      <c r="P10" s="41"/>
      <c r="Q10" s="41"/>
      <c r="R10" s="41"/>
      <c r="S10" s="41"/>
      <c r="T10" s="41"/>
      <c r="U10" s="34"/>
      <c r="V10" s="41"/>
      <c r="W10" s="41"/>
      <c r="X10" s="41"/>
      <c r="Y10" s="41"/>
      <c r="Z10" s="41"/>
      <c r="AA10" s="41"/>
      <c r="AB10" s="34"/>
      <c r="AC10" s="41"/>
      <c r="AD10" s="41"/>
      <c r="AE10" s="41"/>
      <c r="AF10" s="41"/>
      <c r="AG10" s="35">
        <f t="shared" si="0"/>
        <v>0</v>
      </c>
      <c r="AH10" s="36">
        <f t="shared" si="1"/>
        <v>0</v>
      </c>
      <c r="AI10" s="37">
        <f t="shared" si="2"/>
        <v>0</v>
      </c>
      <c r="AJ10" s="38" t="str">
        <f>IF(OR('بيانات الموظفين'!C8="",NOT(ISNUMBER('بيانات الموظفين'!G2)),AI10=0),"-",ROUND(AI10*(('بيانات الموظفين'!C8/31)/'بيانات الموظفين'!G2),2))</f>
        <v>-</v>
      </c>
      <c r="AK10" s="39">
        <f>IF('بيانات الموظفين'!C8="","-",31-AG10-AH10*0.5)</f>
        <v>31</v>
      </c>
      <c r="AL10" s="6">
        <f>IF('بيانات الموظفين'!C8="","-",ROUND(('بيانات الموظفين'!C8/31)*AG10+(('بيانات الموظفين'!C8/31)/2)*AH10,2))</f>
        <v>0</v>
      </c>
      <c r="AM10" s="40">
        <f>IF('بيانات الموظفين'!C8="","-",ROUND('بيانات الموظفين'!C8+ROUND('بيانات الموظفين'!C8/30,2)+IF(ISNUMBER(AJ10),AJ10,0)-IF(ISNUMBER(AL10),AL10,0),2))</f>
        <v>826666.67</v>
      </c>
    </row>
    <row r="11" spans="1:39" ht="25.5" customHeight="1" x14ac:dyDescent="0.25">
      <c r="A11" s="3" t="str">
        <f>'بيانات الموظفين'!B9</f>
        <v>عمار مجيد</v>
      </c>
      <c r="B11" s="33"/>
      <c r="C11" s="33"/>
      <c r="D11" s="33"/>
      <c r="E11" s="33"/>
      <c r="F11" s="33"/>
      <c r="G11" s="34"/>
      <c r="H11" s="33"/>
      <c r="I11" s="33"/>
      <c r="J11" s="33"/>
      <c r="K11" s="33"/>
      <c r="L11" s="33"/>
      <c r="M11" s="33"/>
      <c r="N11" s="34"/>
      <c r="O11" s="33"/>
      <c r="P11" s="33"/>
      <c r="Q11" s="33"/>
      <c r="R11" s="33"/>
      <c r="S11" s="33"/>
      <c r="T11" s="33"/>
      <c r="U11" s="34"/>
      <c r="V11" s="33"/>
      <c r="W11" s="33"/>
      <c r="X11" s="33"/>
      <c r="Y11" s="33"/>
      <c r="Z11" s="33"/>
      <c r="AA11" s="33"/>
      <c r="AB11" s="34"/>
      <c r="AC11" s="33"/>
      <c r="AD11" s="33"/>
      <c r="AE11" s="33"/>
      <c r="AF11" s="33"/>
      <c r="AG11" s="35">
        <f t="shared" si="0"/>
        <v>0</v>
      </c>
      <c r="AH11" s="36">
        <f t="shared" si="1"/>
        <v>0</v>
      </c>
      <c r="AI11" s="37">
        <f t="shared" si="2"/>
        <v>0</v>
      </c>
      <c r="AJ11" s="38" t="str">
        <f>IF(OR('بيانات الموظفين'!C9="",NOT(ISNUMBER('بيانات الموظفين'!G2)),AI11=0),"-",ROUND(AI11*(('بيانات الموظفين'!C9/31)/'بيانات الموظفين'!G2),2))</f>
        <v>-</v>
      </c>
      <c r="AK11" s="39">
        <f>IF('بيانات الموظفين'!C9="","-",31-AG11-AH11*0.5)</f>
        <v>31</v>
      </c>
      <c r="AL11" s="6">
        <f>IF('بيانات الموظفين'!C9="","-",ROUND(('بيانات الموظفين'!C9/31)*AG11+(('بيانات الموظفين'!C9/31)/2)*AH11,2))</f>
        <v>0</v>
      </c>
      <c r="AM11" s="40">
        <f>IF('بيانات الموظفين'!C9="","-",ROUND('بيانات الموظفين'!C9+ROUND('بيانات الموظفين'!C9/30,2)+IF(ISNUMBER(AJ11),AJ11,0)-IF(ISNUMBER(AL11),AL11,0),2))</f>
        <v>2066666.67</v>
      </c>
    </row>
    <row r="12" spans="1:39" ht="25.5" customHeight="1" x14ac:dyDescent="0.25">
      <c r="A12" s="3">
        <f>'بيانات الموظفين'!B10</f>
        <v>0</v>
      </c>
      <c r="B12" s="41"/>
      <c r="C12" s="41"/>
      <c r="D12" s="41"/>
      <c r="E12" s="41"/>
      <c r="F12" s="41"/>
      <c r="G12" s="34"/>
      <c r="H12" s="41"/>
      <c r="I12" s="41"/>
      <c r="J12" s="41"/>
      <c r="K12" s="41"/>
      <c r="L12" s="41"/>
      <c r="M12" s="41"/>
      <c r="N12" s="34"/>
      <c r="O12" s="41"/>
      <c r="P12" s="41"/>
      <c r="Q12" s="41"/>
      <c r="R12" s="41"/>
      <c r="S12" s="41"/>
      <c r="T12" s="41"/>
      <c r="U12" s="34"/>
      <c r="V12" s="41"/>
      <c r="W12" s="41"/>
      <c r="X12" s="41"/>
      <c r="Y12" s="41"/>
      <c r="Z12" s="41"/>
      <c r="AA12" s="41"/>
      <c r="AB12" s="34"/>
      <c r="AC12" s="41"/>
      <c r="AD12" s="41"/>
      <c r="AE12" s="41"/>
      <c r="AF12" s="41"/>
      <c r="AG12" s="35">
        <f t="shared" si="0"/>
        <v>0</v>
      </c>
      <c r="AH12" s="36">
        <f t="shared" si="1"/>
        <v>0</v>
      </c>
      <c r="AI12" s="37">
        <f t="shared" si="2"/>
        <v>0</v>
      </c>
      <c r="AJ12" s="38" t="str">
        <f>IF(OR('بيانات الموظفين'!C10="",NOT(ISNUMBER('بيانات الموظفين'!G2)),AI12=0),"-",ROUND(AI12*(('بيانات الموظفين'!C10/31)/'بيانات الموظفين'!G2),2))</f>
        <v>-</v>
      </c>
      <c r="AK12" s="39" t="str">
        <f>IF('بيانات الموظفين'!C10="","-",31-AG12-AH12*0.5)</f>
        <v>-</v>
      </c>
      <c r="AL12" s="6" t="str">
        <f>IF('بيانات الموظفين'!C10="","-",ROUND(('بيانات الموظفين'!C10/31)*AG12+(('بيانات الموظفين'!C10/31)/2)*AH12,2))</f>
        <v>-</v>
      </c>
      <c r="AM12" s="40" t="str">
        <f>IF('بيانات الموظفين'!C10="","-",ROUND('بيانات الموظفين'!C10+ROUND('بيانات الموظفين'!C10/30,2)+IF(ISNUMBER(AJ12),AJ12,0)-IF(ISNUMBER(AL12),AL12,0),2))</f>
        <v>-</v>
      </c>
    </row>
    <row r="13" spans="1:39" ht="25.5" customHeight="1" x14ac:dyDescent="0.25">
      <c r="A13" s="3">
        <f>'بيانات الموظفين'!B11</f>
        <v>0</v>
      </c>
      <c r="B13" s="33"/>
      <c r="C13" s="33"/>
      <c r="D13" s="33"/>
      <c r="E13" s="33"/>
      <c r="F13" s="33"/>
      <c r="G13" s="34"/>
      <c r="H13" s="33"/>
      <c r="I13" s="33"/>
      <c r="J13" s="33"/>
      <c r="K13" s="33"/>
      <c r="L13" s="33"/>
      <c r="M13" s="33"/>
      <c r="N13" s="34"/>
      <c r="O13" s="33"/>
      <c r="P13" s="33"/>
      <c r="Q13" s="33"/>
      <c r="R13" s="33"/>
      <c r="S13" s="33"/>
      <c r="T13" s="33"/>
      <c r="U13" s="34"/>
      <c r="V13" s="33"/>
      <c r="W13" s="33"/>
      <c r="X13" s="33"/>
      <c r="Y13" s="33"/>
      <c r="Z13" s="33"/>
      <c r="AA13" s="33"/>
      <c r="AB13" s="34"/>
      <c r="AC13" s="33"/>
      <c r="AD13" s="33"/>
      <c r="AE13" s="33"/>
      <c r="AF13" s="33"/>
      <c r="AG13" s="35">
        <f t="shared" si="0"/>
        <v>0</v>
      </c>
      <c r="AH13" s="36">
        <f t="shared" si="1"/>
        <v>0</v>
      </c>
      <c r="AI13" s="37">
        <f t="shared" si="2"/>
        <v>0</v>
      </c>
      <c r="AJ13" s="38" t="str">
        <f>IF(OR('بيانات الموظفين'!C11="",NOT(ISNUMBER('بيانات الموظفين'!G2)),AI13=0),"-",ROUND(AI13*(('بيانات الموظفين'!C11/31)/'بيانات الموظفين'!G2),2))</f>
        <v>-</v>
      </c>
      <c r="AK13" s="39" t="str">
        <f>IF('بيانات الموظفين'!C11="","-",31-AG13-AH13*0.5)</f>
        <v>-</v>
      </c>
      <c r="AL13" s="6" t="str">
        <f>IF('بيانات الموظفين'!C11="","-",ROUND(('بيانات الموظفين'!C11/31)*AG13+(('بيانات الموظفين'!C11/31)/2)*AH13,2))</f>
        <v>-</v>
      </c>
      <c r="AM13" s="40" t="str">
        <f>IF('بيانات الموظفين'!C11="","-",ROUND('بيانات الموظفين'!C11+ROUND('بيانات الموظفين'!C11/30,2)+IF(ISNUMBER(AJ13),AJ13,0)-IF(ISNUMBER(AL13),AL13,0),2))</f>
        <v>-</v>
      </c>
    </row>
    <row r="14" spans="1:39" ht="25.5" customHeight="1" x14ac:dyDescent="0.25">
      <c r="A14" s="3">
        <f>'بيانات الموظفين'!B12</f>
        <v>0</v>
      </c>
      <c r="B14" s="41"/>
      <c r="C14" s="41"/>
      <c r="D14" s="41"/>
      <c r="E14" s="41"/>
      <c r="F14" s="41"/>
      <c r="G14" s="34"/>
      <c r="H14" s="41"/>
      <c r="I14" s="41"/>
      <c r="J14" s="41"/>
      <c r="K14" s="41"/>
      <c r="L14" s="41"/>
      <c r="M14" s="41"/>
      <c r="N14" s="34"/>
      <c r="O14" s="41"/>
      <c r="P14" s="41"/>
      <c r="Q14" s="41"/>
      <c r="R14" s="41"/>
      <c r="S14" s="41"/>
      <c r="T14" s="41"/>
      <c r="U14" s="34"/>
      <c r="V14" s="41"/>
      <c r="W14" s="41"/>
      <c r="X14" s="41"/>
      <c r="Y14" s="41"/>
      <c r="Z14" s="41"/>
      <c r="AA14" s="41"/>
      <c r="AB14" s="34"/>
      <c r="AC14" s="41"/>
      <c r="AD14" s="41"/>
      <c r="AE14" s="41"/>
      <c r="AF14" s="41"/>
      <c r="AG14" s="35">
        <f t="shared" si="0"/>
        <v>0</v>
      </c>
      <c r="AH14" s="36">
        <f t="shared" si="1"/>
        <v>0</v>
      </c>
      <c r="AI14" s="37">
        <f t="shared" si="2"/>
        <v>0</v>
      </c>
      <c r="AJ14" s="38" t="str">
        <f>IF(OR('بيانات الموظفين'!C12="",NOT(ISNUMBER('بيانات الموظفين'!G2)),AI14=0),"-",ROUND(AI14*(('بيانات الموظفين'!C12/31)/'بيانات الموظفين'!G2),2))</f>
        <v>-</v>
      </c>
      <c r="AK14" s="39" t="str">
        <f>IF('بيانات الموظفين'!C12="","-",31-AG14-AH14*0.5)</f>
        <v>-</v>
      </c>
      <c r="AL14" s="6" t="str">
        <f>IF('بيانات الموظفين'!C12="","-",ROUND(('بيانات الموظفين'!C12/31)*AG14+(('بيانات الموظفين'!C12/31)/2)*AH14,2))</f>
        <v>-</v>
      </c>
      <c r="AM14" s="40" t="str">
        <f>IF('بيانات الموظفين'!C12="","-",ROUND('بيانات الموظفين'!C12+ROUND('بيانات الموظفين'!C12/30,2)+IF(ISNUMBER(AJ14),AJ14,0)-IF(ISNUMBER(AL14),AL14,0),2))</f>
        <v>-</v>
      </c>
    </row>
    <row r="15" spans="1:39" ht="25.5" customHeight="1" x14ac:dyDescent="0.25">
      <c r="A15" s="3">
        <f>'بيانات الموظفين'!B13</f>
        <v>0</v>
      </c>
      <c r="B15" s="33"/>
      <c r="C15" s="33"/>
      <c r="D15" s="33"/>
      <c r="E15" s="33"/>
      <c r="F15" s="33"/>
      <c r="G15" s="34"/>
      <c r="H15" s="33"/>
      <c r="I15" s="33"/>
      <c r="J15" s="33"/>
      <c r="K15" s="33"/>
      <c r="L15" s="33"/>
      <c r="M15" s="33"/>
      <c r="N15" s="34"/>
      <c r="O15" s="33"/>
      <c r="P15" s="33"/>
      <c r="Q15" s="33"/>
      <c r="R15" s="33"/>
      <c r="S15" s="33"/>
      <c r="T15" s="33"/>
      <c r="U15" s="34"/>
      <c r="V15" s="33"/>
      <c r="W15" s="33"/>
      <c r="X15" s="33"/>
      <c r="Y15" s="33"/>
      <c r="Z15" s="33"/>
      <c r="AA15" s="33"/>
      <c r="AB15" s="34"/>
      <c r="AC15" s="33"/>
      <c r="AD15" s="33"/>
      <c r="AE15" s="33"/>
      <c r="AF15" s="33"/>
      <c r="AG15" s="35">
        <f t="shared" si="0"/>
        <v>0</v>
      </c>
      <c r="AH15" s="36">
        <f t="shared" si="1"/>
        <v>0</v>
      </c>
      <c r="AI15" s="37">
        <f t="shared" si="2"/>
        <v>0</v>
      </c>
      <c r="AJ15" s="38" t="str">
        <f>IF(OR('بيانات الموظفين'!C13="",NOT(ISNUMBER('بيانات الموظفين'!G2)),AI15=0),"-",ROUND(AI15*(('بيانات الموظفين'!C13/31)/'بيانات الموظفين'!G2),2))</f>
        <v>-</v>
      </c>
      <c r="AK15" s="39" t="str">
        <f>IF('بيانات الموظفين'!C13="","-",31-AG15-AH15*0.5)</f>
        <v>-</v>
      </c>
      <c r="AL15" s="6" t="str">
        <f>IF('بيانات الموظفين'!C13="","-",ROUND(('بيانات الموظفين'!C13/31)*AG15+(('بيانات الموظفين'!C13/31)/2)*AH15,2))</f>
        <v>-</v>
      </c>
      <c r="AM15" s="40" t="str">
        <f>IF('بيانات الموظفين'!C13="","-",ROUND('بيانات الموظفين'!C13+ROUND('بيانات الموظفين'!C13/30,2)+IF(ISNUMBER(AJ15),AJ15,0)-IF(ISNUMBER(AL15),AL15,0),2))</f>
        <v>-</v>
      </c>
    </row>
    <row r="16" spans="1:39" ht="25.5" customHeight="1" x14ac:dyDescent="0.25">
      <c r="A16" s="3">
        <f>'بيانات الموظفين'!B14</f>
        <v>0</v>
      </c>
      <c r="B16" s="41"/>
      <c r="C16" s="41"/>
      <c r="D16" s="41"/>
      <c r="E16" s="41"/>
      <c r="F16" s="41"/>
      <c r="G16" s="34"/>
      <c r="H16" s="41"/>
      <c r="I16" s="41"/>
      <c r="J16" s="41"/>
      <c r="K16" s="41"/>
      <c r="L16" s="41"/>
      <c r="M16" s="41"/>
      <c r="N16" s="34"/>
      <c r="O16" s="41"/>
      <c r="P16" s="41"/>
      <c r="Q16" s="41"/>
      <c r="R16" s="41"/>
      <c r="S16" s="41"/>
      <c r="T16" s="41"/>
      <c r="U16" s="34"/>
      <c r="V16" s="41"/>
      <c r="W16" s="41"/>
      <c r="X16" s="41"/>
      <c r="Y16" s="41"/>
      <c r="Z16" s="41"/>
      <c r="AA16" s="41"/>
      <c r="AB16" s="34"/>
      <c r="AC16" s="41"/>
      <c r="AD16" s="41"/>
      <c r="AE16" s="41"/>
      <c r="AF16" s="41"/>
      <c r="AG16" s="35">
        <f t="shared" si="0"/>
        <v>0</v>
      </c>
      <c r="AH16" s="36">
        <f t="shared" si="1"/>
        <v>0</v>
      </c>
      <c r="AI16" s="37">
        <f t="shared" si="2"/>
        <v>0</v>
      </c>
      <c r="AJ16" s="38" t="str">
        <f>IF(OR('بيانات الموظفين'!C14="",NOT(ISNUMBER('بيانات الموظفين'!G2)),AI16=0),"-",ROUND(AI16*(('بيانات الموظفين'!C14/31)/'بيانات الموظفين'!G2),2))</f>
        <v>-</v>
      </c>
      <c r="AK16" s="39" t="str">
        <f>IF('بيانات الموظفين'!C14="","-",31-AG16-AH16*0.5)</f>
        <v>-</v>
      </c>
      <c r="AL16" s="6" t="str">
        <f>IF('بيانات الموظفين'!C14="","-",ROUND(('بيانات الموظفين'!C14/31)*AG16+(('بيانات الموظفين'!C14/31)/2)*AH16,2))</f>
        <v>-</v>
      </c>
      <c r="AM16" s="40" t="str">
        <f>IF('بيانات الموظفين'!C14="","-",ROUND('بيانات الموظفين'!C14+ROUND('بيانات الموظفين'!C14/30,2)+IF(ISNUMBER(AJ16),AJ16,0)-IF(ISNUMBER(AL16),AL16,0),2))</f>
        <v>-</v>
      </c>
    </row>
    <row r="17" spans="1:39" ht="25.5" customHeight="1" x14ac:dyDescent="0.25">
      <c r="A17" s="1" t="s">
        <v>74</v>
      </c>
      <c r="B17" s="42">
        <f t="shared" ref="B17:AF17" si="3">COUNTIF(B7:B16,"غ")+COUNTIF(B7:B16,"نصف")*0.5</f>
        <v>0</v>
      </c>
      <c r="C17" s="42">
        <f t="shared" si="3"/>
        <v>0</v>
      </c>
      <c r="D17" s="42">
        <f t="shared" si="3"/>
        <v>0</v>
      </c>
      <c r="E17" s="42">
        <f t="shared" si="3"/>
        <v>0</v>
      </c>
      <c r="F17" s="42">
        <f t="shared" si="3"/>
        <v>0</v>
      </c>
      <c r="G17" s="42">
        <f t="shared" si="3"/>
        <v>0</v>
      </c>
      <c r="H17" s="42">
        <f t="shared" si="3"/>
        <v>0</v>
      </c>
      <c r="I17" s="42">
        <f t="shared" si="3"/>
        <v>0</v>
      </c>
      <c r="J17" s="42">
        <f t="shared" si="3"/>
        <v>0</v>
      </c>
      <c r="K17" s="42">
        <f t="shared" si="3"/>
        <v>0</v>
      </c>
      <c r="L17" s="42">
        <f t="shared" si="3"/>
        <v>0</v>
      </c>
      <c r="M17" s="42">
        <f t="shared" si="3"/>
        <v>0</v>
      </c>
      <c r="N17" s="42">
        <f t="shared" si="3"/>
        <v>0</v>
      </c>
      <c r="O17" s="42">
        <f t="shared" si="3"/>
        <v>0</v>
      </c>
      <c r="P17" s="42">
        <f t="shared" si="3"/>
        <v>0</v>
      </c>
      <c r="Q17" s="42">
        <f t="shared" si="3"/>
        <v>0</v>
      </c>
      <c r="R17" s="42">
        <f t="shared" si="3"/>
        <v>0</v>
      </c>
      <c r="S17" s="42">
        <f t="shared" si="3"/>
        <v>0</v>
      </c>
      <c r="T17" s="42">
        <f t="shared" si="3"/>
        <v>0</v>
      </c>
      <c r="U17" s="42">
        <f t="shared" si="3"/>
        <v>0</v>
      </c>
      <c r="V17" s="42">
        <f t="shared" si="3"/>
        <v>0</v>
      </c>
      <c r="W17" s="42">
        <f t="shared" si="3"/>
        <v>0</v>
      </c>
      <c r="X17" s="42">
        <f t="shared" si="3"/>
        <v>0</v>
      </c>
      <c r="Y17" s="42">
        <f t="shared" si="3"/>
        <v>0</v>
      </c>
      <c r="Z17" s="42">
        <f t="shared" si="3"/>
        <v>0</v>
      </c>
      <c r="AA17" s="42">
        <f t="shared" si="3"/>
        <v>0</v>
      </c>
      <c r="AB17" s="42">
        <f t="shared" si="3"/>
        <v>0</v>
      </c>
      <c r="AC17" s="42">
        <f t="shared" si="3"/>
        <v>0</v>
      </c>
      <c r="AD17" s="42">
        <f t="shared" si="3"/>
        <v>0</v>
      </c>
      <c r="AE17" s="42">
        <f t="shared" si="3"/>
        <v>0</v>
      </c>
      <c r="AF17" s="42">
        <f t="shared" si="3"/>
        <v>0</v>
      </c>
      <c r="AG17" s="43">
        <f>SUM(AG7:AG16)</f>
        <v>0</v>
      </c>
      <c r="AH17" s="43">
        <f>SUM(AH7:AH16)</f>
        <v>0</v>
      </c>
      <c r="AI17" s="43">
        <f>SUM(AI7:AI16)</f>
        <v>0</v>
      </c>
      <c r="AJ17" s="44">
        <f>SUM(AJ7:AJ16)</f>
        <v>0</v>
      </c>
      <c r="AK17" s="45"/>
      <c r="AL17" s="44">
        <f>SUM(AL7:AL16)</f>
        <v>0</v>
      </c>
      <c r="AM17" s="44">
        <f>SUM(AM7:AM16)</f>
        <v>15810000</v>
      </c>
    </row>
    <row r="18" spans="1:39" ht="9.75" customHeight="1" x14ac:dyDescent="0.25"/>
    <row r="19" spans="1:39" ht="31.5" customHeight="1" x14ac:dyDescent="0.25">
      <c r="A19" s="50" t="s">
        <v>75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</row>
    <row r="20" spans="1:39" ht="27.75" customHeight="1" x14ac:dyDescent="0.25">
      <c r="A20" s="1" t="s">
        <v>2</v>
      </c>
      <c r="B20" s="1" t="s">
        <v>3</v>
      </c>
      <c r="C20" s="1" t="s">
        <v>63</v>
      </c>
      <c r="D20" s="1" t="s">
        <v>64</v>
      </c>
      <c r="E20" s="1" t="s">
        <v>65</v>
      </c>
      <c r="F20" s="1" t="s">
        <v>66</v>
      </c>
      <c r="G20" s="1" t="s">
        <v>67</v>
      </c>
      <c r="H20" s="1" t="s">
        <v>68</v>
      </c>
      <c r="I20" s="1" t="s">
        <v>69</v>
      </c>
    </row>
    <row r="21" spans="1:39" ht="24" customHeight="1" x14ac:dyDescent="0.25">
      <c r="A21" s="2">
        <v>1</v>
      </c>
      <c r="B21" s="3" t="str">
        <f>'بيانات الموظفين'!B5</f>
        <v xml:space="preserve">أبو بكر </v>
      </c>
      <c r="C21" s="4">
        <f>IF('بيانات الموظفين'!C5="","-",'بيانات الموظفين'!C5)</f>
        <v>7000000</v>
      </c>
      <c r="D21" s="46">
        <f t="shared" ref="D21:D30" si="4">AG7</f>
        <v>0</v>
      </c>
      <c r="E21" s="47">
        <f t="shared" ref="E21:E30" si="5">AH7</f>
        <v>0</v>
      </c>
      <c r="F21" s="6">
        <f t="shared" ref="F21:F30" si="6">AL7</f>
        <v>0</v>
      </c>
      <c r="G21" s="48">
        <f t="shared" ref="G21:G30" si="7">AI7</f>
        <v>0</v>
      </c>
      <c r="H21" s="38" t="str">
        <f t="shared" ref="H21:H30" si="8">AJ7</f>
        <v>-</v>
      </c>
      <c r="I21" s="40">
        <f t="shared" ref="I21:I30" si="9">AM7</f>
        <v>7233333.3300000001</v>
      </c>
    </row>
    <row r="22" spans="1:39" ht="24" customHeight="1" x14ac:dyDescent="0.25">
      <c r="A22" s="8">
        <v>2</v>
      </c>
      <c r="B22" s="3" t="str">
        <f>'بيانات الموظفين'!B6</f>
        <v>هيثم صمادي</v>
      </c>
      <c r="C22" s="9">
        <f>IF('بيانات الموظفين'!C6="","-",'بيانات الموظفين'!C6)</f>
        <v>3000000</v>
      </c>
      <c r="D22" s="46">
        <f t="shared" si="4"/>
        <v>0</v>
      </c>
      <c r="E22" s="47">
        <f t="shared" si="5"/>
        <v>0</v>
      </c>
      <c r="F22" s="6">
        <f t="shared" si="6"/>
        <v>0</v>
      </c>
      <c r="G22" s="48">
        <f t="shared" si="7"/>
        <v>0</v>
      </c>
      <c r="H22" s="38" t="str">
        <f t="shared" si="8"/>
        <v>-</v>
      </c>
      <c r="I22" s="40">
        <f t="shared" si="9"/>
        <v>3100000</v>
      </c>
    </row>
    <row r="23" spans="1:39" ht="24" customHeight="1" x14ac:dyDescent="0.25">
      <c r="A23" s="2">
        <v>3</v>
      </c>
      <c r="B23" s="3" t="str">
        <f>'بيانات الموظفين'!B7</f>
        <v>حسام كبريتة</v>
      </c>
      <c r="C23" s="4">
        <f>IF('بيانات الموظفين'!C7="","-",'بيانات الموظفين'!C7)</f>
        <v>2500000</v>
      </c>
      <c r="D23" s="46">
        <f t="shared" si="4"/>
        <v>0</v>
      </c>
      <c r="E23" s="47">
        <f t="shared" si="5"/>
        <v>0</v>
      </c>
      <c r="F23" s="6">
        <f t="shared" si="6"/>
        <v>0</v>
      </c>
      <c r="G23" s="48">
        <f t="shared" si="7"/>
        <v>0</v>
      </c>
      <c r="H23" s="38" t="str">
        <f t="shared" si="8"/>
        <v>-</v>
      </c>
      <c r="I23" s="40">
        <f t="shared" si="9"/>
        <v>2583333.33</v>
      </c>
    </row>
    <row r="24" spans="1:39" ht="24" customHeight="1" x14ac:dyDescent="0.25">
      <c r="A24" s="8">
        <v>4</v>
      </c>
      <c r="B24" s="3" t="str">
        <f>'بيانات الموظفين'!B8</f>
        <v>انس المنسي</v>
      </c>
      <c r="C24" s="9">
        <f>IF('بيانات الموظفين'!C8="","-",'بيانات الموظفين'!C8)</f>
        <v>800000</v>
      </c>
      <c r="D24" s="46">
        <f t="shared" si="4"/>
        <v>0</v>
      </c>
      <c r="E24" s="47">
        <f t="shared" si="5"/>
        <v>0</v>
      </c>
      <c r="F24" s="6">
        <f t="shared" si="6"/>
        <v>0</v>
      </c>
      <c r="G24" s="48">
        <f t="shared" si="7"/>
        <v>0</v>
      </c>
      <c r="H24" s="38" t="str">
        <f t="shared" si="8"/>
        <v>-</v>
      </c>
      <c r="I24" s="40">
        <f t="shared" si="9"/>
        <v>826666.67</v>
      </c>
    </row>
    <row r="25" spans="1:39" ht="24" customHeight="1" x14ac:dyDescent="0.25">
      <c r="A25" s="2">
        <v>5</v>
      </c>
      <c r="B25" s="3" t="str">
        <f>'بيانات الموظفين'!B9</f>
        <v>عمار مجيد</v>
      </c>
      <c r="C25" s="4">
        <f>IF('بيانات الموظفين'!C9="","-",'بيانات الموظفين'!C9)</f>
        <v>2000000</v>
      </c>
      <c r="D25" s="46">
        <f t="shared" si="4"/>
        <v>0</v>
      </c>
      <c r="E25" s="47">
        <f t="shared" si="5"/>
        <v>0</v>
      </c>
      <c r="F25" s="6">
        <f t="shared" si="6"/>
        <v>0</v>
      </c>
      <c r="G25" s="48">
        <f t="shared" si="7"/>
        <v>0</v>
      </c>
      <c r="H25" s="38" t="str">
        <f t="shared" si="8"/>
        <v>-</v>
      </c>
      <c r="I25" s="40">
        <f t="shared" si="9"/>
        <v>2066666.67</v>
      </c>
    </row>
    <row r="26" spans="1:39" ht="24" customHeight="1" x14ac:dyDescent="0.25">
      <c r="A26" s="8">
        <v>6</v>
      </c>
      <c r="B26" s="3">
        <f>'بيانات الموظفين'!B10</f>
        <v>0</v>
      </c>
      <c r="C26" s="9" t="str">
        <f>IF('بيانات الموظفين'!C10="","-",'بيانات الموظفين'!C10)</f>
        <v>-</v>
      </c>
      <c r="D26" s="46">
        <f t="shared" si="4"/>
        <v>0</v>
      </c>
      <c r="E26" s="47">
        <f t="shared" si="5"/>
        <v>0</v>
      </c>
      <c r="F26" s="6" t="str">
        <f t="shared" si="6"/>
        <v>-</v>
      </c>
      <c r="G26" s="48">
        <f t="shared" si="7"/>
        <v>0</v>
      </c>
      <c r="H26" s="38" t="str">
        <f t="shared" si="8"/>
        <v>-</v>
      </c>
      <c r="I26" s="40" t="str">
        <f t="shared" si="9"/>
        <v>-</v>
      </c>
    </row>
    <row r="27" spans="1:39" ht="24" customHeight="1" x14ac:dyDescent="0.25">
      <c r="A27" s="2">
        <v>7</v>
      </c>
      <c r="B27" s="3">
        <f>'بيانات الموظفين'!B11</f>
        <v>0</v>
      </c>
      <c r="C27" s="4" t="str">
        <f>IF('بيانات الموظفين'!C11="","-",'بيانات الموظفين'!C11)</f>
        <v>-</v>
      </c>
      <c r="D27" s="46">
        <f t="shared" si="4"/>
        <v>0</v>
      </c>
      <c r="E27" s="47">
        <f t="shared" si="5"/>
        <v>0</v>
      </c>
      <c r="F27" s="6" t="str">
        <f t="shared" si="6"/>
        <v>-</v>
      </c>
      <c r="G27" s="48">
        <f t="shared" si="7"/>
        <v>0</v>
      </c>
      <c r="H27" s="38" t="str">
        <f t="shared" si="8"/>
        <v>-</v>
      </c>
      <c r="I27" s="40" t="str">
        <f t="shared" si="9"/>
        <v>-</v>
      </c>
    </row>
    <row r="28" spans="1:39" ht="24" customHeight="1" x14ac:dyDescent="0.25">
      <c r="A28" s="8">
        <v>8</v>
      </c>
      <c r="B28" s="3">
        <f>'بيانات الموظفين'!B12</f>
        <v>0</v>
      </c>
      <c r="C28" s="9" t="str">
        <f>IF('بيانات الموظفين'!C12="","-",'بيانات الموظفين'!C12)</f>
        <v>-</v>
      </c>
      <c r="D28" s="46">
        <f t="shared" si="4"/>
        <v>0</v>
      </c>
      <c r="E28" s="47">
        <f t="shared" si="5"/>
        <v>0</v>
      </c>
      <c r="F28" s="6" t="str">
        <f t="shared" si="6"/>
        <v>-</v>
      </c>
      <c r="G28" s="48">
        <f t="shared" si="7"/>
        <v>0</v>
      </c>
      <c r="H28" s="38" t="str">
        <f t="shared" si="8"/>
        <v>-</v>
      </c>
      <c r="I28" s="40" t="str">
        <f t="shared" si="9"/>
        <v>-</v>
      </c>
    </row>
    <row r="29" spans="1:39" ht="24" customHeight="1" x14ac:dyDescent="0.25">
      <c r="A29" s="2">
        <v>9</v>
      </c>
      <c r="B29" s="3">
        <f>'بيانات الموظفين'!B13</f>
        <v>0</v>
      </c>
      <c r="C29" s="4" t="str">
        <f>IF('بيانات الموظفين'!C13="","-",'بيانات الموظفين'!C13)</f>
        <v>-</v>
      </c>
      <c r="D29" s="46">
        <f t="shared" si="4"/>
        <v>0</v>
      </c>
      <c r="E29" s="47">
        <f t="shared" si="5"/>
        <v>0</v>
      </c>
      <c r="F29" s="6" t="str">
        <f t="shared" si="6"/>
        <v>-</v>
      </c>
      <c r="G29" s="48">
        <f t="shared" si="7"/>
        <v>0</v>
      </c>
      <c r="H29" s="38" t="str">
        <f t="shared" si="8"/>
        <v>-</v>
      </c>
      <c r="I29" s="40" t="str">
        <f t="shared" si="9"/>
        <v>-</v>
      </c>
    </row>
    <row r="30" spans="1:39" ht="24" customHeight="1" x14ac:dyDescent="0.25">
      <c r="A30" s="8">
        <v>10</v>
      </c>
      <c r="B30" s="3">
        <f>'بيانات الموظفين'!B14</f>
        <v>0</v>
      </c>
      <c r="C30" s="9" t="str">
        <f>IF('بيانات الموظفين'!C14="","-",'بيانات الموظفين'!C14)</f>
        <v>-</v>
      </c>
      <c r="D30" s="46">
        <f t="shared" si="4"/>
        <v>0</v>
      </c>
      <c r="E30" s="47">
        <f t="shared" si="5"/>
        <v>0</v>
      </c>
      <c r="F30" s="6" t="str">
        <f t="shared" si="6"/>
        <v>-</v>
      </c>
      <c r="G30" s="48">
        <f t="shared" si="7"/>
        <v>0</v>
      </c>
      <c r="H30" s="38" t="str">
        <f t="shared" si="8"/>
        <v>-</v>
      </c>
      <c r="I30" s="40" t="str">
        <f t="shared" si="9"/>
        <v>-</v>
      </c>
    </row>
    <row r="31" spans="1:39" ht="27.75" customHeight="1" x14ac:dyDescent="0.25">
      <c r="A31" s="51" t="s">
        <v>19</v>
      </c>
      <c r="B31" s="51"/>
      <c r="C31" s="11">
        <f t="shared" ref="C31:I31" si="10">SUM(C21:C30)</f>
        <v>15300000</v>
      </c>
      <c r="D31" s="49">
        <f t="shared" si="10"/>
        <v>0</v>
      </c>
      <c r="E31" s="49">
        <f t="shared" si="10"/>
        <v>0</v>
      </c>
      <c r="F31" s="12">
        <f t="shared" si="10"/>
        <v>0</v>
      </c>
      <c r="G31" s="49">
        <f t="shared" si="10"/>
        <v>0</v>
      </c>
      <c r="H31" s="12">
        <f t="shared" si="10"/>
        <v>0</v>
      </c>
      <c r="I31" s="12">
        <f t="shared" si="10"/>
        <v>15810000</v>
      </c>
    </row>
  </sheetData>
  <mergeCells count="12">
    <mergeCell ref="A19:AM19"/>
    <mergeCell ref="A31:B31"/>
    <mergeCell ref="A1:AM1"/>
    <mergeCell ref="A2:AM2"/>
    <mergeCell ref="A4:A5"/>
    <mergeCell ref="AG4:AG5"/>
    <mergeCell ref="AH4:AH5"/>
    <mergeCell ref="AI4:AI5"/>
    <mergeCell ref="AJ4:AJ5"/>
    <mergeCell ref="AK4:AK5"/>
    <mergeCell ref="AL4:AL5"/>
    <mergeCell ref="AM4:AM5"/>
  </mergeCells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L31"/>
  <sheetViews>
    <sheetView rightToLeft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ColWidth="8.7109375" defaultRowHeight="15" x14ac:dyDescent="0.25"/>
  <cols>
    <col min="1" max="1" width="26" customWidth="1"/>
    <col min="2" max="31" width="10" customWidth="1"/>
    <col min="32" max="38" width="15" customWidth="1"/>
  </cols>
  <sheetData>
    <row r="1" spans="1:38" ht="36" customHeight="1" x14ac:dyDescent="0.25">
      <c r="A1" s="52" t="s">
        <v>76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</row>
    <row r="2" spans="1:38" ht="18" customHeight="1" x14ac:dyDescent="0.25">
      <c r="A2" s="53" t="s">
        <v>46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</row>
    <row r="3" spans="1:38" ht="6" customHeight="1" x14ac:dyDescent="0.25"/>
    <row r="4" spans="1:38" ht="30" customHeight="1" x14ac:dyDescent="0.25">
      <c r="A4" s="54" t="s">
        <v>3</v>
      </c>
      <c r="B4" s="29" t="s">
        <v>53</v>
      </c>
      <c r="C4" s="29" t="s">
        <v>47</v>
      </c>
      <c r="D4" s="30" t="s">
        <v>48</v>
      </c>
      <c r="E4" s="29" t="s">
        <v>49</v>
      </c>
      <c r="F4" s="29" t="s">
        <v>50</v>
      </c>
      <c r="G4" s="29" t="s">
        <v>51</v>
      </c>
      <c r="H4" s="29" t="s">
        <v>52</v>
      </c>
      <c r="I4" s="29" t="s">
        <v>53</v>
      </c>
      <c r="J4" s="29" t="s">
        <v>47</v>
      </c>
      <c r="K4" s="30" t="s">
        <v>48</v>
      </c>
      <c r="L4" s="29" t="s">
        <v>49</v>
      </c>
      <c r="M4" s="29" t="s">
        <v>50</v>
      </c>
      <c r="N4" s="29" t="s">
        <v>51</v>
      </c>
      <c r="O4" s="29" t="s">
        <v>52</v>
      </c>
      <c r="P4" s="29" t="s">
        <v>53</v>
      </c>
      <c r="Q4" s="29" t="s">
        <v>47</v>
      </c>
      <c r="R4" s="30" t="s">
        <v>48</v>
      </c>
      <c r="S4" s="29" t="s">
        <v>49</v>
      </c>
      <c r="T4" s="29" t="s">
        <v>50</v>
      </c>
      <c r="U4" s="29" t="s">
        <v>51</v>
      </c>
      <c r="V4" s="29" t="s">
        <v>52</v>
      </c>
      <c r="W4" s="29" t="s">
        <v>53</v>
      </c>
      <c r="X4" s="29" t="s">
        <v>47</v>
      </c>
      <c r="Y4" s="30" t="s">
        <v>48</v>
      </c>
      <c r="Z4" s="29" t="s">
        <v>49</v>
      </c>
      <c r="AA4" s="29" t="s">
        <v>50</v>
      </c>
      <c r="AB4" s="29" t="s">
        <v>51</v>
      </c>
      <c r="AC4" s="29" t="s">
        <v>52</v>
      </c>
      <c r="AD4" s="29" t="s">
        <v>53</v>
      </c>
      <c r="AE4" s="29" t="s">
        <v>47</v>
      </c>
      <c r="AF4" s="55" t="s">
        <v>54</v>
      </c>
      <c r="AG4" s="56" t="s">
        <v>55</v>
      </c>
      <c r="AH4" s="57" t="s">
        <v>56</v>
      </c>
      <c r="AI4" s="58" t="s">
        <v>57</v>
      </c>
      <c r="AJ4" s="59" t="s">
        <v>58</v>
      </c>
      <c r="AK4" s="60" t="s">
        <v>59</v>
      </c>
      <c r="AL4" s="59" t="s">
        <v>60</v>
      </c>
    </row>
    <row r="5" spans="1:38" ht="19.5" customHeight="1" x14ac:dyDescent="0.25">
      <c r="A5" s="54"/>
      <c r="B5" s="31">
        <v>1</v>
      </c>
      <c r="C5" s="31">
        <v>2</v>
      </c>
      <c r="D5" s="32">
        <v>3</v>
      </c>
      <c r="E5" s="31">
        <v>4</v>
      </c>
      <c r="F5" s="31">
        <v>5</v>
      </c>
      <c r="G5" s="31">
        <v>6</v>
      </c>
      <c r="H5" s="31">
        <v>7</v>
      </c>
      <c r="I5" s="31">
        <v>8</v>
      </c>
      <c r="J5" s="31">
        <v>9</v>
      </c>
      <c r="K5" s="32">
        <v>10</v>
      </c>
      <c r="L5" s="31">
        <v>11</v>
      </c>
      <c r="M5" s="31">
        <v>12</v>
      </c>
      <c r="N5" s="31">
        <v>13</v>
      </c>
      <c r="O5" s="31">
        <v>14</v>
      </c>
      <c r="P5" s="31">
        <v>15</v>
      </c>
      <c r="Q5" s="31">
        <v>16</v>
      </c>
      <c r="R5" s="32">
        <v>17</v>
      </c>
      <c r="S5" s="31">
        <v>18</v>
      </c>
      <c r="T5" s="31">
        <v>19</v>
      </c>
      <c r="U5" s="31">
        <v>20</v>
      </c>
      <c r="V5" s="31">
        <v>21</v>
      </c>
      <c r="W5" s="31">
        <v>22</v>
      </c>
      <c r="X5" s="31">
        <v>23</v>
      </c>
      <c r="Y5" s="32">
        <v>24</v>
      </c>
      <c r="Z5" s="31">
        <v>25</v>
      </c>
      <c r="AA5" s="31">
        <v>26</v>
      </c>
      <c r="AB5" s="31">
        <v>27</v>
      </c>
      <c r="AC5" s="31">
        <v>28</v>
      </c>
      <c r="AD5" s="31">
        <v>29</v>
      </c>
      <c r="AE5" s="31">
        <v>30</v>
      </c>
      <c r="AF5" s="55"/>
      <c r="AG5" s="55"/>
      <c r="AH5" s="55"/>
      <c r="AI5" s="55"/>
      <c r="AJ5" s="55"/>
      <c r="AK5" s="55"/>
      <c r="AL5" s="55"/>
    </row>
    <row r="6" spans="1:38" ht="4.5" customHeight="1" x14ac:dyDescent="0.25"/>
    <row r="7" spans="1:38" ht="25.5" customHeight="1" x14ac:dyDescent="0.25">
      <c r="A7" s="3" t="str">
        <f>'بيانات الموظفين'!B5</f>
        <v xml:space="preserve">أبو بكر </v>
      </c>
      <c r="B7" s="33"/>
      <c r="C7" s="33"/>
      <c r="D7" s="34"/>
      <c r="E7" s="33"/>
      <c r="F7" s="33"/>
      <c r="G7" s="33"/>
      <c r="H7" s="33"/>
      <c r="I7" s="33"/>
      <c r="J7" s="33"/>
      <c r="K7" s="34"/>
      <c r="L7" s="33"/>
      <c r="M7" s="33"/>
      <c r="N7" s="33"/>
      <c r="O7" s="33"/>
      <c r="P7" s="33"/>
      <c r="Q7" s="33"/>
      <c r="R7" s="34"/>
      <c r="S7" s="33"/>
      <c r="T7" s="33"/>
      <c r="U7" s="33"/>
      <c r="V7" s="33"/>
      <c r="W7" s="33"/>
      <c r="X7" s="33"/>
      <c r="Y7" s="34"/>
      <c r="Z7" s="33"/>
      <c r="AA7" s="33"/>
      <c r="AB7" s="33"/>
      <c r="AC7" s="33"/>
      <c r="AD7" s="33"/>
      <c r="AE7" s="33"/>
      <c r="AF7" s="35">
        <f t="shared" ref="AF7:AF16" si="0">COUNTIF(B7:AE7,"غ")</f>
        <v>0</v>
      </c>
      <c r="AG7" s="36">
        <f t="shared" ref="AG7:AG16" si="1">COUNTIF(B7:AE7,"نصف")</f>
        <v>0</v>
      </c>
      <c r="AH7" s="37">
        <f t="shared" ref="AH7:AH16" si="2">SUMIF(B7:AE7,"&gt;"&amp;0)</f>
        <v>0</v>
      </c>
      <c r="AI7" s="38" t="str">
        <f>IF(OR('بيانات الموظفين'!C5="",NOT(ISNUMBER('بيانات الموظفين'!G2)),AH7=0),"-",ROUND(AH7*(('بيانات الموظفين'!C5/30)/'بيانات الموظفين'!G2),2))</f>
        <v>-</v>
      </c>
      <c r="AJ7" s="39">
        <f>IF('بيانات الموظفين'!C5="","-",30-AF7-AG7*0.5)</f>
        <v>30</v>
      </c>
      <c r="AK7" s="6">
        <f>IF('بيانات الموظفين'!C5="","-",ROUND(('بيانات الموظفين'!C5/30)*AF7+(('بيانات الموظفين'!C5/30)/2)*AG7,2))</f>
        <v>0</v>
      </c>
      <c r="AL7" s="40">
        <f>IF('بيانات الموظفين'!C5="","-",ROUND('بيانات الموظفين'!C5+IF(ISNUMBER(AI7),AI7,0)-IF(ISNUMBER(AK7),AK7,0),2))</f>
        <v>7000000</v>
      </c>
    </row>
    <row r="8" spans="1:38" ht="25.5" customHeight="1" x14ac:dyDescent="0.25">
      <c r="A8" s="3" t="str">
        <f>'بيانات الموظفين'!B6</f>
        <v>هيثم صمادي</v>
      </c>
      <c r="B8" s="41"/>
      <c r="C8" s="41"/>
      <c r="D8" s="34"/>
      <c r="E8" s="41"/>
      <c r="F8" s="41"/>
      <c r="G8" s="41"/>
      <c r="H8" s="41"/>
      <c r="I8" s="41"/>
      <c r="J8" s="41"/>
      <c r="K8" s="34"/>
      <c r="L8" s="41"/>
      <c r="M8" s="41"/>
      <c r="N8" s="41"/>
      <c r="O8" s="41"/>
      <c r="P8" s="41"/>
      <c r="Q8" s="41"/>
      <c r="R8" s="34"/>
      <c r="S8" s="41"/>
      <c r="T8" s="41"/>
      <c r="U8" s="41"/>
      <c r="V8" s="41"/>
      <c r="W8" s="41"/>
      <c r="X8" s="41"/>
      <c r="Y8" s="34"/>
      <c r="Z8" s="41"/>
      <c r="AA8" s="41"/>
      <c r="AB8" s="41"/>
      <c r="AC8" s="41"/>
      <c r="AD8" s="41"/>
      <c r="AE8" s="41"/>
      <c r="AF8" s="35">
        <f t="shared" si="0"/>
        <v>0</v>
      </c>
      <c r="AG8" s="36">
        <f t="shared" si="1"/>
        <v>0</v>
      </c>
      <c r="AH8" s="37">
        <f t="shared" si="2"/>
        <v>0</v>
      </c>
      <c r="AI8" s="38" t="str">
        <f>IF(OR('بيانات الموظفين'!C6="",NOT(ISNUMBER('بيانات الموظفين'!G2)),AH8=0),"-",ROUND(AH8*(('بيانات الموظفين'!C6/30)/'بيانات الموظفين'!G2),2))</f>
        <v>-</v>
      </c>
      <c r="AJ8" s="39">
        <f>IF('بيانات الموظفين'!C6="","-",30-AF8-AG8*0.5)</f>
        <v>30</v>
      </c>
      <c r="AK8" s="6">
        <f>IF('بيانات الموظفين'!C6="","-",ROUND(('بيانات الموظفين'!C6/30)*AF8+(('بيانات الموظفين'!C6/30)/2)*AG8,2))</f>
        <v>0</v>
      </c>
      <c r="AL8" s="40">
        <f>IF('بيانات الموظفين'!C6="","-",ROUND('بيانات الموظفين'!C6+IF(ISNUMBER(AI8),AI8,0)-IF(ISNUMBER(AK8),AK8,0),2))</f>
        <v>3000000</v>
      </c>
    </row>
    <row r="9" spans="1:38" ht="25.5" customHeight="1" x14ac:dyDescent="0.25">
      <c r="A9" s="3" t="str">
        <f>'بيانات الموظفين'!B7</f>
        <v>حسام كبريتة</v>
      </c>
      <c r="B9" s="33"/>
      <c r="C9" s="33"/>
      <c r="D9" s="34"/>
      <c r="E9" s="33"/>
      <c r="F9" s="33"/>
      <c r="G9" s="33"/>
      <c r="H9" s="33"/>
      <c r="I9" s="33"/>
      <c r="J9" s="33"/>
      <c r="K9" s="34"/>
      <c r="L9" s="33"/>
      <c r="M9" s="33"/>
      <c r="N9" s="33"/>
      <c r="O9" s="33"/>
      <c r="P9" s="33"/>
      <c r="Q9" s="33"/>
      <c r="R9" s="34"/>
      <c r="S9" s="33"/>
      <c r="T9" s="33"/>
      <c r="U9" s="33"/>
      <c r="V9" s="33"/>
      <c r="W9" s="33"/>
      <c r="X9" s="33"/>
      <c r="Y9" s="34"/>
      <c r="Z9" s="33"/>
      <c r="AA9" s="33"/>
      <c r="AB9" s="33"/>
      <c r="AC9" s="33"/>
      <c r="AD9" s="33"/>
      <c r="AE9" s="33"/>
      <c r="AF9" s="35">
        <f t="shared" si="0"/>
        <v>0</v>
      </c>
      <c r="AG9" s="36">
        <f t="shared" si="1"/>
        <v>0</v>
      </c>
      <c r="AH9" s="37">
        <f t="shared" si="2"/>
        <v>0</v>
      </c>
      <c r="AI9" s="38" t="str">
        <f>IF(OR('بيانات الموظفين'!C7="",NOT(ISNUMBER('بيانات الموظفين'!G2)),AH9=0),"-",ROUND(AH9*(('بيانات الموظفين'!C7/30)/'بيانات الموظفين'!G2),2))</f>
        <v>-</v>
      </c>
      <c r="AJ9" s="39">
        <f>IF('بيانات الموظفين'!C7="","-",30-AF9-AG9*0.5)</f>
        <v>30</v>
      </c>
      <c r="AK9" s="6">
        <f>IF('بيانات الموظفين'!C7="","-",ROUND(('بيانات الموظفين'!C7/30)*AF9+(('بيانات الموظفين'!C7/30)/2)*AG9,2))</f>
        <v>0</v>
      </c>
      <c r="AL9" s="40">
        <f>IF('بيانات الموظفين'!C7="","-",ROUND('بيانات الموظفين'!C7+IF(ISNUMBER(AI9),AI9,0)-IF(ISNUMBER(AK9),AK9,0),2))</f>
        <v>2500000</v>
      </c>
    </row>
    <row r="10" spans="1:38" ht="25.5" customHeight="1" x14ac:dyDescent="0.25">
      <c r="A10" s="3" t="str">
        <f>'بيانات الموظفين'!B8</f>
        <v>انس المنسي</v>
      </c>
      <c r="B10" s="41"/>
      <c r="C10" s="41"/>
      <c r="D10" s="34"/>
      <c r="E10" s="41"/>
      <c r="F10" s="41"/>
      <c r="G10" s="41"/>
      <c r="H10" s="41"/>
      <c r="I10" s="41"/>
      <c r="J10" s="41"/>
      <c r="K10" s="34"/>
      <c r="L10" s="41"/>
      <c r="M10" s="41"/>
      <c r="N10" s="41"/>
      <c r="O10" s="41"/>
      <c r="P10" s="41"/>
      <c r="Q10" s="41"/>
      <c r="R10" s="34"/>
      <c r="S10" s="41"/>
      <c r="T10" s="41"/>
      <c r="U10" s="41"/>
      <c r="V10" s="41"/>
      <c r="W10" s="41"/>
      <c r="X10" s="41"/>
      <c r="Y10" s="34"/>
      <c r="Z10" s="41"/>
      <c r="AA10" s="41"/>
      <c r="AB10" s="41"/>
      <c r="AC10" s="41"/>
      <c r="AD10" s="41"/>
      <c r="AE10" s="41"/>
      <c r="AF10" s="35">
        <f t="shared" si="0"/>
        <v>0</v>
      </c>
      <c r="AG10" s="36">
        <f t="shared" si="1"/>
        <v>0</v>
      </c>
      <c r="AH10" s="37">
        <f t="shared" si="2"/>
        <v>0</v>
      </c>
      <c r="AI10" s="38" t="str">
        <f>IF(OR('بيانات الموظفين'!C8="",NOT(ISNUMBER('بيانات الموظفين'!G2)),AH10=0),"-",ROUND(AH10*(('بيانات الموظفين'!C8/30)/'بيانات الموظفين'!G2),2))</f>
        <v>-</v>
      </c>
      <c r="AJ10" s="39">
        <f>IF('بيانات الموظفين'!C8="","-",30-AF10-AG10*0.5)</f>
        <v>30</v>
      </c>
      <c r="AK10" s="6">
        <f>IF('بيانات الموظفين'!C8="","-",ROUND(('بيانات الموظفين'!C8/30)*AF10+(('بيانات الموظفين'!C8/30)/2)*AG10,2))</f>
        <v>0</v>
      </c>
      <c r="AL10" s="40">
        <f>IF('بيانات الموظفين'!C8="","-",ROUND('بيانات الموظفين'!C8+IF(ISNUMBER(AI10),AI10,0)-IF(ISNUMBER(AK10),AK10,0),2))</f>
        <v>800000</v>
      </c>
    </row>
    <row r="11" spans="1:38" ht="25.5" customHeight="1" x14ac:dyDescent="0.25">
      <c r="A11" s="3" t="str">
        <f>'بيانات الموظفين'!B9</f>
        <v>عمار مجيد</v>
      </c>
      <c r="B11" s="33"/>
      <c r="C11" s="33"/>
      <c r="D11" s="34"/>
      <c r="E11" s="33"/>
      <c r="F11" s="33"/>
      <c r="G11" s="33"/>
      <c r="H11" s="33"/>
      <c r="I11" s="33"/>
      <c r="J11" s="33"/>
      <c r="K11" s="34"/>
      <c r="L11" s="33"/>
      <c r="M11" s="33"/>
      <c r="N11" s="33"/>
      <c r="O11" s="33"/>
      <c r="P11" s="33"/>
      <c r="Q11" s="33"/>
      <c r="R11" s="34"/>
      <c r="S11" s="33"/>
      <c r="T11" s="33"/>
      <c r="U11" s="33"/>
      <c r="V11" s="33"/>
      <c r="W11" s="33"/>
      <c r="X11" s="33"/>
      <c r="Y11" s="34"/>
      <c r="Z11" s="33"/>
      <c r="AA11" s="33"/>
      <c r="AB11" s="33"/>
      <c r="AC11" s="33"/>
      <c r="AD11" s="33"/>
      <c r="AE11" s="33"/>
      <c r="AF11" s="35">
        <f t="shared" si="0"/>
        <v>0</v>
      </c>
      <c r="AG11" s="36">
        <f t="shared" si="1"/>
        <v>0</v>
      </c>
      <c r="AH11" s="37">
        <f t="shared" si="2"/>
        <v>0</v>
      </c>
      <c r="AI11" s="38" t="str">
        <f>IF(OR('بيانات الموظفين'!C9="",NOT(ISNUMBER('بيانات الموظفين'!G2)),AH11=0),"-",ROUND(AH11*(('بيانات الموظفين'!C9/30)/'بيانات الموظفين'!G2),2))</f>
        <v>-</v>
      </c>
      <c r="AJ11" s="39">
        <f>IF('بيانات الموظفين'!C9="","-",30-AF11-AG11*0.5)</f>
        <v>30</v>
      </c>
      <c r="AK11" s="6">
        <f>IF('بيانات الموظفين'!C9="","-",ROUND(('بيانات الموظفين'!C9/30)*AF11+(('بيانات الموظفين'!C9/30)/2)*AG11,2))</f>
        <v>0</v>
      </c>
      <c r="AL11" s="40">
        <f>IF('بيانات الموظفين'!C9="","-",ROUND('بيانات الموظفين'!C9+IF(ISNUMBER(AI11),AI11,0)-IF(ISNUMBER(AK11),AK11,0),2))</f>
        <v>2000000</v>
      </c>
    </row>
    <row r="12" spans="1:38" ht="25.5" customHeight="1" x14ac:dyDescent="0.25">
      <c r="A12" s="3">
        <f>'بيانات الموظفين'!B10</f>
        <v>0</v>
      </c>
      <c r="B12" s="41"/>
      <c r="C12" s="41"/>
      <c r="D12" s="34"/>
      <c r="E12" s="41"/>
      <c r="F12" s="41"/>
      <c r="G12" s="41"/>
      <c r="H12" s="41"/>
      <c r="I12" s="41"/>
      <c r="J12" s="41"/>
      <c r="K12" s="34"/>
      <c r="L12" s="41"/>
      <c r="M12" s="41"/>
      <c r="N12" s="41"/>
      <c r="O12" s="41"/>
      <c r="P12" s="41"/>
      <c r="Q12" s="41"/>
      <c r="R12" s="34"/>
      <c r="S12" s="41"/>
      <c r="T12" s="41"/>
      <c r="U12" s="41"/>
      <c r="V12" s="41"/>
      <c r="W12" s="41"/>
      <c r="X12" s="41"/>
      <c r="Y12" s="34"/>
      <c r="Z12" s="41"/>
      <c r="AA12" s="41"/>
      <c r="AB12" s="41"/>
      <c r="AC12" s="41"/>
      <c r="AD12" s="41"/>
      <c r="AE12" s="41"/>
      <c r="AF12" s="35">
        <f t="shared" si="0"/>
        <v>0</v>
      </c>
      <c r="AG12" s="36">
        <f t="shared" si="1"/>
        <v>0</v>
      </c>
      <c r="AH12" s="37">
        <f t="shared" si="2"/>
        <v>0</v>
      </c>
      <c r="AI12" s="38" t="str">
        <f>IF(OR('بيانات الموظفين'!C10="",NOT(ISNUMBER('بيانات الموظفين'!G2)),AH12=0),"-",ROUND(AH12*(('بيانات الموظفين'!C10/30)/'بيانات الموظفين'!G2),2))</f>
        <v>-</v>
      </c>
      <c r="AJ12" s="39" t="str">
        <f>IF('بيانات الموظفين'!C10="","-",30-AF12-AG12*0.5)</f>
        <v>-</v>
      </c>
      <c r="AK12" s="6" t="str">
        <f>IF('بيانات الموظفين'!C10="","-",ROUND(('بيانات الموظفين'!C10/30)*AF12+(('بيانات الموظفين'!C10/30)/2)*AG12,2))</f>
        <v>-</v>
      </c>
      <c r="AL12" s="40" t="str">
        <f>IF('بيانات الموظفين'!C10="","-",ROUND('بيانات الموظفين'!C10+IF(ISNUMBER(AI12),AI12,0)-IF(ISNUMBER(AK12),AK12,0),2))</f>
        <v>-</v>
      </c>
    </row>
    <row r="13" spans="1:38" ht="25.5" customHeight="1" x14ac:dyDescent="0.25">
      <c r="A13" s="3">
        <f>'بيانات الموظفين'!B11</f>
        <v>0</v>
      </c>
      <c r="B13" s="33"/>
      <c r="C13" s="33"/>
      <c r="D13" s="34"/>
      <c r="E13" s="33"/>
      <c r="F13" s="33"/>
      <c r="G13" s="33"/>
      <c r="H13" s="33"/>
      <c r="I13" s="33"/>
      <c r="J13" s="33"/>
      <c r="K13" s="34"/>
      <c r="L13" s="33"/>
      <c r="M13" s="33"/>
      <c r="N13" s="33"/>
      <c r="O13" s="33"/>
      <c r="P13" s="33"/>
      <c r="Q13" s="33"/>
      <c r="R13" s="34"/>
      <c r="S13" s="33"/>
      <c r="T13" s="33"/>
      <c r="U13" s="33"/>
      <c r="V13" s="33"/>
      <c r="W13" s="33"/>
      <c r="X13" s="33"/>
      <c r="Y13" s="34"/>
      <c r="Z13" s="33"/>
      <c r="AA13" s="33"/>
      <c r="AB13" s="33"/>
      <c r="AC13" s="33"/>
      <c r="AD13" s="33"/>
      <c r="AE13" s="33"/>
      <c r="AF13" s="35">
        <f t="shared" si="0"/>
        <v>0</v>
      </c>
      <c r="AG13" s="36">
        <f t="shared" si="1"/>
        <v>0</v>
      </c>
      <c r="AH13" s="37">
        <f t="shared" si="2"/>
        <v>0</v>
      </c>
      <c r="AI13" s="38" t="str">
        <f>IF(OR('بيانات الموظفين'!C11="",NOT(ISNUMBER('بيانات الموظفين'!G2)),AH13=0),"-",ROUND(AH13*(('بيانات الموظفين'!C11/30)/'بيانات الموظفين'!G2),2))</f>
        <v>-</v>
      </c>
      <c r="AJ13" s="39" t="str">
        <f>IF('بيانات الموظفين'!C11="","-",30-AF13-AG13*0.5)</f>
        <v>-</v>
      </c>
      <c r="AK13" s="6" t="str">
        <f>IF('بيانات الموظفين'!C11="","-",ROUND(('بيانات الموظفين'!C11/30)*AF13+(('بيانات الموظفين'!C11/30)/2)*AG13,2))</f>
        <v>-</v>
      </c>
      <c r="AL13" s="40" t="str">
        <f>IF('بيانات الموظفين'!C11="","-",ROUND('بيانات الموظفين'!C11+IF(ISNUMBER(AI13),AI13,0)-IF(ISNUMBER(AK13),AK13,0),2))</f>
        <v>-</v>
      </c>
    </row>
    <row r="14" spans="1:38" ht="25.5" customHeight="1" x14ac:dyDescent="0.25">
      <c r="A14" s="3">
        <f>'بيانات الموظفين'!B12</f>
        <v>0</v>
      </c>
      <c r="B14" s="41"/>
      <c r="C14" s="41"/>
      <c r="D14" s="34"/>
      <c r="E14" s="41"/>
      <c r="F14" s="41"/>
      <c r="G14" s="41"/>
      <c r="H14" s="41"/>
      <c r="I14" s="41"/>
      <c r="J14" s="41"/>
      <c r="K14" s="34"/>
      <c r="L14" s="41"/>
      <c r="M14" s="41"/>
      <c r="N14" s="41"/>
      <c r="O14" s="41"/>
      <c r="P14" s="41"/>
      <c r="Q14" s="41"/>
      <c r="R14" s="34"/>
      <c r="S14" s="41"/>
      <c r="T14" s="41"/>
      <c r="U14" s="41"/>
      <c r="V14" s="41"/>
      <c r="W14" s="41"/>
      <c r="X14" s="41"/>
      <c r="Y14" s="34"/>
      <c r="Z14" s="41"/>
      <c r="AA14" s="41"/>
      <c r="AB14" s="41"/>
      <c r="AC14" s="41"/>
      <c r="AD14" s="41"/>
      <c r="AE14" s="41"/>
      <c r="AF14" s="35">
        <f t="shared" si="0"/>
        <v>0</v>
      </c>
      <c r="AG14" s="36">
        <f t="shared" si="1"/>
        <v>0</v>
      </c>
      <c r="AH14" s="37">
        <f t="shared" si="2"/>
        <v>0</v>
      </c>
      <c r="AI14" s="38" t="str">
        <f>IF(OR('بيانات الموظفين'!C12="",NOT(ISNUMBER('بيانات الموظفين'!G2)),AH14=0),"-",ROUND(AH14*(('بيانات الموظفين'!C12/30)/'بيانات الموظفين'!G2),2))</f>
        <v>-</v>
      </c>
      <c r="AJ14" s="39" t="str">
        <f>IF('بيانات الموظفين'!C12="","-",30-AF14-AG14*0.5)</f>
        <v>-</v>
      </c>
      <c r="AK14" s="6" t="str">
        <f>IF('بيانات الموظفين'!C12="","-",ROUND(('بيانات الموظفين'!C12/30)*AF14+(('بيانات الموظفين'!C12/30)/2)*AG14,2))</f>
        <v>-</v>
      </c>
      <c r="AL14" s="40" t="str">
        <f>IF('بيانات الموظفين'!C12="","-",ROUND('بيانات الموظفين'!C12+IF(ISNUMBER(AI14),AI14,0)-IF(ISNUMBER(AK14),AK14,0),2))</f>
        <v>-</v>
      </c>
    </row>
    <row r="15" spans="1:38" ht="25.5" customHeight="1" x14ac:dyDescent="0.25">
      <c r="A15" s="3">
        <f>'بيانات الموظفين'!B13</f>
        <v>0</v>
      </c>
      <c r="B15" s="33"/>
      <c r="C15" s="33"/>
      <c r="D15" s="34"/>
      <c r="E15" s="33"/>
      <c r="F15" s="33"/>
      <c r="G15" s="33"/>
      <c r="H15" s="33"/>
      <c r="I15" s="33"/>
      <c r="J15" s="33"/>
      <c r="K15" s="34"/>
      <c r="L15" s="33"/>
      <c r="M15" s="33"/>
      <c r="N15" s="33"/>
      <c r="O15" s="33"/>
      <c r="P15" s="33"/>
      <c r="Q15" s="33"/>
      <c r="R15" s="34"/>
      <c r="S15" s="33"/>
      <c r="T15" s="33"/>
      <c r="U15" s="33"/>
      <c r="V15" s="33"/>
      <c r="W15" s="33"/>
      <c r="X15" s="33"/>
      <c r="Y15" s="34"/>
      <c r="Z15" s="33"/>
      <c r="AA15" s="33"/>
      <c r="AB15" s="33"/>
      <c r="AC15" s="33"/>
      <c r="AD15" s="33"/>
      <c r="AE15" s="33"/>
      <c r="AF15" s="35">
        <f t="shared" si="0"/>
        <v>0</v>
      </c>
      <c r="AG15" s="36">
        <f t="shared" si="1"/>
        <v>0</v>
      </c>
      <c r="AH15" s="37">
        <f t="shared" si="2"/>
        <v>0</v>
      </c>
      <c r="AI15" s="38" t="str">
        <f>IF(OR('بيانات الموظفين'!C13="",NOT(ISNUMBER('بيانات الموظفين'!G2)),AH15=0),"-",ROUND(AH15*(('بيانات الموظفين'!C13/30)/'بيانات الموظفين'!G2),2))</f>
        <v>-</v>
      </c>
      <c r="AJ15" s="39" t="str">
        <f>IF('بيانات الموظفين'!C13="","-",30-AF15-AG15*0.5)</f>
        <v>-</v>
      </c>
      <c r="AK15" s="6" t="str">
        <f>IF('بيانات الموظفين'!C13="","-",ROUND(('بيانات الموظفين'!C13/30)*AF15+(('بيانات الموظفين'!C13/30)/2)*AG15,2))</f>
        <v>-</v>
      </c>
      <c r="AL15" s="40" t="str">
        <f>IF('بيانات الموظفين'!C13="","-",ROUND('بيانات الموظفين'!C13+IF(ISNUMBER(AI15),AI15,0)-IF(ISNUMBER(AK15),AK15,0),2))</f>
        <v>-</v>
      </c>
    </row>
    <row r="16" spans="1:38" ht="25.5" customHeight="1" x14ac:dyDescent="0.25">
      <c r="A16" s="3">
        <f>'بيانات الموظفين'!B14</f>
        <v>0</v>
      </c>
      <c r="B16" s="41"/>
      <c r="C16" s="41"/>
      <c r="D16" s="34"/>
      <c r="E16" s="41"/>
      <c r="F16" s="41"/>
      <c r="G16" s="41"/>
      <c r="H16" s="41"/>
      <c r="I16" s="41"/>
      <c r="J16" s="41"/>
      <c r="K16" s="34"/>
      <c r="L16" s="41"/>
      <c r="M16" s="41"/>
      <c r="N16" s="41"/>
      <c r="O16" s="41"/>
      <c r="P16" s="41"/>
      <c r="Q16" s="41"/>
      <c r="R16" s="34"/>
      <c r="S16" s="41"/>
      <c r="T16" s="41"/>
      <c r="U16" s="41"/>
      <c r="V16" s="41"/>
      <c r="W16" s="41"/>
      <c r="X16" s="41"/>
      <c r="Y16" s="34"/>
      <c r="Z16" s="41"/>
      <c r="AA16" s="41"/>
      <c r="AB16" s="41"/>
      <c r="AC16" s="41"/>
      <c r="AD16" s="41"/>
      <c r="AE16" s="41"/>
      <c r="AF16" s="35">
        <f t="shared" si="0"/>
        <v>0</v>
      </c>
      <c r="AG16" s="36">
        <f t="shared" si="1"/>
        <v>0</v>
      </c>
      <c r="AH16" s="37">
        <f t="shared" si="2"/>
        <v>0</v>
      </c>
      <c r="AI16" s="38" t="str">
        <f>IF(OR('بيانات الموظفين'!C14="",NOT(ISNUMBER('بيانات الموظفين'!G2)),AH16=0),"-",ROUND(AH16*(('بيانات الموظفين'!C14/30)/'بيانات الموظفين'!G2),2))</f>
        <v>-</v>
      </c>
      <c r="AJ16" s="39" t="str">
        <f>IF('بيانات الموظفين'!C14="","-",30-AF16-AG16*0.5)</f>
        <v>-</v>
      </c>
      <c r="AK16" s="6" t="str">
        <f>IF('بيانات الموظفين'!C14="","-",ROUND(('بيانات الموظفين'!C14/30)*AF16+(('بيانات الموظفين'!C14/30)/2)*AG16,2))</f>
        <v>-</v>
      </c>
      <c r="AL16" s="40" t="str">
        <f>IF('بيانات الموظفين'!C14="","-",ROUND('بيانات الموظفين'!C14+IF(ISNUMBER(AI16),AI16,0)-IF(ISNUMBER(AK16),AK16,0),2))</f>
        <v>-</v>
      </c>
    </row>
    <row r="17" spans="1:38" ht="25.5" customHeight="1" x14ac:dyDescent="0.25">
      <c r="A17" s="1" t="s">
        <v>77</v>
      </c>
      <c r="B17" s="42">
        <f t="shared" ref="B17:AE17" si="3">COUNTIF(B7:B16,"غ")+COUNTIF(B7:B16,"نصف")*0.5</f>
        <v>0</v>
      </c>
      <c r="C17" s="42">
        <f t="shared" si="3"/>
        <v>0</v>
      </c>
      <c r="D17" s="42">
        <f t="shared" si="3"/>
        <v>0</v>
      </c>
      <c r="E17" s="42">
        <f t="shared" si="3"/>
        <v>0</v>
      </c>
      <c r="F17" s="42">
        <f t="shared" si="3"/>
        <v>0</v>
      </c>
      <c r="G17" s="42">
        <f t="shared" si="3"/>
        <v>0</v>
      </c>
      <c r="H17" s="42">
        <f t="shared" si="3"/>
        <v>0</v>
      </c>
      <c r="I17" s="42">
        <f t="shared" si="3"/>
        <v>0</v>
      </c>
      <c r="J17" s="42">
        <f t="shared" si="3"/>
        <v>0</v>
      </c>
      <c r="K17" s="42">
        <f t="shared" si="3"/>
        <v>0</v>
      </c>
      <c r="L17" s="42">
        <f t="shared" si="3"/>
        <v>0</v>
      </c>
      <c r="M17" s="42">
        <f t="shared" si="3"/>
        <v>0</v>
      </c>
      <c r="N17" s="42">
        <f t="shared" si="3"/>
        <v>0</v>
      </c>
      <c r="O17" s="42">
        <f t="shared" si="3"/>
        <v>0</v>
      </c>
      <c r="P17" s="42">
        <f t="shared" si="3"/>
        <v>0</v>
      </c>
      <c r="Q17" s="42">
        <f t="shared" si="3"/>
        <v>0</v>
      </c>
      <c r="R17" s="42">
        <f t="shared" si="3"/>
        <v>0</v>
      </c>
      <c r="S17" s="42">
        <f t="shared" si="3"/>
        <v>0</v>
      </c>
      <c r="T17" s="42">
        <f t="shared" si="3"/>
        <v>0</v>
      </c>
      <c r="U17" s="42">
        <f t="shared" si="3"/>
        <v>0</v>
      </c>
      <c r="V17" s="42">
        <f t="shared" si="3"/>
        <v>0</v>
      </c>
      <c r="W17" s="42">
        <f t="shared" si="3"/>
        <v>0</v>
      </c>
      <c r="X17" s="42">
        <f t="shared" si="3"/>
        <v>0</v>
      </c>
      <c r="Y17" s="42">
        <f t="shared" si="3"/>
        <v>0</v>
      </c>
      <c r="Z17" s="42">
        <f t="shared" si="3"/>
        <v>0</v>
      </c>
      <c r="AA17" s="42">
        <f t="shared" si="3"/>
        <v>0</v>
      </c>
      <c r="AB17" s="42">
        <f t="shared" si="3"/>
        <v>0</v>
      </c>
      <c r="AC17" s="42">
        <f t="shared" si="3"/>
        <v>0</v>
      </c>
      <c r="AD17" s="42">
        <f t="shared" si="3"/>
        <v>0</v>
      </c>
      <c r="AE17" s="42">
        <f t="shared" si="3"/>
        <v>0</v>
      </c>
      <c r="AF17" s="43">
        <f>SUM(AF7:AF16)</f>
        <v>0</v>
      </c>
      <c r="AG17" s="43">
        <f>SUM(AG7:AG16)</f>
        <v>0</v>
      </c>
      <c r="AH17" s="43">
        <f>SUM(AH7:AH16)</f>
        <v>0</v>
      </c>
      <c r="AI17" s="44">
        <f>SUM(AI7:AI16)</f>
        <v>0</v>
      </c>
      <c r="AJ17" s="45"/>
      <c r="AK17" s="44">
        <f>SUM(AK7:AK16)</f>
        <v>0</v>
      </c>
      <c r="AL17" s="44">
        <f>SUM(AL7:AL16)</f>
        <v>15300000</v>
      </c>
    </row>
    <row r="18" spans="1:38" ht="9.75" customHeight="1" x14ac:dyDescent="0.25"/>
    <row r="19" spans="1:38" ht="31.5" customHeight="1" x14ac:dyDescent="0.25">
      <c r="A19" s="50" t="s">
        <v>78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</row>
    <row r="20" spans="1:38" ht="27.75" customHeight="1" x14ac:dyDescent="0.25">
      <c r="A20" s="1" t="s">
        <v>2</v>
      </c>
      <c r="B20" s="1" t="s">
        <v>3</v>
      </c>
      <c r="C20" s="1" t="s">
        <v>63</v>
      </c>
      <c r="D20" s="1" t="s">
        <v>64</v>
      </c>
      <c r="E20" s="1" t="s">
        <v>65</v>
      </c>
      <c r="F20" s="1" t="s">
        <v>66</v>
      </c>
      <c r="G20" s="1" t="s">
        <v>67</v>
      </c>
      <c r="H20" s="1" t="s">
        <v>68</v>
      </c>
      <c r="I20" s="1" t="s">
        <v>69</v>
      </c>
    </row>
    <row r="21" spans="1:38" ht="24" customHeight="1" x14ac:dyDescent="0.25">
      <c r="A21" s="2">
        <v>1</v>
      </c>
      <c r="B21" s="3" t="str">
        <f>'بيانات الموظفين'!B5</f>
        <v xml:space="preserve">أبو بكر </v>
      </c>
      <c r="C21" s="4">
        <f>IF('بيانات الموظفين'!C5="","-",'بيانات الموظفين'!C5)</f>
        <v>7000000</v>
      </c>
      <c r="D21" s="46">
        <f t="shared" ref="D21:D30" si="4">AF7</f>
        <v>0</v>
      </c>
      <c r="E21" s="47">
        <f t="shared" ref="E21:E30" si="5">AG7</f>
        <v>0</v>
      </c>
      <c r="F21" s="6">
        <f t="shared" ref="F21:F30" si="6">AK7</f>
        <v>0</v>
      </c>
      <c r="G21" s="48">
        <f t="shared" ref="G21:G30" si="7">AH7</f>
        <v>0</v>
      </c>
      <c r="H21" s="38" t="str">
        <f t="shared" ref="H21:H30" si="8">AI7</f>
        <v>-</v>
      </c>
      <c r="I21" s="40">
        <f t="shared" ref="I21:I30" si="9">AL7</f>
        <v>7000000</v>
      </c>
    </row>
    <row r="22" spans="1:38" ht="24" customHeight="1" x14ac:dyDescent="0.25">
      <c r="A22" s="8">
        <v>2</v>
      </c>
      <c r="B22" s="3" t="str">
        <f>'بيانات الموظفين'!B6</f>
        <v>هيثم صمادي</v>
      </c>
      <c r="C22" s="9">
        <f>IF('بيانات الموظفين'!C6="","-",'بيانات الموظفين'!C6)</f>
        <v>3000000</v>
      </c>
      <c r="D22" s="46">
        <f t="shared" si="4"/>
        <v>0</v>
      </c>
      <c r="E22" s="47">
        <f t="shared" si="5"/>
        <v>0</v>
      </c>
      <c r="F22" s="6">
        <f t="shared" si="6"/>
        <v>0</v>
      </c>
      <c r="G22" s="48">
        <f t="shared" si="7"/>
        <v>0</v>
      </c>
      <c r="H22" s="38" t="str">
        <f t="shared" si="8"/>
        <v>-</v>
      </c>
      <c r="I22" s="40">
        <f t="shared" si="9"/>
        <v>3000000</v>
      </c>
    </row>
    <row r="23" spans="1:38" ht="24" customHeight="1" x14ac:dyDescent="0.25">
      <c r="A23" s="2">
        <v>3</v>
      </c>
      <c r="B23" s="3" t="str">
        <f>'بيانات الموظفين'!B7</f>
        <v>حسام كبريتة</v>
      </c>
      <c r="C23" s="4">
        <f>IF('بيانات الموظفين'!C7="","-",'بيانات الموظفين'!C7)</f>
        <v>2500000</v>
      </c>
      <c r="D23" s="46">
        <f t="shared" si="4"/>
        <v>0</v>
      </c>
      <c r="E23" s="47">
        <f t="shared" si="5"/>
        <v>0</v>
      </c>
      <c r="F23" s="6">
        <f t="shared" si="6"/>
        <v>0</v>
      </c>
      <c r="G23" s="48">
        <f t="shared" si="7"/>
        <v>0</v>
      </c>
      <c r="H23" s="38" t="str">
        <f t="shared" si="8"/>
        <v>-</v>
      </c>
      <c r="I23" s="40">
        <f t="shared" si="9"/>
        <v>2500000</v>
      </c>
    </row>
    <row r="24" spans="1:38" ht="24" customHeight="1" x14ac:dyDescent="0.25">
      <c r="A24" s="8">
        <v>4</v>
      </c>
      <c r="B24" s="3" t="str">
        <f>'بيانات الموظفين'!B8</f>
        <v>انس المنسي</v>
      </c>
      <c r="C24" s="9">
        <f>IF('بيانات الموظفين'!C8="","-",'بيانات الموظفين'!C8)</f>
        <v>800000</v>
      </c>
      <c r="D24" s="46">
        <f t="shared" si="4"/>
        <v>0</v>
      </c>
      <c r="E24" s="47">
        <f t="shared" si="5"/>
        <v>0</v>
      </c>
      <c r="F24" s="6">
        <f t="shared" si="6"/>
        <v>0</v>
      </c>
      <c r="G24" s="48">
        <f t="shared" si="7"/>
        <v>0</v>
      </c>
      <c r="H24" s="38" t="str">
        <f t="shared" si="8"/>
        <v>-</v>
      </c>
      <c r="I24" s="40">
        <f t="shared" si="9"/>
        <v>800000</v>
      </c>
    </row>
    <row r="25" spans="1:38" ht="24" customHeight="1" x14ac:dyDescent="0.25">
      <c r="A25" s="2">
        <v>5</v>
      </c>
      <c r="B25" s="3" t="str">
        <f>'بيانات الموظفين'!B9</f>
        <v>عمار مجيد</v>
      </c>
      <c r="C25" s="4">
        <f>IF('بيانات الموظفين'!C9="","-",'بيانات الموظفين'!C9)</f>
        <v>2000000</v>
      </c>
      <c r="D25" s="46">
        <f t="shared" si="4"/>
        <v>0</v>
      </c>
      <c r="E25" s="47">
        <f t="shared" si="5"/>
        <v>0</v>
      </c>
      <c r="F25" s="6">
        <f t="shared" si="6"/>
        <v>0</v>
      </c>
      <c r="G25" s="48">
        <f t="shared" si="7"/>
        <v>0</v>
      </c>
      <c r="H25" s="38" t="str">
        <f t="shared" si="8"/>
        <v>-</v>
      </c>
      <c r="I25" s="40">
        <f t="shared" si="9"/>
        <v>2000000</v>
      </c>
    </row>
    <row r="26" spans="1:38" ht="24" customHeight="1" x14ac:dyDescent="0.25">
      <c r="A26" s="8">
        <v>6</v>
      </c>
      <c r="B26" s="3">
        <f>'بيانات الموظفين'!B10</f>
        <v>0</v>
      </c>
      <c r="C26" s="9" t="str">
        <f>IF('بيانات الموظفين'!C10="","-",'بيانات الموظفين'!C10)</f>
        <v>-</v>
      </c>
      <c r="D26" s="46">
        <f t="shared" si="4"/>
        <v>0</v>
      </c>
      <c r="E26" s="47">
        <f t="shared" si="5"/>
        <v>0</v>
      </c>
      <c r="F26" s="6" t="str">
        <f t="shared" si="6"/>
        <v>-</v>
      </c>
      <c r="G26" s="48">
        <f t="shared" si="7"/>
        <v>0</v>
      </c>
      <c r="H26" s="38" t="str">
        <f t="shared" si="8"/>
        <v>-</v>
      </c>
      <c r="I26" s="40" t="str">
        <f t="shared" si="9"/>
        <v>-</v>
      </c>
    </row>
    <row r="27" spans="1:38" ht="24" customHeight="1" x14ac:dyDescent="0.25">
      <c r="A27" s="2">
        <v>7</v>
      </c>
      <c r="B27" s="3">
        <f>'بيانات الموظفين'!B11</f>
        <v>0</v>
      </c>
      <c r="C27" s="4" t="str">
        <f>IF('بيانات الموظفين'!C11="","-",'بيانات الموظفين'!C11)</f>
        <v>-</v>
      </c>
      <c r="D27" s="46">
        <f t="shared" si="4"/>
        <v>0</v>
      </c>
      <c r="E27" s="47">
        <f t="shared" si="5"/>
        <v>0</v>
      </c>
      <c r="F27" s="6" t="str">
        <f t="shared" si="6"/>
        <v>-</v>
      </c>
      <c r="G27" s="48">
        <f t="shared" si="7"/>
        <v>0</v>
      </c>
      <c r="H27" s="38" t="str">
        <f t="shared" si="8"/>
        <v>-</v>
      </c>
      <c r="I27" s="40" t="str">
        <f t="shared" si="9"/>
        <v>-</v>
      </c>
    </row>
    <row r="28" spans="1:38" ht="24" customHeight="1" x14ac:dyDescent="0.25">
      <c r="A28" s="8">
        <v>8</v>
      </c>
      <c r="B28" s="3">
        <f>'بيانات الموظفين'!B12</f>
        <v>0</v>
      </c>
      <c r="C28" s="9" t="str">
        <f>IF('بيانات الموظفين'!C12="","-",'بيانات الموظفين'!C12)</f>
        <v>-</v>
      </c>
      <c r="D28" s="46">
        <f t="shared" si="4"/>
        <v>0</v>
      </c>
      <c r="E28" s="47">
        <f t="shared" si="5"/>
        <v>0</v>
      </c>
      <c r="F28" s="6" t="str">
        <f t="shared" si="6"/>
        <v>-</v>
      </c>
      <c r="G28" s="48">
        <f t="shared" si="7"/>
        <v>0</v>
      </c>
      <c r="H28" s="38" t="str">
        <f t="shared" si="8"/>
        <v>-</v>
      </c>
      <c r="I28" s="40" t="str">
        <f t="shared" si="9"/>
        <v>-</v>
      </c>
    </row>
    <row r="29" spans="1:38" ht="24" customHeight="1" x14ac:dyDescent="0.25">
      <c r="A29" s="2">
        <v>9</v>
      </c>
      <c r="B29" s="3">
        <f>'بيانات الموظفين'!B13</f>
        <v>0</v>
      </c>
      <c r="C29" s="4" t="str">
        <f>IF('بيانات الموظفين'!C13="","-",'بيانات الموظفين'!C13)</f>
        <v>-</v>
      </c>
      <c r="D29" s="46">
        <f t="shared" si="4"/>
        <v>0</v>
      </c>
      <c r="E29" s="47">
        <f t="shared" si="5"/>
        <v>0</v>
      </c>
      <c r="F29" s="6" t="str">
        <f t="shared" si="6"/>
        <v>-</v>
      </c>
      <c r="G29" s="48">
        <f t="shared" si="7"/>
        <v>0</v>
      </c>
      <c r="H29" s="38" t="str">
        <f t="shared" si="8"/>
        <v>-</v>
      </c>
      <c r="I29" s="40" t="str">
        <f t="shared" si="9"/>
        <v>-</v>
      </c>
    </row>
    <row r="30" spans="1:38" ht="24" customHeight="1" x14ac:dyDescent="0.25">
      <c r="A30" s="8">
        <v>10</v>
      </c>
      <c r="B30" s="3">
        <f>'بيانات الموظفين'!B14</f>
        <v>0</v>
      </c>
      <c r="C30" s="9" t="str">
        <f>IF('بيانات الموظفين'!C14="","-",'بيانات الموظفين'!C14)</f>
        <v>-</v>
      </c>
      <c r="D30" s="46">
        <f t="shared" si="4"/>
        <v>0</v>
      </c>
      <c r="E30" s="47">
        <f t="shared" si="5"/>
        <v>0</v>
      </c>
      <c r="F30" s="6" t="str">
        <f t="shared" si="6"/>
        <v>-</v>
      </c>
      <c r="G30" s="48">
        <f t="shared" si="7"/>
        <v>0</v>
      </c>
      <c r="H30" s="38" t="str">
        <f t="shared" si="8"/>
        <v>-</v>
      </c>
      <c r="I30" s="40" t="str">
        <f t="shared" si="9"/>
        <v>-</v>
      </c>
    </row>
    <row r="31" spans="1:38" ht="27.75" customHeight="1" x14ac:dyDescent="0.25">
      <c r="A31" s="51" t="s">
        <v>19</v>
      </c>
      <c r="B31" s="51"/>
      <c r="C31" s="11">
        <f t="shared" ref="C31:I31" si="10">SUM(C21:C30)</f>
        <v>15300000</v>
      </c>
      <c r="D31" s="49">
        <f t="shared" si="10"/>
        <v>0</v>
      </c>
      <c r="E31" s="49">
        <f t="shared" si="10"/>
        <v>0</v>
      </c>
      <c r="F31" s="12">
        <f t="shared" si="10"/>
        <v>0</v>
      </c>
      <c r="G31" s="49">
        <f t="shared" si="10"/>
        <v>0</v>
      </c>
      <c r="H31" s="12">
        <f t="shared" si="10"/>
        <v>0</v>
      </c>
      <c r="I31" s="12">
        <f t="shared" si="10"/>
        <v>15300000</v>
      </c>
    </row>
  </sheetData>
  <mergeCells count="12">
    <mergeCell ref="A19:AL19"/>
    <mergeCell ref="A31:B31"/>
    <mergeCell ref="A1:AL1"/>
    <mergeCell ref="A2:AL2"/>
    <mergeCell ref="A4:A5"/>
    <mergeCell ref="AF4:AF5"/>
    <mergeCell ref="AG4:AG5"/>
    <mergeCell ref="AH4:AH5"/>
    <mergeCell ref="AI4:AI5"/>
    <mergeCell ref="AJ4:AJ5"/>
    <mergeCell ref="AK4:AK5"/>
    <mergeCell ref="AL4:AL5"/>
  </mergeCells>
  <pageMargins left="0.75" right="0.75" top="1" bottom="1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M31"/>
  <sheetViews>
    <sheetView rightToLeft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AM1"/>
    </sheetView>
  </sheetViews>
  <sheetFormatPr defaultColWidth="8.7109375" defaultRowHeight="15" x14ac:dyDescent="0.25"/>
  <cols>
    <col min="1" max="1" width="26" customWidth="1"/>
    <col min="2" max="32" width="10" customWidth="1"/>
    <col min="33" max="39" width="15" customWidth="1"/>
  </cols>
  <sheetData>
    <row r="1" spans="1:39" ht="36" customHeight="1" x14ac:dyDescent="0.25">
      <c r="A1" s="52" t="s">
        <v>79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</row>
    <row r="2" spans="1:39" ht="18" customHeight="1" x14ac:dyDescent="0.25">
      <c r="A2" s="53" t="s">
        <v>46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</row>
    <row r="3" spans="1:39" ht="6" customHeight="1" x14ac:dyDescent="0.25"/>
    <row r="4" spans="1:39" ht="30" customHeight="1" x14ac:dyDescent="0.25">
      <c r="A4" s="54" t="s">
        <v>3</v>
      </c>
      <c r="B4" s="30" t="s">
        <v>48</v>
      </c>
      <c r="C4" s="29" t="s">
        <v>49</v>
      </c>
      <c r="D4" s="29" t="s">
        <v>50</v>
      </c>
      <c r="E4" s="29" t="s">
        <v>51</v>
      </c>
      <c r="F4" s="29" t="s">
        <v>52</v>
      </c>
      <c r="G4" s="29" t="s">
        <v>53</v>
      </c>
      <c r="H4" s="29" t="s">
        <v>47</v>
      </c>
      <c r="I4" s="30" t="s">
        <v>48</v>
      </c>
      <c r="J4" s="29" t="s">
        <v>49</v>
      </c>
      <c r="K4" s="29" t="s">
        <v>50</v>
      </c>
      <c r="L4" s="29" t="s">
        <v>51</v>
      </c>
      <c r="M4" s="29" t="s">
        <v>52</v>
      </c>
      <c r="N4" s="29" t="s">
        <v>53</v>
      </c>
      <c r="O4" s="29" t="s">
        <v>47</v>
      </c>
      <c r="P4" s="30" t="s">
        <v>48</v>
      </c>
      <c r="Q4" s="29" t="s">
        <v>49</v>
      </c>
      <c r="R4" s="29" t="s">
        <v>50</v>
      </c>
      <c r="S4" s="29" t="s">
        <v>51</v>
      </c>
      <c r="T4" s="29" t="s">
        <v>52</v>
      </c>
      <c r="U4" s="29" t="s">
        <v>53</v>
      </c>
      <c r="V4" s="29" t="s">
        <v>47</v>
      </c>
      <c r="W4" s="30" t="s">
        <v>48</v>
      </c>
      <c r="X4" s="29" t="s">
        <v>49</v>
      </c>
      <c r="Y4" s="29" t="s">
        <v>50</v>
      </c>
      <c r="Z4" s="29" t="s">
        <v>51</v>
      </c>
      <c r="AA4" s="29" t="s">
        <v>52</v>
      </c>
      <c r="AB4" s="29" t="s">
        <v>53</v>
      </c>
      <c r="AC4" s="29" t="s">
        <v>47</v>
      </c>
      <c r="AD4" s="30" t="s">
        <v>48</v>
      </c>
      <c r="AE4" s="29" t="s">
        <v>49</v>
      </c>
      <c r="AF4" s="29" t="s">
        <v>50</v>
      </c>
      <c r="AG4" s="55" t="s">
        <v>54</v>
      </c>
      <c r="AH4" s="56" t="s">
        <v>55</v>
      </c>
      <c r="AI4" s="57" t="s">
        <v>56</v>
      </c>
      <c r="AJ4" s="58" t="s">
        <v>57</v>
      </c>
      <c r="AK4" s="59" t="s">
        <v>58</v>
      </c>
      <c r="AL4" s="60" t="s">
        <v>59</v>
      </c>
      <c r="AM4" s="59" t="s">
        <v>60</v>
      </c>
    </row>
    <row r="5" spans="1:39" ht="19.5" customHeight="1" x14ac:dyDescent="0.25">
      <c r="A5" s="54"/>
      <c r="B5" s="32">
        <v>1</v>
      </c>
      <c r="C5" s="31">
        <v>2</v>
      </c>
      <c r="D5" s="31">
        <v>3</v>
      </c>
      <c r="E5" s="31">
        <v>4</v>
      </c>
      <c r="F5" s="31">
        <v>5</v>
      </c>
      <c r="G5" s="31">
        <v>6</v>
      </c>
      <c r="H5" s="31">
        <v>7</v>
      </c>
      <c r="I5" s="32">
        <v>8</v>
      </c>
      <c r="J5" s="31">
        <v>9</v>
      </c>
      <c r="K5" s="31">
        <v>10</v>
      </c>
      <c r="L5" s="31">
        <v>11</v>
      </c>
      <c r="M5" s="31">
        <v>12</v>
      </c>
      <c r="N5" s="31">
        <v>13</v>
      </c>
      <c r="O5" s="31">
        <v>14</v>
      </c>
      <c r="P5" s="32">
        <v>15</v>
      </c>
      <c r="Q5" s="31">
        <v>16</v>
      </c>
      <c r="R5" s="31">
        <v>17</v>
      </c>
      <c r="S5" s="31">
        <v>18</v>
      </c>
      <c r="T5" s="31">
        <v>19</v>
      </c>
      <c r="U5" s="31">
        <v>20</v>
      </c>
      <c r="V5" s="31">
        <v>21</v>
      </c>
      <c r="W5" s="32">
        <v>22</v>
      </c>
      <c r="X5" s="31">
        <v>23</v>
      </c>
      <c r="Y5" s="31">
        <v>24</v>
      </c>
      <c r="Z5" s="31">
        <v>25</v>
      </c>
      <c r="AA5" s="31">
        <v>26</v>
      </c>
      <c r="AB5" s="31">
        <v>27</v>
      </c>
      <c r="AC5" s="31">
        <v>28</v>
      </c>
      <c r="AD5" s="32">
        <v>29</v>
      </c>
      <c r="AE5" s="31">
        <v>30</v>
      </c>
      <c r="AF5" s="31">
        <v>31</v>
      </c>
      <c r="AG5" s="55"/>
      <c r="AH5" s="55"/>
      <c r="AI5" s="55"/>
      <c r="AJ5" s="55"/>
      <c r="AK5" s="55"/>
      <c r="AL5" s="55"/>
      <c r="AM5" s="55"/>
    </row>
    <row r="6" spans="1:39" ht="4.5" customHeight="1" x14ac:dyDescent="0.25"/>
    <row r="7" spans="1:39" ht="25.5" customHeight="1" x14ac:dyDescent="0.25">
      <c r="A7" s="3" t="str">
        <f>'بيانات الموظفين'!B5</f>
        <v xml:space="preserve">أبو بكر </v>
      </c>
      <c r="B7" s="34"/>
      <c r="C7" s="33"/>
      <c r="D7" s="33"/>
      <c r="E7" s="33"/>
      <c r="F7" s="33"/>
      <c r="G7" s="33"/>
      <c r="H7" s="33"/>
      <c r="I7" s="34"/>
      <c r="J7" s="33"/>
      <c r="K7" s="33"/>
      <c r="L7" s="33"/>
      <c r="M7" s="33"/>
      <c r="N7" s="33"/>
      <c r="O7" s="33"/>
      <c r="P7" s="34"/>
      <c r="Q7" s="33"/>
      <c r="R7" s="33"/>
      <c r="S7" s="33"/>
      <c r="T7" s="33"/>
      <c r="U7" s="33"/>
      <c r="V7" s="33"/>
      <c r="W7" s="34"/>
      <c r="X7" s="33"/>
      <c r="Y7" s="33"/>
      <c r="Z7" s="33"/>
      <c r="AA7" s="33"/>
      <c r="AB7" s="33"/>
      <c r="AC7" s="33"/>
      <c r="AD7" s="34"/>
      <c r="AE7" s="33"/>
      <c r="AF7" s="33"/>
      <c r="AG7" s="35">
        <f t="shared" ref="AG7:AG16" si="0">COUNTIF(B7:AF7,"غ")</f>
        <v>0</v>
      </c>
      <c r="AH7" s="36">
        <f t="shared" ref="AH7:AH16" si="1">COUNTIF(B7:AF7,"نصف")</f>
        <v>0</v>
      </c>
      <c r="AI7" s="37">
        <f t="shared" ref="AI7:AI16" si="2">SUMIF(B7:AF7,"&gt;"&amp;0)</f>
        <v>0</v>
      </c>
      <c r="AJ7" s="38" t="str">
        <f>IF(OR('بيانات الموظفين'!C5="",NOT(ISNUMBER('بيانات الموظفين'!G2)),AI7=0),"-",ROUND(AI7*(('بيانات الموظفين'!C5/31)/'بيانات الموظفين'!G2),2))</f>
        <v>-</v>
      </c>
      <c r="AK7" s="39">
        <f>IF('بيانات الموظفين'!C5="","-",31-AG7-AH7*0.5)</f>
        <v>31</v>
      </c>
      <c r="AL7" s="6">
        <f>IF('بيانات الموظفين'!C5="","-",ROUND(('بيانات الموظفين'!C5/31)*AG7+(('بيانات الموظفين'!C5/31)/2)*AH7,2))</f>
        <v>0</v>
      </c>
      <c r="AM7" s="40">
        <f>IF('بيانات الموظفين'!C5="","-",ROUND('بيانات الموظفين'!C5+ROUND('بيانات الموظفين'!C5/30,2)+IF(ISNUMBER(AJ7),AJ7,0)-IF(ISNUMBER(AL7),AL7,0),2))</f>
        <v>7233333.3300000001</v>
      </c>
    </row>
    <row r="8" spans="1:39" ht="25.5" customHeight="1" x14ac:dyDescent="0.25">
      <c r="A8" s="3" t="str">
        <f>'بيانات الموظفين'!B6</f>
        <v>هيثم صمادي</v>
      </c>
      <c r="B8" s="34"/>
      <c r="C8" s="41"/>
      <c r="D8" s="41"/>
      <c r="E8" s="41"/>
      <c r="F8" s="41"/>
      <c r="G8" s="41"/>
      <c r="H8" s="41"/>
      <c r="I8" s="34"/>
      <c r="J8" s="41"/>
      <c r="K8" s="41"/>
      <c r="L8" s="41"/>
      <c r="M8" s="41"/>
      <c r="N8" s="41"/>
      <c r="O8" s="41"/>
      <c r="P8" s="34"/>
      <c r="Q8" s="41"/>
      <c r="R8" s="41"/>
      <c r="S8" s="41"/>
      <c r="T8" s="41"/>
      <c r="U8" s="41"/>
      <c r="V8" s="41"/>
      <c r="W8" s="34"/>
      <c r="X8" s="41"/>
      <c r="Y8" s="41"/>
      <c r="Z8" s="41"/>
      <c r="AA8" s="41"/>
      <c r="AB8" s="41"/>
      <c r="AC8" s="41"/>
      <c r="AD8" s="34"/>
      <c r="AE8" s="41"/>
      <c r="AF8" s="41"/>
      <c r="AG8" s="35">
        <f t="shared" si="0"/>
        <v>0</v>
      </c>
      <c r="AH8" s="36">
        <f t="shared" si="1"/>
        <v>0</v>
      </c>
      <c r="AI8" s="37">
        <f t="shared" si="2"/>
        <v>0</v>
      </c>
      <c r="AJ8" s="38" t="str">
        <f>IF(OR('بيانات الموظفين'!C6="",NOT(ISNUMBER('بيانات الموظفين'!G2)),AI8=0),"-",ROUND(AI8*(('بيانات الموظفين'!C6/31)/'بيانات الموظفين'!G2),2))</f>
        <v>-</v>
      </c>
      <c r="AK8" s="39">
        <f>IF('بيانات الموظفين'!C6="","-",31-AG8-AH8*0.5)</f>
        <v>31</v>
      </c>
      <c r="AL8" s="6">
        <f>IF('بيانات الموظفين'!C6="","-",ROUND(('بيانات الموظفين'!C6/31)*AG8+(('بيانات الموظفين'!C6/31)/2)*AH8,2))</f>
        <v>0</v>
      </c>
      <c r="AM8" s="40">
        <f>IF('بيانات الموظفين'!C6="","-",ROUND('بيانات الموظفين'!C6+ROUND('بيانات الموظفين'!C6/30,2)+IF(ISNUMBER(AJ8),AJ8,0)-IF(ISNUMBER(AL8),AL8,0),2))</f>
        <v>3100000</v>
      </c>
    </row>
    <row r="9" spans="1:39" ht="25.5" customHeight="1" x14ac:dyDescent="0.25">
      <c r="A9" s="3" t="str">
        <f>'بيانات الموظفين'!B7</f>
        <v>حسام كبريتة</v>
      </c>
      <c r="B9" s="34"/>
      <c r="C9" s="33"/>
      <c r="D9" s="33"/>
      <c r="E9" s="33"/>
      <c r="F9" s="33"/>
      <c r="G9" s="33"/>
      <c r="H9" s="33"/>
      <c r="I9" s="34"/>
      <c r="J9" s="33"/>
      <c r="K9" s="33"/>
      <c r="L9" s="33"/>
      <c r="M9" s="33"/>
      <c r="N9" s="33"/>
      <c r="O9" s="33"/>
      <c r="P9" s="34"/>
      <c r="Q9" s="33"/>
      <c r="R9" s="33"/>
      <c r="S9" s="33"/>
      <c r="T9" s="33"/>
      <c r="U9" s="33"/>
      <c r="V9" s="33"/>
      <c r="W9" s="34"/>
      <c r="X9" s="33"/>
      <c r="Y9" s="33"/>
      <c r="Z9" s="33"/>
      <c r="AA9" s="33"/>
      <c r="AB9" s="33"/>
      <c r="AC9" s="33"/>
      <c r="AD9" s="34"/>
      <c r="AE9" s="33"/>
      <c r="AF9" s="33"/>
      <c r="AG9" s="35">
        <f t="shared" si="0"/>
        <v>0</v>
      </c>
      <c r="AH9" s="36">
        <f t="shared" si="1"/>
        <v>0</v>
      </c>
      <c r="AI9" s="37">
        <f t="shared" si="2"/>
        <v>0</v>
      </c>
      <c r="AJ9" s="38" t="str">
        <f>IF(OR('بيانات الموظفين'!C7="",NOT(ISNUMBER('بيانات الموظفين'!G2)),AI9=0),"-",ROUND(AI9*(('بيانات الموظفين'!C7/31)/'بيانات الموظفين'!G2),2))</f>
        <v>-</v>
      </c>
      <c r="AK9" s="39">
        <f>IF('بيانات الموظفين'!C7="","-",31-AG9-AH9*0.5)</f>
        <v>31</v>
      </c>
      <c r="AL9" s="6">
        <f>IF('بيانات الموظفين'!C7="","-",ROUND(('بيانات الموظفين'!C7/31)*AG9+(('بيانات الموظفين'!C7/31)/2)*AH9,2))</f>
        <v>0</v>
      </c>
      <c r="AM9" s="40">
        <f>IF('بيانات الموظفين'!C7="","-",ROUND('بيانات الموظفين'!C7+ROUND('بيانات الموظفين'!C7/30,2)+IF(ISNUMBER(AJ9),AJ9,0)-IF(ISNUMBER(AL9),AL9,0),2))</f>
        <v>2583333.33</v>
      </c>
    </row>
    <row r="10" spans="1:39" ht="25.5" customHeight="1" x14ac:dyDescent="0.25">
      <c r="A10" s="3" t="str">
        <f>'بيانات الموظفين'!B8</f>
        <v>انس المنسي</v>
      </c>
      <c r="B10" s="34"/>
      <c r="C10" s="41"/>
      <c r="D10" s="41"/>
      <c r="E10" s="41"/>
      <c r="F10" s="41"/>
      <c r="G10" s="41"/>
      <c r="H10" s="41"/>
      <c r="I10" s="34"/>
      <c r="J10" s="41"/>
      <c r="K10" s="41"/>
      <c r="L10" s="41"/>
      <c r="M10" s="41"/>
      <c r="N10" s="41"/>
      <c r="O10" s="41"/>
      <c r="P10" s="34"/>
      <c r="Q10" s="41"/>
      <c r="R10" s="41"/>
      <c r="S10" s="41"/>
      <c r="T10" s="41"/>
      <c r="U10" s="41"/>
      <c r="V10" s="41"/>
      <c r="W10" s="34"/>
      <c r="X10" s="41"/>
      <c r="Y10" s="41"/>
      <c r="Z10" s="41"/>
      <c r="AA10" s="41"/>
      <c r="AB10" s="41"/>
      <c r="AC10" s="41"/>
      <c r="AD10" s="34"/>
      <c r="AE10" s="41"/>
      <c r="AF10" s="41"/>
      <c r="AG10" s="35">
        <f t="shared" si="0"/>
        <v>0</v>
      </c>
      <c r="AH10" s="36">
        <f t="shared" si="1"/>
        <v>0</v>
      </c>
      <c r="AI10" s="37">
        <f t="shared" si="2"/>
        <v>0</v>
      </c>
      <c r="AJ10" s="38" t="str">
        <f>IF(OR('بيانات الموظفين'!C8="",NOT(ISNUMBER('بيانات الموظفين'!G2)),AI10=0),"-",ROUND(AI10*(('بيانات الموظفين'!C8/31)/'بيانات الموظفين'!G2),2))</f>
        <v>-</v>
      </c>
      <c r="AK10" s="39">
        <f>IF('بيانات الموظفين'!C8="","-",31-AG10-AH10*0.5)</f>
        <v>31</v>
      </c>
      <c r="AL10" s="6">
        <f>IF('بيانات الموظفين'!C8="","-",ROUND(('بيانات الموظفين'!C8/31)*AG10+(('بيانات الموظفين'!C8/31)/2)*AH10,2))</f>
        <v>0</v>
      </c>
      <c r="AM10" s="40">
        <f>IF('بيانات الموظفين'!C8="","-",ROUND('بيانات الموظفين'!C8+ROUND('بيانات الموظفين'!C8/30,2)+IF(ISNUMBER(AJ10),AJ10,0)-IF(ISNUMBER(AL10),AL10,0),2))</f>
        <v>826666.67</v>
      </c>
    </row>
    <row r="11" spans="1:39" ht="25.5" customHeight="1" x14ac:dyDescent="0.25">
      <c r="A11" s="3" t="str">
        <f>'بيانات الموظفين'!B9</f>
        <v>عمار مجيد</v>
      </c>
      <c r="B11" s="34"/>
      <c r="C11" s="33"/>
      <c r="D11" s="33"/>
      <c r="E11" s="33"/>
      <c r="F11" s="33"/>
      <c r="G11" s="33"/>
      <c r="H11" s="33"/>
      <c r="I11" s="34"/>
      <c r="J11" s="33"/>
      <c r="K11" s="33"/>
      <c r="L11" s="33"/>
      <c r="M11" s="33"/>
      <c r="N11" s="33"/>
      <c r="O11" s="33"/>
      <c r="P11" s="34"/>
      <c r="Q11" s="33"/>
      <c r="R11" s="33"/>
      <c r="S11" s="33"/>
      <c r="T11" s="33"/>
      <c r="U11" s="33"/>
      <c r="V11" s="33"/>
      <c r="W11" s="34"/>
      <c r="X11" s="33"/>
      <c r="Y11" s="33"/>
      <c r="Z11" s="33"/>
      <c r="AA11" s="33"/>
      <c r="AB11" s="33"/>
      <c r="AC11" s="33"/>
      <c r="AD11" s="34"/>
      <c r="AE11" s="33"/>
      <c r="AF11" s="33"/>
      <c r="AG11" s="35">
        <f t="shared" si="0"/>
        <v>0</v>
      </c>
      <c r="AH11" s="36">
        <f t="shared" si="1"/>
        <v>0</v>
      </c>
      <c r="AI11" s="37">
        <f t="shared" si="2"/>
        <v>0</v>
      </c>
      <c r="AJ11" s="38" t="str">
        <f>IF(OR('بيانات الموظفين'!C9="",NOT(ISNUMBER('بيانات الموظفين'!G2)),AI11=0),"-",ROUND(AI11*(('بيانات الموظفين'!C9/31)/'بيانات الموظفين'!G2),2))</f>
        <v>-</v>
      </c>
      <c r="AK11" s="39">
        <f>IF('بيانات الموظفين'!C9="","-",31-AG11-AH11*0.5)</f>
        <v>31</v>
      </c>
      <c r="AL11" s="6">
        <f>IF('بيانات الموظفين'!C9="","-",ROUND(('بيانات الموظفين'!C9/31)*AG11+(('بيانات الموظفين'!C9/31)/2)*AH11,2))</f>
        <v>0</v>
      </c>
      <c r="AM11" s="40">
        <f>IF('بيانات الموظفين'!C9="","-",ROUND('بيانات الموظفين'!C9+ROUND('بيانات الموظفين'!C9/30,2)+IF(ISNUMBER(AJ11),AJ11,0)-IF(ISNUMBER(AL11),AL11,0),2))</f>
        <v>2066666.67</v>
      </c>
    </row>
    <row r="12" spans="1:39" ht="25.5" customHeight="1" x14ac:dyDescent="0.25">
      <c r="A12" s="3">
        <f>'بيانات الموظفين'!B10</f>
        <v>0</v>
      </c>
      <c r="B12" s="34"/>
      <c r="C12" s="41"/>
      <c r="D12" s="41"/>
      <c r="E12" s="41"/>
      <c r="F12" s="41"/>
      <c r="G12" s="41"/>
      <c r="H12" s="41"/>
      <c r="I12" s="34"/>
      <c r="J12" s="41"/>
      <c r="K12" s="41"/>
      <c r="L12" s="41"/>
      <c r="M12" s="41"/>
      <c r="N12" s="41"/>
      <c r="O12" s="41"/>
      <c r="P12" s="34"/>
      <c r="Q12" s="41"/>
      <c r="R12" s="41"/>
      <c r="S12" s="41"/>
      <c r="T12" s="41"/>
      <c r="U12" s="41"/>
      <c r="V12" s="41"/>
      <c r="W12" s="34"/>
      <c r="X12" s="41"/>
      <c r="Y12" s="41"/>
      <c r="Z12" s="41"/>
      <c r="AA12" s="41"/>
      <c r="AB12" s="41"/>
      <c r="AC12" s="41"/>
      <c r="AD12" s="34"/>
      <c r="AE12" s="41"/>
      <c r="AF12" s="41"/>
      <c r="AG12" s="35">
        <f t="shared" si="0"/>
        <v>0</v>
      </c>
      <c r="AH12" s="36">
        <f t="shared" si="1"/>
        <v>0</v>
      </c>
      <c r="AI12" s="37">
        <f t="shared" si="2"/>
        <v>0</v>
      </c>
      <c r="AJ12" s="38" t="str">
        <f>IF(OR('بيانات الموظفين'!C10="",NOT(ISNUMBER('بيانات الموظفين'!G2)),AI12=0),"-",ROUND(AI12*(('بيانات الموظفين'!C10/31)/'بيانات الموظفين'!G2),2))</f>
        <v>-</v>
      </c>
      <c r="AK12" s="39" t="str">
        <f>IF('بيانات الموظفين'!C10="","-",31-AG12-AH12*0.5)</f>
        <v>-</v>
      </c>
      <c r="AL12" s="6" t="str">
        <f>IF('بيانات الموظفين'!C10="","-",ROUND(('بيانات الموظفين'!C10/31)*AG12+(('بيانات الموظفين'!C10/31)/2)*AH12,2))</f>
        <v>-</v>
      </c>
      <c r="AM12" s="40" t="str">
        <f>IF('بيانات الموظفين'!C10="","-",ROUND('بيانات الموظفين'!C10+ROUND('بيانات الموظفين'!C10/30,2)+IF(ISNUMBER(AJ12),AJ12,0)-IF(ISNUMBER(AL12),AL12,0),2))</f>
        <v>-</v>
      </c>
    </row>
    <row r="13" spans="1:39" ht="25.5" customHeight="1" x14ac:dyDescent="0.25">
      <c r="A13" s="3">
        <f>'بيانات الموظفين'!B11</f>
        <v>0</v>
      </c>
      <c r="B13" s="34"/>
      <c r="C13" s="33"/>
      <c r="D13" s="33"/>
      <c r="E13" s="33"/>
      <c r="F13" s="33"/>
      <c r="G13" s="33"/>
      <c r="H13" s="33"/>
      <c r="I13" s="34"/>
      <c r="J13" s="33"/>
      <c r="K13" s="33"/>
      <c r="L13" s="33"/>
      <c r="M13" s="33"/>
      <c r="N13" s="33"/>
      <c r="O13" s="33"/>
      <c r="P13" s="34"/>
      <c r="Q13" s="33"/>
      <c r="R13" s="33"/>
      <c r="S13" s="33"/>
      <c r="T13" s="33"/>
      <c r="U13" s="33"/>
      <c r="V13" s="33"/>
      <c r="W13" s="34"/>
      <c r="X13" s="33"/>
      <c r="Y13" s="33"/>
      <c r="Z13" s="33"/>
      <c r="AA13" s="33"/>
      <c r="AB13" s="33"/>
      <c r="AC13" s="33"/>
      <c r="AD13" s="34"/>
      <c r="AE13" s="33"/>
      <c r="AF13" s="33"/>
      <c r="AG13" s="35">
        <f t="shared" si="0"/>
        <v>0</v>
      </c>
      <c r="AH13" s="36">
        <f t="shared" si="1"/>
        <v>0</v>
      </c>
      <c r="AI13" s="37">
        <f t="shared" si="2"/>
        <v>0</v>
      </c>
      <c r="AJ13" s="38" t="str">
        <f>IF(OR('بيانات الموظفين'!C11="",NOT(ISNUMBER('بيانات الموظفين'!G2)),AI13=0),"-",ROUND(AI13*(('بيانات الموظفين'!C11/31)/'بيانات الموظفين'!G2),2))</f>
        <v>-</v>
      </c>
      <c r="AK13" s="39" t="str">
        <f>IF('بيانات الموظفين'!C11="","-",31-AG13-AH13*0.5)</f>
        <v>-</v>
      </c>
      <c r="AL13" s="6" t="str">
        <f>IF('بيانات الموظفين'!C11="","-",ROUND(('بيانات الموظفين'!C11/31)*AG13+(('بيانات الموظفين'!C11/31)/2)*AH13,2))</f>
        <v>-</v>
      </c>
      <c r="AM13" s="40" t="str">
        <f>IF('بيانات الموظفين'!C11="","-",ROUND('بيانات الموظفين'!C11+ROUND('بيانات الموظفين'!C11/30,2)+IF(ISNUMBER(AJ13),AJ13,0)-IF(ISNUMBER(AL13),AL13,0),2))</f>
        <v>-</v>
      </c>
    </row>
    <row r="14" spans="1:39" ht="25.5" customHeight="1" x14ac:dyDescent="0.25">
      <c r="A14" s="3">
        <f>'بيانات الموظفين'!B12</f>
        <v>0</v>
      </c>
      <c r="B14" s="34"/>
      <c r="C14" s="41"/>
      <c r="D14" s="41"/>
      <c r="E14" s="41"/>
      <c r="F14" s="41"/>
      <c r="G14" s="41"/>
      <c r="H14" s="41"/>
      <c r="I14" s="34"/>
      <c r="J14" s="41"/>
      <c r="K14" s="41"/>
      <c r="L14" s="41"/>
      <c r="M14" s="41"/>
      <c r="N14" s="41"/>
      <c r="O14" s="41"/>
      <c r="P14" s="34"/>
      <c r="Q14" s="41"/>
      <c r="R14" s="41"/>
      <c r="S14" s="41"/>
      <c r="T14" s="41"/>
      <c r="U14" s="41"/>
      <c r="V14" s="41"/>
      <c r="W14" s="34"/>
      <c r="X14" s="41"/>
      <c r="Y14" s="41"/>
      <c r="Z14" s="41"/>
      <c r="AA14" s="41"/>
      <c r="AB14" s="41"/>
      <c r="AC14" s="41"/>
      <c r="AD14" s="34"/>
      <c r="AE14" s="41"/>
      <c r="AF14" s="41"/>
      <c r="AG14" s="35">
        <f t="shared" si="0"/>
        <v>0</v>
      </c>
      <c r="AH14" s="36">
        <f t="shared" si="1"/>
        <v>0</v>
      </c>
      <c r="AI14" s="37">
        <f t="shared" si="2"/>
        <v>0</v>
      </c>
      <c r="AJ14" s="38" t="str">
        <f>IF(OR('بيانات الموظفين'!C12="",NOT(ISNUMBER('بيانات الموظفين'!G2)),AI14=0),"-",ROUND(AI14*(('بيانات الموظفين'!C12/31)/'بيانات الموظفين'!G2),2))</f>
        <v>-</v>
      </c>
      <c r="AK14" s="39" t="str">
        <f>IF('بيانات الموظفين'!C12="","-",31-AG14-AH14*0.5)</f>
        <v>-</v>
      </c>
      <c r="AL14" s="6" t="str">
        <f>IF('بيانات الموظفين'!C12="","-",ROUND(('بيانات الموظفين'!C12/31)*AG14+(('بيانات الموظفين'!C12/31)/2)*AH14,2))</f>
        <v>-</v>
      </c>
      <c r="AM14" s="40" t="str">
        <f>IF('بيانات الموظفين'!C12="","-",ROUND('بيانات الموظفين'!C12+ROUND('بيانات الموظفين'!C12/30,2)+IF(ISNUMBER(AJ14),AJ14,0)-IF(ISNUMBER(AL14),AL14,0),2))</f>
        <v>-</v>
      </c>
    </row>
    <row r="15" spans="1:39" ht="25.5" customHeight="1" x14ac:dyDescent="0.25">
      <c r="A15" s="3">
        <f>'بيانات الموظفين'!B13</f>
        <v>0</v>
      </c>
      <c r="B15" s="34"/>
      <c r="C15" s="33"/>
      <c r="D15" s="33"/>
      <c r="E15" s="33"/>
      <c r="F15" s="33"/>
      <c r="G15" s="33"/>
      <c r="H15" s="33"/>
      <c r="I15" s="34"/>
      <c r="J15" s="33"/>
      <c r="K15" s="33"/>
      <c r="L15" s="33"/>
      <c r="M15" s="33"/>
      <c r="N15" s="33"/>
      <c r="O15" s="33"/>
      <c r="P15" s="34"/>
      <c r="Q15" s="33"/>
      <c r="R15" s="33"/>
      <c r="S15" s="33"/>
      <c r="T15" s="33"/>
      <c r="U15" s="33"/>
      <c r="V15" s="33"/>
      <c r="W15" s="34"/>
      <c r="X15" s="33"/>
      <c r="Y15" s="33"/>
      <c r="Z15" s="33"/>
      <c r="AA15" s="33"/>
      <c r="AB15" s="33"/>
      <c r="AC15" s="33"/>
      <c r="AD15" s="34"/>
      <c r="AE15" s="33"/>
      <c r="AF15" s="33"/>
      <c r="AG15" s="35">
        <f t="shared" si="0"/>
        <v>0</v>
      </c>
      <c r="AH15" s="36">
        <f t="shared" si="1"/>
        <v>0</v>
      </c>
      <c r="AI15" s="37">
        <f t="shared" si="2"/>
        <v>0</v>
      </c>
      <c r="AJ15" s="38" t="str">
        <f>IF(OR('بيانات الموظفين'!C13="",NOT(ISNUMBER('بيانات الموظفين'!G2)),AI15=0),"-",ROUND(AI15*(('بيانات الموظفين'!C13/31)/'بيانات الموظفين'!G2),2))</f>
        <v>-</v>
      </c>
      <c r="AK15" s="39" t="str">
        <f>IF('بيانات الموظفين'!C13="","-",31-AG15-AH15*0.5)</f>
        <v>-</v>
      </c>
      <c r="AL15" s="6" t="str">
        <f>IF('بيانات الموظفين'!C13="","-",ROUND(('بيانات الموظفين'!C13/31)*AG15+(('بيانات الموظفين'!C13/31)/2)*AH15,2))</f>
        <v>-</v>
      </c>
      <c r="AM15" s="40" t="str">
        <f>IF('بيانات الموظفين'!C13="","-",ROUND('بيانات الموظفين'!C13+ROUND('بيانات الموظفين'!C13/30,2)+IF(ISNUMBER(AJ15),AJ15,0)-IF(ISNUMBER(AL15),AL15,0),2))</f>
        <v>-</v>
      </c>
    </row>
    <row r="16" spans="1:39" ht="25.5" customHeight="1" x14ac:dyDescent="0.25">
      <c r="A16" s="3">
        <f>'بيانات الموظفين'!B14</f>
        <v>0</v>
      </c>
      <c r="B16" s="34"/>
      <c r="C16" s="41"/>
      <c r="D16" s="41"/>
      <c r="E16" s="41"/>
      <c r="F16" s="41"/>
      <c r="G16" s="41"/>
      <c r="H16" s="41"/>
      <c r="I16" s="34"/>
      <c r="J16" s="41"/>
      <c r="K16" s="41"/>
      <c r="L16" s="41"/>
      <c r="M16" s="41"/>
      <c r="N16" s="41"/>
      <c r="O16" s="41"/>
      <c r="P16" s="34"/>
      <c r="Q16" s="41"/>
      <c r="R16" s="41"/>
      <c r="S16" s="41"/>
      <c r="T16" s="41"/>
      <c r="U16" s="41"/>
      <c r="V16" s="41"/>
      <c r="W16" s="34"/>
      <c r="X16" s="41"/>
      <c r="Y16" s="41"/>
      <c r="Z16" s="41"/>
      <c r="AA16" s="41"/>
      <c r="AB16" s="41"/>
      <c r="AC16" s="41"/>
      <c r="AD16" s="34"/>
      <c r="AE16" s="41"/>
      <c r="AF16" s="41"/>
      <c r="AG16" s="35">
        <f t="shared" si="0"/>
        <v>0</v>
      </c>
      <c r="AH16" s="36">
        <f t="shared" si="1"/>
        <v>0</v>
      </c>
      <c r="AI16" s="37">
        <f t="shared" si="2"/>
        <v>0</v>
      </c>
      <c r="AJ16" s="38" t="str">
        <f>IF(OR('بيانات الموظفين'!C14="",NOT(ISNUMBER('بيانات الموظفين'!G2)),AI16=0),"-",ROUND(AI16*(('بيانات الموظفين'!C14/31)/'بيانات الموظفين'!G2),2))</f>
        <v>-</v>
      </c>
      <c r="AK16" s="39" t="str">
        <f>IF('بيانات الموظفين'!C14="","-",31-AG16-AH16*0.5)</f>
        <v>-</v>
      </c>
      <c r="AL16" s="6" t="str">
        <f>IF('بيانات الموظفين'!C14="","-",ROUND(('بيانات الموظفين'!C14/31)*AG16+(('بيانات الموظفين'!C14/31)/2)*AH16,2))</f>
        <v>-</v>
      </c>
      <c r="AM16" s="40" t="str">
        <f>IF('بيانات الموظفين'!C14="","-",ROUND('بيانات الموظفين'!C14+ROUND('بيانات الموظفين'!C14/30,2)+IF(ISNUMBER(AJ16),AJ16,0)-IF(ISNUMBER(AL16),AL16,0),2))</f>
        <v>-</v>
      </c>
    </row>
    <row r="17" spans="1:39" ht="25.5" customHeight="1" x14ac:dyDescent="0.25">
      <c r="A17" s="1" t="s">
        <v>80</v>
      </c>
      <c r="B17" s="42">
        <f t="shared" ref="B17:AF17" si="3">COUNTIF(B7:B16,"غ")+COUNTIF(B7:B16,"نصف")*0.5</f>
        <v>0</v>
      </c>
      <c r="C17" s="42">
        <f t="shared" si="3"/>
        <v>0</v>
      </c>
      <c r="D17" s="42">
        <f t="shared" si="3"/>
        <v>0</v>
      </c>
      <c r="E17" s="42">
        <f t="shared" si="3"/>
        <v>0</v>
      </c>
      <c r="F17" s="42">
        <f t="shared" si="3"/>
        <v>0</v>
      </c>
      <c r="G17" s="42">
        <f t="shared" si="3"/>
        <v>0</v>
      </c>
      <c r="H17" s="42">
        <f t="shared" si="3"/>
        <v>0</v>
      </c>
      <c r="I17" s="42">
        <f t="shared" si="3"/>
        <v>0</v>
      </c>
      <c r="J17" s="42">
        <f t="shared" si="3"/>
        <v>0</v>
      </c>
      <c r="K17" s="42">
        <f t="shared" si="3"/>
        <v>0</v>
      </c>
      <c r="L17" s="42">
        <f t="shared" si="3"/>
        <v>0</v>
      </c>
      <c r="M17" s="42">
        <f t="shared" si="3"/>
        <v>0</v>
      </c>
      <c r="N17" s="42">
        <f t="shared" si="3"/>
        <v>0</v>
      </c>
      <c r="O17" s="42">
        <f t="shared" si="3"/>
        <v>0</v>
      </c>
      <c r="P17" s="42">
        <f t="shared" si="3"/>
        <v>0</v>
      </c>
      <c r="Q17" s="42">
        <f t="shared" si="3"/>
        <v>0</v>
      </c>
      <c r="R17" s="42">
        <f t="shared" si="3"/>
        <v>0</v>
      </c>
      <c r="S17" s="42">
        <f t="shared" si="3"/>
        <v>0</v>
      </c>
      <c r="T17" s="42">
        <f t="shared" si="3"/>
        <v>0</v>
      </c>
      <c r="U17" s="42">
        <f t="shared" si="3"/>
        <v>0</v>
      </c>
      <c r="V17" s="42">
        <f t="shared" si="3"/>
        <v>0</v>
      </c>
      <c r="W17" s="42">
        <f t="shared" si="3"/>
        <v>0</v>
      </c>
      <c r="X17" s="42">
        <f t="shared" si="3"/>
        <v>0</v>
      </c>
      <c r="Y17" s="42">
        <f t="shared" si="3"/>
        <v>0</v>
      </c>
      <c r="Z17" s="42">
        <f t="shared" si="3"/>
        <v>0</v>
      </c>
      <c r="AA17" s="42">
        <f t="shared" si="3"/>
        <v>0</v>
      </c>
      <c r="AB17" s="42">
        <f t="shared" si="3"/>
        <v>0</v>
      </c>
      <c r="AC17" s="42">
        <f t="shared" si="3"/>
        <v>0</v>
      </c>
      <c r="AD17" s="42">
        <f t="shared" si="3"/>
        <v>0</v>
      </c>
      <c r="AE17" s="42">
        <f t="shared" si="3"/>
        <v>0</v>
      </c>
      <c r="AF17" s="42">
        <f t="shared" si="3"/>
        <v>0</v>
      </c>
      <c r="AG17" s="43">
        <f>SUM(AG7:AG16)</f>
        <v>0</v>
      </c>
      <c r="AH17" s="43">
        <f>SUM(AH7:AH16)</f>
        <v>0</v>
      </c>
      <c r="AI17" s="43">
        <f>SUM(AI7:AI16)</f>
        <v>0</v>
      </c>
      <c r="AJ17" s="44">
        <f>SUM(AJ7:AJ16)</f>
        <v>0</v>
      </c>
      <c r="AK17" s="45"/>
      <c r="AL17" s="44">
        <f>SUM(AL7:AL16)</f>
        <v>0</v>
      </c>
      <c r="AM17" s="44">
        <f>SUM(AM7:AM16)</f>
        <v>15810000</v>
      </c>
    </row>
    <row r="18" spans="1:39" ht="9.75" customHeight="1" x14ac:dyDescent="0.25"/>
    <row r="19" spans="1:39" ht="31.5" customHeight="1" x14ac:dyDescent="0.25">
      <c r="A19" s="50" t="s">
        <v>81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</row>
    <row r="20" spans="1:39" ht="27.75" customHeight="1" x14ac:dyDescent="0.25">
      <c r="A20" s="1" t="s">
        <v>2</v>
      </c>
      <c r="B20" s="1" t="s">
        <v>3</v>
      </c>
      <c r="C20" s="1" t="s">
        <v>63</v>
      </c>
      <c r="D20" s="1" t="s">
        <v>64</v>
      </c>
      <c r="E20" s="1" t="s">
        <v>65</v>
      </c>
      <c r="F20" s="1" t="s">
        <v>66</v>
      </c>
      <c r="G20" s="1" t="s">
        <v>67</v>
      </c>
      <c r="H20" s="1" t="s">
        <v>68</v>
      </c>
      <c r="I20" s="1" t="s">
        <v>69</v>
      </c>
    </row>
    <row r="21" spans="1:39" ht="24" customHeight="1" x14ac:dyDescent="0.25">
      <c r="A21" s="2">
        <v>1</v>
      </c>
      <c r="B21" s="3" t="str">
        <f>'بيانات الموظفين'!B5</f>
        <v xml:space="preserve">أبو بكر </v>
      </c>
      <c r="C21" s="4">
        <f>IF('بيانات الموظفين'!C5="","-",'بيانات الموظفين'!C5)</f>
        <v>7000000</v>
      </c>
      <c r="D21" s="46">
        <f t="shared" ref="D21:D30" si="4">AG7</f>
        <v>0</v>
      </c>
      <c r="E21" s="47">
        <f t="shared" ref="E21:E30" si="5">AH7</f>
        <v>0</v>
      </c>
      <c r="F21" s="6">
        <f t="shared" ref="F21:F30" si="6">AL7</f>
        <v>0</v>
      </c>
      <c r="G21" s="48">
        <f t="shared" ref="G21:G30" si="7">AI7</f>
        <v>0</v>
      </c>
      <c r="H21" s="38" t="str">
        <f t="shared" ref="H21:H30" si="8">AJ7</f>
        <v>-</v>
      </c>
      <c r="I21" s="40">
        <f t="shared" ref="I21:I30" si="9">AM7</f>
        <v>7233333.3300000001</v>
      </c>
    </row>
    <row r="22" spans="1:39" ht="24" customHeight="1" x14ac:dyDescent="0.25">
      <c r="A22" s="8">
        <v>2</v>
      </c>
      <c r="B22" s="3" t="str">
        <f>'بيانات الموظفين'!B6</f>
        <v>هيثم صمادي</v>
      </c>
      <c r="C22" s="9">
        <f>IF('بيانات الموظفين'!C6="","-",'بيانات الموظفين'!C6)</f>
        <v>3000000</v>
      </c>
      <c r="D22" s="46">
        <f t="shared" si="4"/>
        <v>0</v>
      </c>
      <c r="E22" s="47">
        <f t="shared" si="5"/>
        <v>0</v>
      </c>
      <c r="F22" s="6">
        <f t="shared" si="6"/>
        <v>0</v>
      </c>
      <c r="G22" s="48">
        <f t="shared" si="7"/>
        <v>0</v>
      </c>
      <c r="H22" s="38" t="str">
        <f t="shared" si="8"/>
        <v>-</v>
      </c>
      <c r="I22" s="40">
        <f t="shared" si="9"/>
        <v>3100000</v>
      </c>
    </row>
    <row r="23" spans="1:39" ht="24" customHeight="1" x14ac:dyDescent="0.25">
      <c r="A23" s="2">
        <v>3</v>
      </c>
      <c r="B23" s="3" t="str">
        <f>'بيانات الموظفين'!B7</f>
        <v>حسام كبريتة</v>
      </c>
      <c r="C23" s="4">
        <f>IF('بيانات الموظفين'!C7="","-",'بيانات الموظفين'!C7)</f>
        <v>2500000</v>
      </c>
      <c r="D23" s="46">
        <f t="shared" si="4"/>
        <v>0</v>
      </c>
      <c r="E23" s="47">
        <f t="shared" si="5"/>
        <v>0</v>
      </c>
      <c r="F23" s="6">
        <f t="shared" si="6"/>
        <v>0</v>
      </c>
      <c r="G23" s="48">
        <f t="shared" si="7"/>
        <v>0</v>
      </c>
      <c r="H23" s="38" t="str">
        <f t="shared" si="8"/>
        <v>-</v>
      </c>
      <c r="I23" s="40">
        <f t="shared" si="9"/>
        <v>2583333.33</v>
      </c>
    </row>
    <row r="24" spans="1:39" ht="24" customHeight="1" x14ac:dyDescent="0.25">
      <c r="A24" s="8">
        <v>4</v>
      </c>
      <c r="B24" s="3" t="str">
        <f>'بيانات الموظفين'!B8</f>
        <v>انس المنسي</v>
      </c>
      <c r="C24" s="9">
        <f>IF('بيانات الموظفين'!C8="","-",'بيانات الموظفين'!C8)</f>
        <v>800000</v>
      </c>
      <c r="D24" s="46">
        <f t="shared" si="4"/>
        <v>0</v>
      </c>
      <c r="E24" s="47">
        <f t="shared" si="5"/>
        <v>0</v>
      </c>
      <c r="F24" s="6">
        <f t="shared" si="6"/>
        <v>0</v>
      </c>
      <c r="G24" s="48">
        <f t="shared" si="7"/>
        <v>0</v>
      </c>
      <c r="H24" s="38" t="str">
        <f t="shared" si="8"/>
        <v>-</v>
      </c>
      <c r="I24" s="40">
        <f t="shared" si="9"/>
        <v>826666.67</v>
      </c>
    </row>
    <row r="25" spans="1:39" ht="24" customHeight="1" x14ac:dyDescent="0.25">
      <c r="A25" s="2">
        <v>5</v>
      </c>
      <c r="B25" s="3" t="str">
        <f>'بيانات الموظفين'!B9</f>
        <v>عمار مجيد</v>
      </c>
      <c r="C25" s="4">
        <f>IF('بيانات الموظفين'!C9="","-",'بيانات الموظفين'!C9)</f>
        <v>2000000</v>
      </c>
      <c r="D25" s="46">
        <f t="shared" si="4"/>
        <v>0</v>
      </c>
      <c r="E25" s="47">
        <f t="shared" si="5"/>
        <v>0</v>
      </c>
      <c r="F25" s="6">
        <f t="shared" si="6"/>
        <v>0</v>
      </c>
      <c r="G25" s="48">
        <f t="shared" si="7"/>
        <v>0</v>
      </c>
      <c r="H25" s="38" t="str">
        <f t="shared" si="8"/>
        <v>-</v>
      </c>
      <c r="I25" s="40">
        <f t="shared" si="9"/>
        <v>2066666.67</v>
      </c>
    </row>
    <row r="26" spans="1:39" ht="24" customHeight="1" x14ac:dyDescent="0.25">
      <c r="A26" s="8">
        <v>6</v>
      </c>
      <c r="B26" s="3">
        <f>'بيانات الموظفين'!B10</f>
        <v>0</v>
      </c>
      <c r="C26" s="9" t="str">
        <f>IF('بيانات الموظفين'!C10="","-",'بيانات الموظفين'!C10)</f>
        <v>-</v>
      </c>
      <c r="D26" s="46">
        <f t="shared" si="4"/>
        <v>0</v>
      </c>
      <c r="E26" s="47">
        <f t="shared" si="5"/>
        <v>0</v>
      </c>
      <c r="F26" s="6" t="str">
        <f t="shared" si="6"/>
        <v>-</v>
      </c>
      <c r="G26" s="48">
        <f t="shared" si="7"/>
        <v>0</v>
      </c>
      <c r="H26" s="38" t="str">
        <f t="shared" si="8"/>
        <v>-</v>
      </c>
      <c r="I26" s="40" t="str">
        <f t="shared" si="9"/>
        <v>-</v>
      </c>
    </row>
    <row r="27" spans="1:39" ht="24" customHeight="1" x14ac:dyDescent="0.25">
      <c r="A27" s="2">
        <v>7</v>
      </c>
      <c r="B27" s="3">
        <f>'بيانات الموظفين'!B11</f>
        <v>0</v>
      </c>
      <c r="C27" s="4" t="str">
        <f>IF('بيانات الموظفين'!C11="","-",'بيانات الموظفين'!C11)</f>
        <v>-</v>
      </c>
      <c r="D27" s="46">
        <f t="shared" si="4"/>
        <v>0</v>
      </c>
      <c r="E27" s="47">
        <f t="shared" si="5"/>
        <v>0</v>
      </c>
      <c r="F27" s="6" t="str">
        <f t="shared" si="6"/>
        <v>-</v>
      </c>
      <c r="G27" s="48">
        <f t="shared" si="7"/>
        <v>0</v>
      </c>
      <c r="H27" s="38" t="str">
        <f t="shared" si="8"/>
        <v>-</v>
      </c>
      <c r="I27" s="40" t="str">
        <f t="shared" si="9"/>
        <v>-</v>
      </c>
    </row>
    <row r="28" spans="1:39" ht="24" customHeight="1" x14ac:dyDescent="0.25">
      <c r="A28" s="8">
        <v>8</v>
      </c>
      <c r="B28" s="3">
        <f>'بيانات الموظفين'!B12</f>
        <v>0</v>
      </c>
      <c r="C28" s="9" t="str">
        <f>IF('بيانات الموظفين'!C12="","-",'بيانات الموظفين'!C12)</f>
        <v>-</v>
      </c>
      <c r="D28" s="46">
        <f t="shared" si="4"/>
        <v>0</v>
      </c>
      <c r="E28" s="47">
        <f t="shared" si="5"/>
        <v>0</v>
      </c>
      <c r="F28" s="6" t="str">
        <f t="shared" si="6"/>
        <v>-</v>
      </c>
      <c r="G28" s="48">
        <f t="shared" si="7"/>
        <v>0</v>
      </c>
      <c r="H28" s="38" t="str">
        <f t="shared" si="8"/>
        <v>-</v>
      </c>
      <c r="I28" s="40" t="str">
        <f t="shared" si="9"/>
        <v>-</v>
      </c>
    </row>
    <row r="29" spans="1:39" ht="24" customHeight="1" x14ac:dyDescent="0.25">
      <c r="A29" s="2">
        <v>9</v>
      </c>
      <c r="B29" s="3">
        <f>'بيانات الموظفين'!B13</f>
        <v>0</v>
      </c>
      <c r="C29" s="4" t="str">
        <f>IF('بيانات الموظفين'!C13="","-",'بيانات الموظفين'!C13)</f>
        <v>-</v>
      </c>
      <c r="D29" s="46">
        <f t="shared" si="4"/>
        <v>0</v>
      </c>
      <c r="E29" s="47">
        <f t="shared" si="5"/>
        <v>0</v>
      </c>
      <c r="F29" s="6" t="str">
        <f t="shared" si="6"/>
        <v>-</v>
      </c>
      <c r="G29" s="48">
        <f t="shared" si="7"/>
        <v>0</v>
      </c>
      <c r="H29" s="38" t="str">
        <f t="shared" si="8"/>
        <v>-</v>
      </c>
      <c r="I29" s="40" t="str">
        <f t="shared" si="9"/>
        <v>-</v>
      </c>
    </row>
    <row r="30" spans="1:39" ht="24" customHeight="1" x14ac:dyDescent="0.25">
      <c r="A30" s="8">
        <v>10</v>
      </c>
      <c r="B30" s="3">
        <f>'بيانات الموظفين'!B14</f>
        <v>0</v>
      </c>
      <c r="C30" s="9" t="str">
        <f>IF('بيانات الموظفين'!C14="","-",'بيانات الموظفين'!C14)</f>
        <v>-</v>
      </c>
      <c r="D30" s="46">
        <f t="shared" si="4"/>
        <v>0</v>
      </c>
      <c r="E30" s="47">
        <f t="shared" si="5"/>
        <v>0</v>
      </c>
      <c r="F30" s="6" t="str">
        <f t="shared" si="6"/>
        <v>-</v>
      </c>
      <c r="G30" s="48">
        <f t="shared" si="7"/>
        <v>0</v>
      </c>
      <c r="H30" s="38" t="str">
        <f t="shared" si="8"/>
        <v>-</v>
      </c>
      <c r="I30" s="40" t="str">
        <f t="shared" si="9"/>
        <v>-</v>
      </c>
    </row>
    <row r="31" spans="1:39" ht="27.75" customHeight="1" x14ac:dyDescent="0.25">
      <c r="A31" s="51" t="s">
        <v>19</v>
      </c>
      <c r="B31" s="51"/>
      <c r="C31" s="11">
        <f t="shared" ref="C31:I31" si="10">SUM(C21:C30)</f>
        <v>15300000</v>
      </c>
      <c r="D31" s="49">
        <f t="shared" si="10"/>
        <v>0</v>
      </c>
      <c r="E31" s="49">
        <f t="shared" si="10"/>
        <v>0</v>
      </c>
      <c r="F31" s="12">
        <f t="shared" si="10"/>
        <v>0</v>
      </c>
      <c r="G31" s="49">
        <f t="shared" si="10"/>
        <v>0</v>
      </c>
      <c r="H31" s="12">
        <f t="shared" si="10"/>
        <v>0</v>
      </c>
      <c r="I31" s="12">
        <f t="shared" si="10"/>
        <v>15810000</v>
      </c>
    </row>
  </sheetData>
  <mergeCells count="12">
    <mergeCell ref="A19:AM19"/>
    <mergeCell ref="A31:B31"/>
    <mergeCell ref="A1:AM1"/>
    <mergeCell ref="A2:AM2"/>
    <mergeCell ref="A4:A5"/>
    <mergeCell ref="AG4:AG5"/>
    <mergeCell ref="AH4:AH5"/>
    <mergeCell ref="AI4:AI5"/>
    <mergeCell ref="AJ4:AJ5"/>
    <mergeCell ref="AK4:AK5"/>
    <mergeCell ref="AL4:AL5"/>
    <mergeCell ref="AM4:AM5"/>
  </mergeCells>
  <pageMargins left="0.75" right="0.75" top="1" bottom="1" header="0.511811023622047" footer="0.511811023622047"/>
  <pageSetup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L31"/>
  <sheetViews>
    <sheetView rightToLeft="1" tabSelected="1" zoomScaleNormal="100" workbookViewId="0">
      <pane xSplit="1" ySplit="6" topLeftCell="AA7" activePane="bottomRight" state="frozen"/>
      <selection pane="topRight" activeCell="B1" sqref="B1"/>
      <selection pane="bottomLeft" activeCell="A7" sqref="A7"/>
      <selection pane="bottomRight" activeCell="H9" sqref="H9"/>
    </sheetView>
  </sheetViews>
  <sheetFormatPr defaultColWidth="8.7109375" defaultRowHeight="15" x14ac:dyDescent="0.25"/>
  <cols>
    <col min="1" max="1" width="26" customWidth="1"/>
    <col min="2" max="2" width="10" customWidth="1"/>
    <col min="3" max="3" width="19.7109375" customWidth="1"/>
    <col min="4" max="4" width="22.85546875" customWidth="1"/>
    <col min="5" max="5" width="10" customWidth="1"/>
    <col min="6" max="6" width="20.140625" customWidth="1"/>
    <col min="7" max="7" width="10" customWidth="1"/>
    <col min="8" max="8" width="15" customWidth="1"/>
    <col min="9" max="9" width="19" customWidth="1"/>
    <col min="10" max="31" width="10" customWidth="1"/>
    <col min="32" max="38" width="15" customWidth="1"/>
  </cols>
  <sheetData>
    <row r="1" spans="1:38" ht="36" customHeight="1" x14ac:dyDescent="0.25">
      <c r="A1" s="52" t="s">
        <v>82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</row>
    <row r="2" spans="1:38" ht="18" customHeight="1" x14ac:dyDescent="0.25">
      <c r="A2" s="53" t="s">
        <v>46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</row>
    <row r="3" spans="1:38" ht="6" customHeight="1" x14ac:dyDescent="0.25"/>
    <row r="4" spans="1:38" ht="30" customHeight="1" x14ac:dyDescent="0.25">
      <c r="A4" s="54" t="s">
        <v>3</v>
      </c>
      <c r="B4" s="29" t="s">
        <v>51</v>
      </c>
      <c r="C4" s="29" t="s">
        <v>52</v>
      </c>
      <c r="D4" s="29" t="s">
        <v>53</v>
      </c>
      <c r="E4" s="29" t="s">
        <v>47</v>
      </c>
      <c r="F4" s="30" t="s">
        <v>48</v>
      </c>
      <c r="G4" s="29" t="s">
        <v>49</v>
      </c>
      <c r="H4" s="29" t="s">
        <v>50</v>
      </c>
      <c r="I4" s="29" t="s">
        <v>51</v>
      </c>
      <c r="J4" s="29" t="s">
        <v>52</v>
      </c>
      <c r="K4" s="29" t="s">
        <v>53</v>
      </c>
      <c r="L4" s="29" t="s">
        <v>47</v>
      </c>
      <c r="M4" s="30" t="s">
        <v>48</v>
      </c>
      <c r="N4" s="29" t="s">
        <v>49</v>
      </c>
      <c r="O4" s="29" t="s">
        <v>50</v>
      </c>
      <c r="P4" s="29" t="s">
        <v>51</v>
      </c>
      <c r="Q4" s="29" t="s">
        <v>52</v>
      </c>
      <c r="R4" s="29" t="s">
        <v>53</v>
      </c>
      <c r="S4" s="29" t="s">
        <v>47</v>
      </c>
      <c r="T4" s="30" t="s">
        <v>48</v>
      </c>
      <c r="U4" s="29" t="s">
        <v>49</v>
      </c>
      <c r="V4" s="29" t="s">
        <v>50</v>
      </c>
      <c r="W4" s="29" t="s">
        <v>51</v>
      </c>
      <c r="X4" s="29" t="s">
        <v>52</v>
      </c>
      <c r="Y4" s="29" t="s">
        <v>53</v>
      </c>
      <c r="Z4" s="29" t="s">
        <v>47</v>
      </c>
      <c r="AA4" s="30" t="s">
        <v>48</v>
      </c>
      <c r="AB4" s="29" t="s">
        <v>49</v>
      </c>
      <c r="AC4" s="29" t="s">
        <v>50</v>
      </c>
      <c r="AD4" s="29" t="s">
        <v>51</v>
      </c>
      <c r="AE4" s="29" t="s">
        <v>52</v>
      </c>
      <c r="AF4" s="55" t="s">
        <v>54</v>
      </c>
      <c r="AG4" s="56" t="s">
        <v>55</v>
      </c>
      <c r="AH4" s="57" t="s">
        <v>56</v>
      </c>
      <c r="AI4" s="58" t="s">
        <v>57</v>
      </c>
      <c r="AJ4" s="59" t="s">
        <v>58</v>
      </c>
      <c r="AK4" s="60" t="s">
        <v>59</v>
      </c>
      <c r="AL4" s="59" t="s">
        <v>60</v>
      </c>
    </row>
    <row r="5" spans="1:38" ht="19.5" customHeight="1" x14ac:dyDescent="0.25">
      <c r="A5" s="54"/>
      <c r="B5" s="31">
        <v>1</v>
      </c>
      <c r="C5" s="31">
        <v>2</v>
      </c>
      <c r="D5" s="31">
        <v>3</v>
      </c>
      <c r="E5" s="31">
        <v>4</v>
      </c>
      <c r="F5" s="32">
        <v>5</v>
      </c>
      <c r="G5" s="31">
        <v>6</v>
      </c>
      <c r="H5" s="31">
        <v>7</v>
      </c>
      <c r="I5" s="31">
        <v>8</v>
      </c>
      <c r="J5" s="31">
        <v>9</v>
      </c>
      <c r="K5" s="31">
        <v>10</v>
      </c>
      <c r="L5" s="31">
        <v>11</v>
      </c>
      <c r="M5" s="32">
        <v>12</v>
      </c>
      <c r="N5" s="31">
        <v>13</v>
      </c>
      <c r="O5" s="31">
        <v>14</v>
      </c>
      <c r="P5" s="31">
        <v>15</v>
      </c>
      <c r="Q5" s="31">
        <v>16</v>
      </c>
      <c r="R5" s="31">
        <v>17</v>
      </c>
      <c r="S5" s="31">
        <v>18</v>
      </c>
      <c r="T5" s="32">
        <v>19</v>
      </c>
      <c r="U5" s="31">
        <v>20</v>
      </c>
      <c r="V5" s="31">
        <v>21</v>
      </c>
      <c r="W5" s="31">
        <v>22</v>
      </c>
      <c r="X5" s="31">
        <v>23</v>
      </c>
      <c r="Y5" s="31">
        <v>24</v>
      </c>
      <c r="Z5" s="31">
        <v>25</v>
      </c>
      <c r="AA5" s="32">
        <v>26</v>
      </c>
      <c r="AB5" s="31">
        <v>27</v>
      </c>
      <c r="AC5" s="31">
        <v>28</v>
      </c>
      <c r="AD5" s="31">
        <v>29</v>
      </c>
      <c r="AE5" s="31">
        <v>30</v>
      </c>
      <c r="AF5" s="55"/>
      <c r="AG5" s="55"/>
      <c r="AH5" s="55"/>
      <c r="AI5" s="55"/>
      <c r="AJ5" s="55"/>
      <c r="AK5" s="55"/>
      <c r="AL5" s="55"/>
    </row>
    <row r="6" spans="1:38" ht="4.5" customHeight="1" x14ac:dyDescent="0.25"/>
    <row r="7" spans="1:38" ht="25.5" customHeight="1" x14ac:dyDescent="0.25">
      <c r="A7" s="3" t="str">
        <f>'بيانات الموظفين'!B5</f>
        <v xml:space="preserve">أبو بكر </v>
      </c>
      <c r="B7" s="33" t="s">
        <v>39</v>
      </c>
      <c r="C7" s="33"/>
      <c r="D7" s="33"/>
      <c r="E7" s="33"/>
      <c r="F7" s="34"/>
      <c r="G7" s="33"/>
      <c r="H7" s="33"/>
      <c r="I7" s="33"/>
      <c r="J7" s="33"/>
      <c r="K7" s="33"/>
      <c r="L7" s="33"/>
      <c r="M7" s="34"/>
      <c r="N7" s="33"/>
      <c r="O7" s="33"/>
      <c r="P7" s="33"/>
      <c r="Q7" s="33"/>
      <c r="R7" s="33"/>
      <c r="S7" s="33" t="s">
        <v>39</v>
      </c>
      <c r="T7" s="34"/>
      <c r="U7" s="33"/>
      <c r="V7" s="33"/>
      <c r="W7" s="33"/>
      <c r="X7" s="33"/>
      <c r="Y7" s="33"/>
      <c r="Z7" s="33" t="s">
        <v>39</v>
      </c>
      <c r="AA7" s="34"/>
      <c r="AB7" s="33"/>
      <c r="AC7" s="33"/>
      <c r="AD7" s="33"/>
      <c r="AE7" s="33"/>
      <c r="AF7" s="35">
        <f t="shared" ref="AF7:AF16" si="0">COUNTIF(B7:AE7,"غ")</f>
        <v>3</v>
      </c>
      <c r="AG7" s="36">
        <f t="shared" ref="AG7:AG16" si="1">COUNTIF(B7:AE7,"نصف")</f>
        <v>0</v>
      </c>
      <c r="AH7" s="37">
        <f t="shared" ref="AH7:AH16" si="2">SUMIF(B7:AE7,"&gt;"&amp;0)</f>
        <v>0</v>
      </c>
      <c r="AI7" s="38" t="str">
        <f>IF(OR('بيانات الموظفين'!C5="",NOT(ISNUMBER('بيانات الموظفين'!G2)),AH7=0),"-",ROUND(AH7*(('بيانات الموظفين'!C5/30)/'بيانات الموظفين'!G2),2))</f>
        <v>-</v>
      </c>
      <c r="AJ7" s="39">
        <f>IF('بيانات الموظفين'!C5="","-",30-AF7-AG7*0.5)</f>
        <v>27</v>
      </c>
      <c r="AK7" s="6">
        <f>IF('بيانات الموظفين'!C5="","-",ROUND(('بيانات الموظفين'!C5/30)*AF7+(('بيانات الموظفين'!C5/30)/2)*AG7,2))</f>
        <v>700000</v>
      </c>
      <c r="AL7" s="40">
        <f>IF('بيانات الموظفين'!C5="","-",ROUND('بيانات الموظفين'!C5+IF(ISNUMBER(AI7),AI7,0)-IF(ISNUMBER(AK7),AK7,0),2))</f>
        <v>6300000</v>
      </c>
    </row>
    <row r="8" spans="1:38" ht="25.5" customHeight="1" x14ac:dyDescent="0.25">
      <c r="A8" s="3" t="str">
        <f>'بيانات الموظفين'!B6</f>
        <v>هيثم صمادي</v>
      </c>
      <c r="B8" s="41" t="s">
        <v>39</v>
      </c>
      <c r="C8" s="41"/>
      <c r="D8" s="41"/>
      <c r="E8" s="41"/>
      <c r="F8" s="34"/>
      <c r="G8" s="41"/>
      <c r="H8" s="41"/>
      <c r="I8" s="41"/>
      <c r="J8" s="41"/>
      <c r="K8" s="41"/>
      <c r="L8" s="41"/>
      <c r="M8" s="34"/>
      <c r="N8" s="41"/>
      <c r="O8" s="41" t="s">
        <v>39</v>
      </c>
      <c r="P8" s="41"/>
      <c r="Q8" s="41"/>
      <c r="R8" s="41"/>
      <c r="S8" s="41"/>
      <c r="T8" s="34"/>
      <c r="U8" s="41"/>
      <c r="V8" s="41"/>
      <c r="W8" s="41">
        <v>6</v>
      </c>
      <c r="X8" s="41"/>
      <c r="Y8" s="41"/>
      <c r="Z8" s="41"/>
      <c r="AA8" s="34"/>
      <c r="AB8" s="41"/>
      <c r="AC8" s="41"/>
      <c r="AD8" s="41"/>
      <c r="AE8" s="41"/>
      <c r="AF8" s="35">
        <f t="shared" si="0"/>
        <v>2</v>
      </c>
      <c r="AG8" s="36">
        <f t="shared" si="1"/>
        <v>0</v>
      </c>
      <c r="AH8" s="37">
        <f t="shared" si="2"/>
        <v>6</v>
      </c>
      <c r="AI8" s="38">
        <f>IF(OR('بيانات الموظفين'!C6="",NOT(ISNUMBER('بيانات الموظفين'!G2)),AH8=0),"-",ROUND(AH8*(('بيانات الموظفين'!C6/30)/'بيانات الموظفين'!G2),2))</f>
        <v>66666.67</v>
      </c>
      <c r="AJ8" s="39">
        <f>IF('بيانات الموظفين'!C6="","-",30-AF8-AG8*0.5)</f>
        <v>28</v>
      </c>
      <c r="AK8" s="6">
        <f>IF('بيانات الموظفين'!C6="","-",ROUND(('بيانات الموظفين'!C6/30)*AF8+(('بيانات الموظفين'!C6/30)/2)*AG8,2))</f>
        <v>200000</v>
      </c>
      <c r="AL8" s="40">
        <f>IF('بيانات الموظفين'!C6="","-",ROUND('بيانات الموظفين'!C6+IF(ISNUMBER(AI8),AI8,0)-IF(ISNUMBER(AK8),AK8,0),2))</f>
        <v>2866666.67</v>
      </c>
    </row>
    <row r="9" spans="1:38" ht="25.5" customHeight="1" x14ac:dyDescent="0.25">
      <c r="A9" s="3" t="str">
        <f>'بيانات الموظفين'!B7</f>
        <v>حسام كبريتة</v>
      </c>
      <c r="B9" s="33" t="s">
        <v>39</v>
      </c>
      <c r="C9" s="33"/>
      <c r="D9" s="33"/>
      <c r="E9" s="33"/>
      <c r="F9" s="34"/>
      <c r="G9" s="33"/>
      <c r="H9" s="33"/>
      <c r="I9" s="33"/>
      <c r="J9" s="33"/>
      <c r="K9" s="33"/>
      <c r="L9" s="33"/>
      <c r="M9" s="34"/>
      <c r="N9" s="33"/>
      <c r="O9" s="33" t="s">
        <v>39</v>
      </c>
      <c r="P9" s="33"/>
      <c r="Q9" s="33"/>
      <c r="R9" s="33"/>
      <c r="S9" s="33"/>
      <c r="T9" s="34"/>
      <c r="U9" s="33"/>
      <c r="V9" s="33"/>
      <c r="W9" s="33">
        <v>6</v>
      </c>
      <c r="X9" s="33"/>
      <c r="Y9" s="33" t="s">
        <v>39</v>
      </c>
      <c r="Z9" s="33"/>
      <c r="AA9" s="34"/>
      <c r="AB9" s="33"/>
      <c r="AC9" s="33"/>
      <c r="AD9" s="33"/>
      <c r="AE9" s="33"/>
      <c r="AF9" s="35">
        <f t="shared" si="0"/>
        <v>3</v>
      </c>
      <c r="AG9" s="36">
        <f t="shared" si="1"/>
        <v>0</v>
      </c>
      <c r="AH9" s="37">
        <f t="shared" si="2"/>
        <v>6</v>
      </c>
      <c r="AI9" s="38">
        <f>IF(OR('بيانات الموظفين'!C7="",NOT(ISNUMBER('بيانات الموظفين'!G2)),AH9=0),"-",ROUND(AH9*(('بيانات الموظفين'!C7/30)/'بيانات الموظفين'!G2),2))</f>
        <v>55555.56</v>
      </c>
      <c r="AJ9" s="39">
        <f>IF('بيانات الموظفين'!C7="","-",30-AF9-AG9*0.5)</f>
        <v>27</v>
      </c>
      <c r="AK9" s="6">
        <f>IF('بيانات الموظفين'!C7="","-",ROUND(('بيانات الموظفين'!C7/30)*AF9+(('بيانات الموظفين'!C7/30)/2)*AG9,2))</f>
        <v>250000</v>
      </c>
      <c r="AL9" s="40">
        <f>IF('بيانات الموظفين'!C7="","-",ROUND('بيانات الموظفين'!C7+IF(ISNUMBER(AI9),AI9,0)-IF(ISNUMBER(AK9),AK9,0),2))</f>
        <v>2305555.56</v>
      </c>
    </row>
    <row r="10" spans="1:38" ht="25.5" customHeight="1" x14ac:dyDescent="0.25">
      <c r="A10" s="3" t="str">
        <f>'بيانات الموظفين'!B8</f>
        <v>انس المنسي</v>
      </c>
      <c r="B10" s="41" t="s">
        <v>39</v>
      </c>
      <c r="C10" s="41" t="s">
        <v>39</v>
      </c>
      <c r="D10" s="41" t="s">
        <v>39</v>
      </c>
      <c r="E10" s="41" t="s">
        <v>39</v>
      </c>
      <c r="F10" s="34" t="s">
        <v>39</v>
      </c>
      <c r="G10" s="41"/>
      <c r="H10" s="41"/>
      <c r="I10" s="41"/>
      <c r="J10" s="41"/>
      <c r="K10" s="41"/>
      <c r="L10" s="41"/>
      <c r="M10" s="34"/>
      <c r="N10" s="41"/>
      <c r="O10" s="41" t="s">
        <v>39</v>
      </c>
      <c r="P10" s="41"/>
      <c r="Q10" s="41"/>
      <c r="R10" s="41"/>
      <c r="S10" s="41"/>
      <c r="T10" s="34"/>
      <c r="U10" s="41"/>
      <c r="V10" s="41"/>
      <c r="W10" s="41"/>
      <c r="X10" s="41" t="s">
        <v>39</v>
      </c>
      <c r="Y10" s="41" t="s">
        <v>39</v>
      </c>
      <c r="Z10" s="41" t="s">
        <v>39</v>
      </c>
      <c r="AA10" s="34" t="s">
        <v>39</v>
      </c>
      <c r="AB10" s="41" t="s">
        <v>39</v>
      </c>
      <c r="AC10" s="41"/>
      <c r="AD10" s="41"/>
      <c r="AE10" s="41"/>
      <c r="AF10" s="35">
        <f t="shared" si="0"/>
        <v>11</v>
      </c>
      <c r="AG10" s="36">
        <f t="shared" si="1"/>
        <v>0</v>
      </c>
      <c r="AH10" s="37">
        <f t="shared" si="2"/>
        <v>0</v>
      </c>
      <c r="AI10" s="38" t="str">
        <f>IF(OR('بيانات الموظفين'!C8="",NOT(ISNUMBER('بيانات الموظفين'!G2)),AH10=0),"-",ROUND(AH10*(('بيانات الموظفين'!C8/30)/'بيانات الموظفين'!G2),2))</f>
        <v>-</v>
      </c>
      <c r="AJ10" s="39">
        <f>IF('بيانات الموظفين'!C8="","-",30-AF10-AG10*0.5)</f>
        <v>19</v>
      </c>
      <c r="AK10" s="6">
        <f>IF('بيانات الموظفين'!C8="","-",ROUND(('بيانات الموظفين'!C8/30)*AF10+(('بيانات الموظفين'!C8/30)/2)*AG10,2))</f>
        <v>293333.33</v>
      </c>
      <c r="AL10" s="40">
        <f>IF('بيانات الموظفين'!C8="","-",ROUND('بيانات الموظفين'!C8+IF(ISNUMBER(AI10),AI10,0)-IF(ISNUMBER(AK10),AK10,0),2))</f>
        <v>506666.67</v>
      </c>
    </row>
    <row r="11" spans="1:38" ht="25.5" customHeight="1" x14ac:dyDescent="0.25">
      <c r="A11" s="3" t="str">
        <f>'بيانات الموظفين'!B9</f>
        <v>عمار مجيد</v>
      </c>
      <c r="B11" s="33" t="s">
        <v>39</v>
      </c>
      <c r="C11" s="33" t="s">
        <v>39</v>
      </c>
      <c r="D11" s="33" t="s">
        <v>39</v>
      </c>
      <c r="E11" s="33" t="s">
        <v>39</v>
      </c>
      <c r="F11" s="34" t="s">
        <v>39</v>
      </c>
      <c r="G11" s="33" t="s">
        <v>39</v>
      </c>
      <c r="H11" s="33" t="s">
        <v>39</v>
      </c>
      <c r="I11" s="33" t="s">
        <v>39</v>
      </c>
      <c r="J11" s="33" t="s">
        <v>39</v>
      </c>
      <c r="K11" s="33" t="s">
        <v>39</v>
      </c>
      <c r="L11" s="33" t="s">
        <v>39</v>
      </c>
      <c r="M11" s="34" t="s">
        <v>39</v>
      </c>
      <c r="N11" s="33" t="s">
        <v>39</v>
      </c>
      <c r="O11" s="33" t="s">
        <v>39</v>
      </c>
      <c r="P11" s="33" t="s">
        <v>39</v>
      </c>
      <c r="Q11" s="33" t="s">
        <v>39</v>
      </c>
      <c r="R11" s="33" t="s">
        <v>39</v>
      </c>
      <c r="S11" s="33" t="s">
        <v>39</v>
      </c>
      <c r="T11" s="34" t="s">
        <v>39</v>
      </c>
      <c r="U11" s="33" t="s">
        <v>39</v>
      </c>
      <c r="V11" s="33" t="s">
        <v>39</v>
      </c>
      <c r="W11" s="33">
        <v>1</v>
      </c>
      <c r="X11" s="33"/>
      <c r="Y11" s="33"/>
      <c r="Z11" s="33"/>
      <c r="AA11" s="34"/>
      <c r="AB11" s="33" t="s">
        <v>39</v>
      </c>
      <c r="AC11" s="33"/>
      <c r="AD11" s="33"/>
      <c r="AE11" s="33"/>
      <c r="AF11" s="35">
        <f t="shared" si="0"/>
        <v>22</v>
      </c>
      <c r="AG11" s="36">
        <f t="shared" si="1"/>
        <v>0</v>
      </c>
      <c r="AH11" s="37">
        <f t="shared" si="2"/>
        <v>1</v>
      </c>
      <c r="AI11" s="38">
        <f>IF(OR('بيانات الموظفين'!C9="",NOT(ISNUMBER('بيانات الموظفين'!G2)),AH11=0),"-",ROUND(AH11*(('بيانات الموظفين'!C9/30)/'بيانات الموظفين'!G2),2))</f>
        <v>7407.41</v>
      </c>
      <c r="AJ11" s="39">
        <f>IF('بيانات الموظفين'!C9="","-",30-AF11-AG11*0.5)</f>
        <v>8</v>
      </c>
      <c r="AK11" s="6">
        <f>IF('بيانات الموظفين'!C9="","-",ROUND(('بيانات الموظفين'!C9/30)*AF11+(('بيانات الموظفين'!C9/30)/2)*AG11,2))</f>
        <v>1466666.67</v>
      </c>
      <c r="AL11" s="40">
        <f>IF('بيانات الموظفين'!C9="","-",ROUND('بيانات الموظفين'!C9+IF(ISNUMBER(AI11),AI11,0)-IF(ISNUMBER(AK11),AK11,0),2))</f>
        <v>540740.74</v>
      </c>
    </row>
    <row r="12" spans="1:38" ht="25.5" customHeight="1" x14ac:dyDescent="0.25">
      <c r="A12" s="3">
        <f>'بيانات الموظفين'!B10</f>
        <v>0</v>
      </c>
      <c r="B12" s="41"/>
      <c r="C12" s="41"/>
      <c r="D12" s="41"/>
      <c r="E12" s="41"/>
      <c r="F12" s="34"/>
      <c r="G12" s="41"/>
      <c r="H12" s="41"/>
      <c r="I12" s="41"/>
      <c r="J12" s="41"/>
      <c r="K12" s="41"/>
      <c r="L12" s="41"/>
      <c r="M12" s="34"/>
      <c r="N12" s="41"/>
      <c r="O12" s="41"/>
      <c r="P12" s="41"/>
      <c r="Q12" s="41"/>
      <c r="R12" s="41"/>
      <c r="S12" s="41"/>
      <c r="T12" s="34"/>
      <c r="U12" s="41"/>
      <c r="V12" s="41"/>
      <c r="W12" s="41"/>
      <c r="X12" s="41"/>
      <c r="Y12" s="41"/>
      <c r="Z12" s="41"/>
      <c r="AA12" s="34"/>
      <c r="AB12" s="41"/>
      <c r="AC12" s="41"/>
      <c r="AD12" s="41"/>
      <c r="AE12" s="41"/>
      <c r="AF12" s="35">
        <f t="shared" si="0"/>
        <v>0</v>
      </c>
      <c r="AG12" s="36">
        <f t="shared" si="1"/>
        <v>0</v>
      </c>
      <c r="AH12" s="37">
        <f t="shared" si="2"/>
        <v>0</v>
      </c>
      <c r="AI12" s="38" t="str">
        <f>IF(OR('بيانات الموظفين'!C10="",NOT(ISNUMBER('بيانات الموظفين'!G2)),AH12=0),"-",ROUND(AH12*(('بيانات الموظفين'!C10/30)/'بيانات الموظفين'!G2),2))</f>
        <v>-</v>
      </c>
      <c r="AJ12" s="39" t="str">
        <f>IF('بيانات الموظفين'!C10="","-",30-AF12-AG12*0.5)</f>
        <v>-</v>
      </c>
      <c r="AK12" s="6" t="str">
        <f>IF('بيانات الموظفين'!C10="","-",ROUND(('بيانات الموظفين'!C10/30)*AF12+(('بيانات الموظفين'!C10/30)/2)*AG12,2))</f>
        <v>-</v>
      </c>
      <c r="AL12" s="40" t="str">
        <f>IF('بيانات الموظفين'!C10="","-",ROUND('بيانات الموظفين'!C10+IF(ISNUMBER(AI12),AI12,0)-IF(ISNUMBER(AK12),AK12,0),2))</f>
        <v>-</v>
      </c>
    </row>
    <row r="13" spans="1:38" ht="25.5" customHeight="1" x14ac:dyDescent="0.25">
      <c r="A13" s="3">
        <f>'بيانات الموظفين'!B11</f>
        <v>0</v>
      </c>
      <c r="B13" s="33"/>
      <c r="C13" s="33"/>
      <c r="D13" s="33"/>
      <c r="E13" s="33"/>
      <c r="F13" s="34"/>
      <c r="G13" s="33"/>
      <c r="H13" s="33"/>
      <c r="I13" s="33"/>
      <c r="J13" s="33"/>
      <c r="K13" s="33"/>
      <c r="L13" s="33"/>
      <c r="M13" s="34"/>
      <c r="N13" s="33"/>
      <c r="O13" s="33"/>
      <c r="P13" s="33"/>
      <c r="Q13" s="33"/>
      <c r="R13" s="33"/>
      <c r="S13" s="33"/>
      <c r="T13" s="34"/>
      <c r="U13" s="33"/>
      <c r="V13" s="33"/>
      <c r="W13" s="33"/>
      <c r="X13" s="33"/>
      <c r="Y13" s="33"/>
      <c r="Z13" s="33"/>
      <c r="AA13" s="34"/>
      <c r="AB13" s="33"/>
      <c r="AC13" s="33"/>
      <c r="AD13" s="33"/>
      <c r="AE13" s="33"/>
      <c r="AF13" s="35">
        <f t="shared" si="0"/>
        <v>0</v>
      </c>
      <c r="AG13" s="36">
        <f t="shared" si="1"/>
        <v>0</v>
      </c>
      <c r="AH13" s="37">
        <f t="shared" si="2"/>
        <v>0</v>
      </c>
      <c r="AI13" s="38" t="str">
        <f>IF(OR('بيانات الموظفين'!C11="",NOT(ISNUMBER('بيانات الموظفين'!G2)),AH13=0),"-",ROUND(AH13*(('بيانات الموظفين'!C11/30)/'بيانات الموظفين'!G2),2))</f>
        <v>-</v>
      </c>
      <c r="AJ13" s="39" t="str">
        <f>IF('بيانات الموظفين'!C11="","-",30-AF13-AG13*0.5)</f>
        <v>-</v>
      </c>
      <c r="AK13" s="6" t="str">
        <f>IF('بيانات الموظفين'!C11="","-",ROUND(('بيانات الموظفين'!C11/30)*AF13+(('بيانات الموظفين'!C11/30)/2)*AG13,2))</f>
        <v>-</v>
      </c>
      <c r="AL13" s="40" t="str">
        <f>IF('بيانات الموظفين'!C11="","-",ROUND('بيانات الموظفين'!C11+IF(ISNUMBER(AI13),AI13,0)-IF(ISNUMBER(AK13),AK13,0),2))</f>
        <v>-</v>
      </c>
    </row>
    <row r="14" spans="1:38" ht="25.5" customHeight="1" x14ac:dyDescent="0.25">
      <c r="A14" s="3">
        <f>'بيانات الموظفين'!B12</f>
        <v>0</v>
      </c>
      <c r="B14" s="41"/>
      <c r="C14" s="41"/>
      <c r="D14" s="41"/>
      <c r="E14" s="41"/>
      <c r="F14" s="34"/>
      <c r="G14" s="41"/>
      <c r="H14" s="41"/>
      <c r="I14" s="41"/>
      <c r="J14" s="41"/>
      <c r="K14" s="41"/>
      <c r="L14" s="41"/>
      <c r="M14" s="34"/>
      <c r="N14" s="41"/>
      <c r="O14" s="41"/>
      <c r="P14" s="41"/>
      <c r="Q14" s="41"/>
      <c r="R14" s="41"/>
      <c r="S14" s="41"/>
      <c r="T14" s="34"/>
      <c r="U14" s="41"/>
      <c r="V14" s="41"/>
      <c r="W14" s="41"/>
      <c r="X14" s="41"/>
      <c r="Y14" s="41"/>
      <c r="Z14" s="41"/>
      <c r="AA14" s="34"/>
      <c r="AB14" s="41"/>
      <c r="AC14" s="41"/>
      <c r="AD14" s="41"/>
      <c r="AE14" s="41"/>
      <c r="AF14" s="35">
        <f t="shared" si="0"/>
        <v>0</v>
      </c>
      <c r="AG14" s="36">
        <f t="shared" si="1"/>
        <v>0</v>
      </c>
      <c r="AH14" s="37">
        <f t="shared" si="2"/>
        <v>0</v>
      </c>
      <c r="AI14" s="38" t="str">
        <f>IF(OR('بيانات الموظفين'!C12="",NOT(ISNUMBER('بيانات الموظفين'!G2)),AH14=0),"-",ROUND(AH14*(('بيانات الموظفين'!C12/30)/'بيانات الموظفين'!G2),2))</f>
        <v>-</v>
      </c>
      <c r="AJ14" s="39" t="str">
        <f>IF('بيانات الموظفين'!C12="","-",30-AF14-AG14*0.5)</f>
        <v>-</v>
      </c>
      <c r="AK14" s="6" t="str">
        <f>IF('بيانات الموظفين'!C12="","-",ROUND(('بيانات الموظفين'!C12/30)*AF14+(('بيانات الموظفين'!C12/30)/2)*AG14,2))</f>
        <v>-</v>
      </c>
      <c r="AL14" s="40" t="str">
        <f>IF('بيانات الموظفين'!C12="","-",ROUND('بيانات الموظفين'!C12+IF(ISNUMBER(AI14),AI14,0)-IF(ISNUMBER(AK14),AK14,0),2))</f>
        <v>-</v>
      </c>
    </row>
    <row r="15" spans="1:38" ht="25.5" customHeight="1" x14ac:dyDescent="0.25">
      <c r="A15" s="3">
        <f>'بيانات الموظفين'!B13</f>
        <v>0</v>
      </c>
      <c r="B15" s="33"/>
      <c r="C15" s="33"/>
      <c r="D15" s="33"/>
      <c r="E15" s="33"/>
      <c r="F15" s="34"/>
      <c r="G15" s="33"/>
      <c r="H15" s="33"/>
      <c r="I15" s="33"/>
      <c r="J15" s="33"/>
      <c r="K15" s="33"/>
      <c r="L15" s="33"/>
      <c r="M15" s="34"/>
      <c r="N15" s="33"/>
      <c r="O15" s="33"/>
      <c r="P15" s="33"/>
      <c r="Q15" s="33"/>
      <c r="R15" s="33"/>
      <c r="S15" s="33"/>
      <c r="T15" s="34"/>
      <c r="U15" s="33"/>
      <c r="V15" s="33"/>
      <c r="W15" s="33"/>
      <c r="X15" s="33"/>
      <c r="Y15" s="33"/>
      <c r="Z15" s="33"/>
      <c r="AA15" s="34"/>
      <c r="AB15" s="33"/>
      <c r="AC15" s="33"/>
      <c r="AD15" s="33"/>
      <c r="AE15" s="33"/>
      <c r="AF15" s="35">
        <f t="shared" si="0"/>
        <v>0</v>
      </c>
      <c r="AG15" s="36">
        <f t="shared" si="1"/>
        <v>0</v>
      </c>
      <c r="AH15" s="37">
        <f t="shared" si="2"/>
        <v>0</v>
      </c>
      <c r="AI15" s="38" t="str">
        <f>IF(OR('بيانات الموظفين'!C13="",NOT(ISNUMBER('بيانات الموظفين'!G2)),AH15=0),"-",ROUND(AH15*(('بيانات الموظفين'!C13/30)/'بيانات الموظفين'!G2),2))</f>
        <v>-</v>
      </c>
      <c r="AJ15" s="39" t="str">
        <f>IF('بيانات الموظفين'!C13="","-",30-AF15-AG15*0.5)</f>
        <v>-</v>
      </c>
      <c r="AK15" s="6" t="str">
        <f>IF('بيانات الموظفين'!C13="","-",ROUND(('بيانات الموظفين'!C13/30)*AF15+(('بيانات الموظفين'!C13/30)/2)*AG15,2))</f>
        <v>-</v>
      </c>
      <c r="AL15" s="40" t="str">
        <f>IF('بيانات الموظفين'!C13="","-",ROUND('بيانات الموظفين'!C13+IF(ISNUMBER(AI15),AI15,0)-IF(ISNUMBER(AK15),AK15,0),2))</f>
        <v>-</v>
      </c>
    </row>
    <row r="16" spans="1:38" ht="25.5" customHeight="1" x14ac:dyDescent="0.25">
      <c r="A16" s="3">
        <f>'بيانات الموظفين'!B14</f>
        <v>0</v>
      </c>
      <c r="B16" s="41"/>
      <c r="C16" s="41"/>
      <c r="D16" s="41"/>
      <c r="E16" s="41"/>
      <c r="F16" s="34"/>
      <c r="G16" s="41"/>
      <c r="H16" s="41"/>
      <c r="I16" s="41"/>
      <c r="J16" s="41"/>
      <c r="K16" s="41"/>
      <c r="L16" s="41"/>
      <c r="M16" s="34"/>
      <c r="N16" s="41"/>
      <c r="O16" s="41"/>
      <c r="P16" s="41"/>
      <c r="Q16" s="41"/>
      <c r="R16" s="41"/>
      <c r="S16" s="41"/>
      <c r="T16" s="34"/>
      <c r="U16" s="41"/>
      <c r="V16" s="41"/>
      <c r="W16" s="41"/>
      <c r="X16" s="41"/>
      <c r="Y16" s="41"/>
      <c r="Z16" s="41"/>
      <c r="AA16" s="34"/>
      <c r="AB16" s="41"/>
      <c r="AC16" s="41"/>
      <c r="AD16" s="41"/>
      <c r="AE16" s="41"/>
      <c r="AF16" s="35">
        <f t="shared" si="0"/>
        <v>0</v>
      </c>
      <c r="AG16" s="36">
        <f t="shared" si="1"/>
        <v>0</v>
      </c>
      <c r="AH16" s="37">
        <f t="shared" si="2"/>
        <v>0</v>
      </c>
      <c r="AI16" s="38" t="str">
        <f>IF(OR('بيانات الموظفين'!C14="",NOT(ISNUMBER('بيانات الموظفين'!G2)),AH16=0),"-",ROUND(AH16*(('بيانات الموظفين'!C14/30)/'بيانات الموظفين'!G2),2))</f>
        <v>-</v>
      </c>
      <c r="AJ16" s="39" t="str">
        <f>IF('بيانات الموظفين'!C14="","-",30-AF16-AG16*0.5)</f>
        <v>-</v>
      </c>
      <c r="AK16" s="6" t="str">
        <f>IF('بيانات الموظفين'!C14="","-",ROUND(('بيانات الموظفين'!C14/30)*AF16+(('بيانات الموظفين'!C14/30)/2)*AG16,2))</f>
        <v>-</v>
      </c>
      <c r="AL16" s="40" t="str">
        <f>IF('بيانات الموظفين'!C14="","-",ROUND('بيانات الموظفين'!C14+IF(ISNUMBER(AI16),AI16,0)-IF(ISNUMBER(AK16),AK16,0),2))</f>
        <v>-</v>
      </c>
    </row>
    <row r="17" spans="1:38" ht="25.5" customHeight="1" x14ac:dyDescent="0.25">
      <c r="A17" s="1" t="s">
        <v>83</v>
      </c>
      <c r="B17" s="42">
        <f t="shared" ref="B17:AE17" si="3">COUNTIF(B7:B16,"غ")+COUNTIF(B7:B16,"نصف")*0.5</f>
        <v>5</v>
      </c>
      <c r="C17" s="42">
        <f t="shared" si="3"/>
        <v>2</v>
      </c>
      <c r="D17" s="42">
        <f t="shared" si="3"/>
        <v>2</v>
      </c>
      <c r="E17" s="42">
        <f t="shared" si="3"/>
        <v>2</v>
      </c>
      <c r="F17" s="42">
        <f t="shared" si="3"/>
        <v>2</v>
      </c>
      <c r="G17" s="42">
        <f t="shared" si="3"/>
        <v>1</v>
      </c>
      <c r="H17" s="42">
        <f t="shared" si="3"/>
        <v>1</v>
      </c>
      <c r="I17" s="42">
        <f t="shared" si="3"/>
        <v>1</v>
      </c>
      <c r="J17" s="42">
        <f t="shared" si="3"/>
        <v>1</v>
      </c>
      <c r="K17" s="42">
        <f t="shared" si="3"/>
        <v>1</v>
      </c>
      <c r="L17" s="42">
        <f t="shared" si="3"/>
        <v>1</v>
      </c>
      <c r="M17" s="42">
        <f t="shared" si="3"/>
        <v>1</v>
      </c>
      <c r="N17" s="42">
        <f t="shared" si="3"/>
        <v>1</v>
      </c>
      <c r="O17" s="42">
        <f t="shared" si="3"/>
        <v>4</v>
      </c>
      <c r="P17" s="42">
        <f t="shared" si="3"/>
        <v>1</v>
      </c>
      <c r="Q17" s="42">
        <f t="shared" si="3"/>
        <v>1</v>
      </c>
      <c r="R17" s="42">
        <f t="shared" si="3"/>
        <v>1</v>
      </c>
      <c r="S17" s="42">
        <f t="shared" si="3"/>
        <v>2</v>
      </c>
      <c r="T17" s="42">
        <f t="shared" si="3"/>
        <v>1</v>
      </c>
      <c r="U17" s="42">
        <f t="shared" si="3"/>
        <v>1</v>
      </c>
      <c r="V17" s="42">
        <f t="shared" si="3"/>
        <v>1</v>
      </c>
      <c r="W17" s="42">
        <f t="shared" si="3"/>
        <v>0</v>
      </c>
      <c r="X17" s="42">
        <f t="shared" si="3"/>
        <v>1</v>
      </c>
      <c r="Y17" s="42">
        <f t="shared" si="3"/>
        <v>2</v>
      </c>
      <c r="Z17" s="42">
        <f t="shared" si="3"/>
        <v>2</v>
      </c>
      <c r="AA17" s="42">
        <f t="shared" si="3"/>
        <v>1</v>
      </c>
      <c r="AB17" s="42">
        <f t="shared" si="3"/>
        <v>2</v>
      </c>
      <c r="AC17" s="42">
        <f t="shared" si="3"/>
        <v>0</v>
      </c>
      <c r="AD17" s="42">
        <f t="shared" si="3"/>
        <v>0</v>
      </c>
      <c r="AE17" s="42">
        <f t="shared" si="3"/>
        <v>0</v>
      </c>
      <c r="AF17" s="43">
        <f>SUM(AF7:AF16)</f>
        <v>41</v>
      </c>
      <c r="AG17" s="43">
        <f>SUM(AG7:AG16)</f>
        <v>0</v>
      </c>
      <c r="AH17" s="43">
        <f>SUM(AH7:AH16)</f>
        <v>13</v>
      </c>
      <c r="AI17" s="44">
        <f>SUM(AI7:AI16)</f>
        <v>129629.64</v>
      </c>
      <c r="AJ17" s="45"/>
      <c r="AK17" s="44">
        <f>SUM(AK7:AK16)</f>
        <v>2910000</v>
      </c>
      <c r="AL17" s="44">
        <f>SUM(AL7:AL16)</f>
        <v>12519629.640000001</v>
      </c>
    </row>
    <row r="18" spans="1:38" ht="9.75" customHeight="1" x14ac:dyDescent="0.25"/>
    <row r="19" spans="1:38" ht="31.5" customHeight="1" x14ac:dyDescent="0.25">
      <c r="A19" s="50" t="s">
        <v>84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</row>
    <row r="20" spans="1:38" ht="27.75" customHeight="1" x14ac:dyDescent="0.25">
      <c r="A20" s="1" t="s">
        <v>2</v>
      </c>
      <c r="B20" s="1" t="s">
        <v>3</v>
      </c>
      <c r="C20" s="1" t="s">
        <v>63</v>
      </c>
      <c r="D20" s="1" t="s">
        <v>64</v>
      </c>
      <c r="E20" s="1" t="s">
        <v>65</v>
      </c>
      <c r="F20" s="1" t="s">
        <v>66</v>
      </c>
      <c r="G20" s="1" t="s">
        <v>67</v>
      </c>
      <c r="H20" s="1" t="s">
        <v>68</v>
      </c>
      <c r="I20" s="1" t="s">
        <v>69</v>
      </c>
    </row>
    <row r="21" spans="1:38" ht="24" customHeight="1" x14ac:dyDescent="0.25">
      <c r="A21" s="2">
        <v>1</v>
      </c>
      <c r="B21" s="3" t="str">
        <f>'بيانات الموظفين'!B5</f>
        <v xml:space="preserve">أبو بكر </v>
      </c>
      <c r="C21" s="4">
        <f>IF('بيانات الموظفين'!C5="","-",'بيانات الموظفين'!C5)</f>
        <v>7000000</v>
      </c>
      <c r="D21" s="46">
        <f t="shared" ref="D21:D30" si="4">AF7</f>
        <v>3</v>
      </c>
      <c r="E21" s="47">
        <f t="shared" ref="E21:E30" si="5">AG7</f>
        <v>0</v>
      </c>
      <c r="F21" s="6">
        <f t="shared" ref="F21:F30" si="6">AK7</f>
        <v>700000</v>
      </c>
      <c r="G21" s="48">
        <f t="shared" ref="G21:G30" si="7">AH7</f>
        <v>0</v>
      </c>
      <c r="H21" s="38" t="str">
        <f t="shared" ref="H21:H30" si="8">AI7</f>
        <v>-</v>
      </c>
      <c r="I21" s="40">
        <f t="shared" ref="I21:I30" si="9">AL7</f>
        <v>6300000</v>
      </c>
    </row>
    <row r="22" spans="1:38" ht="24" customHeight="1" x14ac:dyDescent="0.25">
      <c r="A22" s="8">
        <v>2</v>
      </c>
      <c r="B22" s="3" t="str">
        <f>'بيانات الموظفين'!B6</f>
        <v>هيثم صمادي</v>
      </c>
      <c r="C22" s="9">
        <f>IF('بيانات الموظفين'!C6="","-",'بيانات الموظفين'!C6)</f>
        <v>3000000</v>
      </c>
      <c r="D22" s="46">
        <f t="shared" si="4"/>
        <v>2</v>
      </c>
      <c r="E22" s="47">
        <f t="shared" si="5"/>
        <v>0</v>
      </c>
      <c r="F22" s="6">
        <f t="shared" si="6"/>
        <v>200000</v>
      </c>
      <c r="G22" s="48">
        <f t="shared" si="7"/>
        <v>6</v>
      </c>
      <c r="H22" s="38">
        <f t="shared" si="8"/>
        <v>66666.67</v>
      </c>
      <c r="I22" s="40">
        <f t="shared" si="9"/>
        <v>2866666.67</v>
      </c>
    </row>
    <row r="23" spans="1:38" ht="24" customHeight="1" x14ac:dyDescent="0.25">
      <c r="A23" s="2">
        <v>3</v>
      </c>
      <c r="B23" s="3" t="str">
        <f>'بيانات الموظفين'!B7</f>
        <v>حسام كبريتة</v>
      </c>
      <c r="C23" s="4">
        <f>IF('بيانات الموظفين'!C7="","-",'بيانات الموظفين'!C7)</f>
        <v>2500000</v>
      </c>
      <c r="D23" s="46">
        <f t="shared" si="4"/>
        <v>3</v>
      </c>
      <c r="E23" s="47">
        <f t="shared" si="5"/>
        <v>0</v>
      </c>
      <c r="F23" s="6">
        <f t="shared" si="6"/>
        <v>250000</v>
      </c>
      <c r="G23" s="48">
        <f t="shared" si="7"/>
        <v>6</v>
      </c>
      <c r="H23" s="38">
        <f t="shared" si="8"/>
        <v>55555.56</v>
      </c>
      <c r="I23" s="40">
        <f t="shared" si="9"/>
        <v>2305555.56</v>
      </c>
    </row>
    <row r="24" spans="1:38" ht="24" customHeight="1" x14ac:dyDescent="0.25">
      <c r="A24" s="8">
        <v>4</v>
      </c>
      <c r="B24" s="3" t="str">
        <f>'بيانات الموظفين'!B8</f>
        <v>انس المنسي</v>
      </c>
      <c r="C24" s="9">
        <f>IF('بيانات الموظفين'!C8="","-",'بيانات الموظفين'!C8)</f>
        <v>800000</v>
      </c>
      <c r="D24" s="46">
        <f t="shared" si="4"/>
        <v>11</v>
      </c>
      <c r="E24" s="47">
        <f t="shared" si="5"/>
        <v>0</v>
      </c>
      <c r="F24" s="6">
        <f t="shared" si="6"/>
        <v>293333.33</v>
      </c>
      <c r="G24" s="48">
        <f t="shared" si="7"/>
        <v>0</v>
      </c>
      <c r="H24" s="38" t="str">
        <f t="shared" si="8"/>
        <v>-</v>
      </c>
      <c r="I24" s="40">
        <f t="shared" si="9"/>
        <v>506666.67</v>
      </c>
    </row>
    <row r="25" spans="1:38" ht="24" customHeight="1" x14ac:dyDescent="0.25">
      <c r="A25" s="2">
        <v>5</v>
      </c>
      <c r="B25" s="3" t="str">
        <f>'بيانات الموظفين'!B9</f>
        <v>عمار مجيد</v>
      </c>
      <c r="C25" s="4">
        <f>IF('بيانات الموظفين'!C9="","-",'بيانات الموظفين'!C9)</f>
        <v>2000000</v>
      </c>
      <c r="D25" s="46">
        <f t="shared" si="4"/>
        <v>22</v>
      </c>
      <c r="E25" s="47">
        <f t="shared" si="5"/>
        <v>0</v>
      </c>
      <c r="F25" s="6">
        <f t="shared" si="6"/>
        <v>1466666.67</v>
      </c>
      <c r="G25" s="48">
        <f t="shared" si="7"/>
        <v>1</v>
      </c>
      <c r="H25" s="38">
        <f t="shared" si="8"/>
        <v>7407.41</v>
      </c>
      <c r="I25" s="40">
        <f t="shared" si="9"/>
        <v>540740.74</v>
      </c>
    </row>
    <row r="26" spans="1:38" ht="24" customHeight="1" x14ac:dyDescent="0.25">
      <c r="A26" s="8">
        <v>6</v>
      </c>
      <c r="B26" s="3">
        <f>'بيانات الموظفين'!B10</f>
        <v>0</v>
      </c>
      <c r="C26" s="9" t="str">
        <f>IF('بيانات الموظفين'!C10="","-",'بيانات الموظفين'!C10)</f>
        <v>-</v>
      </c>
      <c r="D26" s="46">
        <f t="shared" si="4"/>
        <v>0</v>
      </c>
      <c r="E26" s="47">
        <f t="shared" si="5"/>
        <v>0</v>
      </c>
      <c r="F26" s="6" t="str">
        <f t="shared" si="6"/>
        <v>-</v>
      </c>
      <c r="G26" s="48">
        <f t="shared" si="7"/>
        <v>0</v>
      </c>
      <c r="H26" s="38" t="str">
        <f t="shared" si="8"/>
        <v>-</v>
      </c>
      <c r="I26" s="40" t="str">
        <f t="shared" si="9"/>
        <v>-</v>
      </c>
    </row>
    <row r="27" spans="1:38" ht="24" customHeight="1" x14ac:dyDescent="0.25">
      <c r="A27" s="2">
        <v>7</v>
      </c>
      <c r="B27" s="3">
        <f>'بيانات الموظفين'!B11</f>
        <v>0</v>
      </c>
      <c r="C27" s="4" t="str">
        <f>IF('بيانات الموظفين'!C11="","-",'بيانات الموظفين'!C11)</f>
        <v>-</v>
      </c>
      <c r="D27" s="46">
        <f t="shared" si="4"/>
        <v>0</v>
      </c>
      <c r="E27" s="47">
        <f t="shared" si="5"/>
        <v>0</v>
      </c>
      <c r="F27" s="6" t="str">
        <f t="shared" si="6"/>
        <v>-</v>
      </c>
      <c r="G27" s="48">
        <f t="shared" si="7"/>
        <v>0</v>
      </c>
      <c r="H27" s="38" t="str">
        <f t="shared" si="8"/>
        <v>-</v>
      </c>
      <c r="I27" s="40" t="str">
        <f t="shared" si="9"/>
        <v>-</v>
      </c>
    </row>
    <row r="28" spans="1:38" ht="24" customHeight="1" x14ac:dyDescent="0.25">
      <c r="A28" s="8">
        <v>8</v>
      </c>
      <c r="B28" s="3">
        <f>'بيانات الموظفين'!B12</f>
        <v>0</v>
      </c>
      <c r="C28" s="9" t="str">
        <f>IF('بيانات الموظفين'!C12="","-",'بيانات الموظفين'!C12)</f>
        <v>-</v>
      </c>
      <c r="D28" s="46">
        <f t="shared" si="4"/>
        <v>0</v>
      </c>
      <c r="E28" s="47">
        <f t="shared" si="5"/>
        <v>0</v>
      </c>
      <c r="F28" s="6" t="str">
        <f t="shared" si="6"/>
        <v>-</v>
      </c>
      <c r="G28" s="48">
        <f t="shared" si="7"/>
        <v>0</v>
      </c>
      <c r="H28" s="38" t="str">
        <f t="shared" si="8"/>
        <v>-</v>
      </c>
      <c r="I28" s="40" t="str">
        <f t="shared" si="9"/>
        <v>-</v>
      </c>
    </row>
    <row r="29" spans="1:38" ht="24" customHeight="1" x14ac:dyDescent="0.25">
      <c r="A29" s="2">
        <v>9</v>
      </c>
      <c r="B29" s="3">
        <f>'بيانات الموظفين'!B13</f>
        <v>0</v>
      </c>
      <c r="C29" s="4" t="str">
        <f>IF('بيانات الموظفين'!C13="","-",'بيانات الموظفين'!C13)</f>
        <v>-</v>
      </c>
      <c r="D29" s="46">
        <f t="shared" si="4"/>
        <v>0</v>
      </c>
      <c r="E29" s="47">
        <f t="shared" si="5"/>
        <v>0</v>
      </c>
      <c r="F29" s="6" t="str">
        <f t="shared" si="6"/>
        <v>-</v>
      </c>
      <c r="G29" s="48">
        <f t="shared" si="7"/>
        <v>0</v>
      </c>
      <c r="H29" s="38" t="str">
        <f t="shared" si="8"/>
        <v>-</v>
      </c>
      <c r="I29" s="40" t="str">
        <f t="shared" si="9"/>
        <v>-</v>
      </c>
    </row>
    <row r="30" spans="1:38" ht="24" customHeight="1" x14ac:dyDescent="0.25">
      <c r="A30" s="8">
        <v>10</v>
      </c>
      <c r="B30" s="3">
        <f>'بيانات الموظفين'!B14</f>
        <v>0</v>
      </c>
      <c r="C30" s="9" t="str">
        <f>IF('بيانات الموظفين'!C14="","-",'بيانات الموظفين'!C14)</f>
        <v>-</v>
      </c>
      <c r="D30" s="46">
        <f t="shared" si="4"/>
        <v>0</v>
      </c>
      <c r="E30" s="47">
        <f t="shared" si="5"/>
        <v>0</v>
      </c>
      <c r="F30" s="6" t="str">
        <f t="shared" si="6"/>
        <v>-</v>
      </c>
      <c r="G30" s="48">
        <f t="shared" si="7"/>
        <v>0</v>
      </c>
      <c r="H30" s="38" t="str">
        <f t="shared" si="8"/>
        <v>-</v>
      </c>
      <c r="I30" s="40" t="str">
        <f t="shared" si="9"/>
        <v>-</v>
      </c>
    </row>
    <row r="31" spans="1:38" ht="27.75" customHeight="1" x14ac:dyDescent="0.25">
      <c r="A31" s="51" t="s">
        <v>19</v>
      </c>
      <c r="B31" s="51"/>
      <c r="C31" s="11">
        <f t="shared" ref="C31:I31" si="10">SUM(C21:C30)</f>
        <v>15300000</v>
      </c>
      <c r="D31" s="49">
        <f t="shared" si="10"/>
        <v>41</v>
      </c>
      <c r="E31" s="49">
        <f t="shared" si="10"/>
        <v>0</v>
      </c>
      <c r="F31" s="12">
        <f t="shared" si="10"/>
        <v>2910000</v>
      </c>
      <c r="G31" s="49">
        <f t="shared" si="10"/>
        <v>13</v>
      </c>
      <c r="H31" s="12">
        <f t="shared" si="10"/>
        <v>129629.64</v>
      </c>
      <c r="I31" s="12">
        <f t="shared" si="10"/>
        <v>12519629.640000001</v>
      </c>
    </row>
  </sheetData>
  <mergeCells count="12">
    <mergeCell ref="A19:AL19"/>
    <mergeCell ref="A31:B31"/>
    <mergeCell ref="A1:AL1"/>
    <mergeCell ref="A2:AL2"/>
    <mergeCell ref="A4:A5"/>
    <mergeCell ref="AF4:AF5"/>
    <mergeCell ref="AG4:AG5"/>
    <mergeCell ref="AH4:AH5"/>
    <mergeCell ref="AI4:AI5"/>
    <mergeCell ref="AJ4:AJ5"/>
    <mergeCell ref="AK4:AK5"/>
    <mergeCell ref="AL4:AL5"/>
  </mergeCells>
  <pageMargins left="0.75" right="0.75" top="1" bottom="1" header="0.511811023622047" footer="0.511811023622047"/>
  <pageSetup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M31"/>
  <sheetViews>
    <sheetView rightToLeft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AM1"/>
    </sheetView>
  </sheetViews>
  <sheetFormatPr defaultColWidth="8.7109375" defaultRowHeight="15" x14ac:dyDescent="0.25"/>
  <cols>
    <col min="1" max="1" width="26" customWidth="1"/>
    <col min="2" max="32" width="10" customWidth="1"/>
    <col min="33" max="39" width="15" customWidth="1"/>
  </cols>
  <sheetData>
    <row r="1" spans="1:39" ht="36" customHeight="1" x14ac:dyDescent="0.25">
      <c r="A1" s="52" t="s">
        <v>85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</row>
    <row r="2" spans="1:39" ht="18" customHeight="1" x14ac:dyDescent="0.25">
      <c r="A2" s="53" t="s">
        <v>46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</row>
    <row r="3" spans="1:39" ht="6" customHeight="1" x14ac:dyDescent="0.25"/>
    <row r="4" spans="1:39" ht="30" customHeight="1" x14ac:dyDescent="0.25">
      <c r="A4" s="54" t="s">
        <v>3</v>
      </c>
      <c r="B4" s="29" t="s">
        <v>53</v>
      </c>
      <c r="C4" s="29" t="s">
        <v>47</v>
      </c>
      <c r="D4" s="30" t="s">
        <v>48</v>
      </c>
      <c r="E4" s="29" t="s">
        <v>49</v>
      </c>
      <c r="F4" s="29" t="s">
        <v>50</v>
      </c>
      <c r="G4" s="29" t="s">
        <v>51</v>
      </c>
      <c r="H4" s="29" t="s">
        <v>52</v>
      </c>
      <c r="I4" s="29" t="s">
        <v>53</v>
      </c>
      <c r="J4" s="29" t="s">
        <v>47</v>
      </c>
      <c r="K4" s="30" t="s">
        <v>48</v>
      </c>
      <c r="L4" s="29" t="s">
        <v>49</v>
      </c>
      <c r="M4" s="29" t="s">
        <v>50</v>
      </c>
      <c r="N4" s="29" t="s">
        <v>51</v>
      </c>
      <c r="O4" s="29" t="s">
        <v>52</v>
      </c>
      <c r="P4" s="29" t="s">
        <v>53</v>
      </c>
      <c r="Q4" s="29" t="s">
        <v>47</v>
      </c>
      <c r="R4" s="30" t="s">
        <v>48</v>
      </c>
      <c r="S4" s="29" t="s">
        <v>49</v>
      </c>
      <c r="T4" s="29" t="s">
        <v>50</v>
      </c>
      <c r="U4" s="29" t="s">
        <v>51</v>
      </c>
      <c r="V4" s="29" t="s">
        <v>52</v>
      </c>
      <c r="W4" s="29" t="s">
        <v>53</v>
      </c>
      <c r="X4" s="29" t="s">
        <v>47</v>
      </c>
      <c r="Y4" s="30" t="s">
        <v>48</v>
      </c>
      <c r="Z4" s="29" t="s">
        <v>49</v>
      </c>
      <c r="AA4" s="29" t="s">
        <v>50</v>
      </c>
      <c r="AB4" s="29" t="s">
        <v>51</v>
      </c>
      <c r="AC4" s="29" t="s">
        <v>52</v>
      </c>
      <c r="AD4" s="29" t="s">
        <v>53</v>
      </c>
      <c r="AE4" s="29" t="s">
        <v>47</v>
      </c>
      <c r="AF4" s="30" t="s">
        <v>48</v>
      </c>
      <c r="AG4" s="55" t="s">
        <v>54</v>
      </c>
      <c r="AH4" s="56" t="s">
        <v>55</v>
      </c>
      <c r="AI4" s="57" t="s">
        <v>56</v>
      </c>
      <c r="AJ4" s="58" t="s">
        <v>57</v>
      </c>
      <c r="AK4" s="59" t="s">
        <v>58</v>
      </c>
      <c r="AL4" s="60" t="s">
        <v>59</v>
      </c>
      <c r="AM4" s="59" t="s">
        <v>60</v>
      </c>
    </row>
    <row r="5" spans="1:39" ht="19.5" customHeight="1" x14ac:dyDescent="0.25">
      <c r="A5" s="54"/>
      <c r="B5" s="31">
        <v>1</v>
      </c>
      <c r="C5" s="31">
        <v>2</v>
      </c>
      <c r="D5" s="32">
        <v>3</v>
      </c>
      <c r="E5" s="31">
        <v>4</v>
      </c>
      <c r="F5" s="31">
        <v>5</v>
      </c>
      <c r="G5" s="31">
        <v>6</v>
      </c>
      <c r="H5" s="31">
        <v>7</v>
      </c>
      <c r="I5" s="31">
        <v>8</v>
      </c>
      <c r="J5" s="31">
        <v>9</v>
      </c>
      <c r="K5" s="32">
        <v>10</v>
      </c>
      <c r="L5" s="31">
        <v>11</v>
      </c>
      <c r="M5" s="31">
        <v>12</v>
      </c>
      <c r="N5" s="31">
        <v>13</v>
      </c>
      <c r="O5" s="31">
        <v>14</v>
      </c>
      <c r="P5" s="31">
        <v>15</v>
      </c>
      <c r="Q5" s="31">
        <v>16</v>
      </c>
      <c r="R5" s="32">
        <v>17</v>
      </c>
      <c r="S5" s="31">
        <v>18</v>
      </c>
      <c r="T5" s="31">
        <v>19</v>
      </c>
      <c r="U5" s="31">
        <v>20</v>
      </c>
      <c r="V5" s="31">
        <v>21</v>
      </c>
      <c r="W5" s="31">
        <v>22</v>
      </c>
      <c r="X5" s="31">
        <v>23</v>
      </c>
      <c r="Y5" s="32">
        <v>24</v>
      </c>
      <c r="Z5" s="31">
        <v>25</v>
      </c>
      <c r="AA5" s="31">
        <v>26</v>
      </c>
      <c r="AB5" s="31">
        <v>27</v>
      </c>
      <c r="AC5" s="31">
        <v>28</v>
      </c>
      <c r="AD5" s="31">
        <v>29</v>
      </c>
      <c r="AE5" s="31">
        <v>30</v>
      </c>
      <c r="AF5" s="32">
        <v>31</v>
      </c>
      <c r="AG5" s="55"/>
      <c r="AH5" s="55"/>
      <c r="AI5" s="55"/>
      <c r="AJ5" s="55"/>
      <c r="AK5" s="55"/>
      <c r="AL5" s="55"/>
      <c r="AM5" s="55"/>
    </row>
    <row r="6" spans="1:39" ht="4.5" customHeight="1" x14ac:dyDescent="0.25"/>
    <row r="7" spans="1:39" ht="25.5" customHeight="1" x14ac:dyDescent="0.25">
      <c r="A7" s="3" t="str">
        <f>'بيانات الموظفين'!B5</f>
        <v xml:space="preserve">أبو بكر </v>
      </c>
      <c r="B7" s="33"/>
      <c r="C7" s="33"/>
      <c r="D7" s="34"/>
      <c r="E7" s="33"/>
      <c r="F7" s="33"/>
      <c r="G7" s="33"/>
      <c r="H7" s="33"/>
      <c r="I7" s="33"/>
      <c r="J7" s="33"/>
      <c r="K7" s="34"/>
      <c r="L7" s="33"/>
      <c r="M7" s="33"/>
      <c r="N7" s="33"/>
      <c r="O7" s="33"/>
      <c r="P7" s="33"/>
      <c r="Q7" s="33"/>
      <c r="R7" s="34"/>
      <c r="S7" s="33"/>
      <c r="T7" s="33"/>
      <c r="U7" s="33"/>
      <c r="V7" s="33"/>
      <c r="W7" s="33"/>
      <c r="X7" s="33"/>
      <c r="Y7" s="34"/>
      <c r="Z7" s="33"/>
      <c r="AA7" s="33"/>
      <c r="AB7" s="33"/>
      <c r="AC7" s="33"/>
      <c r="AD7" s="33"/>
      <c r="AE7" s="33"/>
      <c r="AF7" s="34"/>
      <c r="AG7" s="35">
        <f t="shared" ref="AG7:AG16" si="0">COUNTIF(B7:AF7,"غ")</f>
        <v>0</v>
      </c>
      <c r="AH7" s="36">
        <f t="shared" ref="AH7:AH16" si="1">COUNTIF(B7:AF7,"نصف")</f>
        <v>0</v>
      </c>
      <c r="AI7" s="37">
        <f t="shared" ref="AI7:AI16" si="2">SUMIF(B7:AF7,"&gt;"&amp;0)</f>
        <v>0</v>
      </c>
      <c r="AJ7" s="38" t="str">
        <f>IF(OR('بيانات الموظفين'!C5="",NOT(ISNUMBER('بيانات الموظفين'!G2)),AI7=0),"-",ROUND(AI7*(('بيانات الموظفين'!C5/31)/'بيانات الموظفين'!G2),2))</f>
        <v>-</v>
      </c>
      <c r="AK7" s="39">
        <f>IF('بيانات الموظفين'!C5="","-",31-AG7-AH7*0.5)</f>
        <v>31</v>
      </c>
      <c r="AL7" s="6">
        <f>IF('بيانات الموظفين'!C5="","-",ROUND(('بيانات الموظفين'!C5/31)*AG7+(('بيانات الموظفين'!C5/31)/2)*AH7,2))</f>
        <v>0</v>
      </c>
      <c r="AM7" s="40">
        <f>IF('بيانات الموظفين'!C5="","-",ROUND('بيانات الموظفين'!C5+ROUND('بيانات الموظفين'!C5/30,2)+IF(ISNUMBER(AJ7),AJ7,0)-IF(ISNUMBER(AL7),AL7,0),2))</f>
        <v>7233333.3300000001</v>
      </c>
    </row>
    <row r="8" spans="1:39" ht="25.5" customHeight="1" x14ac:dyDescent="0.25">
      <c r="A8" s="3" t="str">
        <f>'بيانات الموظفين'!B6</f>
        <v>هيثم صمادي</v>
      </c>
      <c r="B8" s="41"/>
      <c r="C8" s="41"/>
      <c r="D8" s="34"/>
      <c r="E8" s="41"/>
      <c r="F8" s="41"/>
      <c r="G8" s="41"/>
      <c r="H8" s="41"/>
      <c r="I8" s="41"/>
      <c r="J8" s="41"/>
      <c r="K8" s="34"/>
      <c r="L8" s="41"/>
      <c r="M8" s="41"/>
      <c r="N8" s="41"/>
      <c r="O8" s="41"/>
      <c r="P8" s="41"/>
      <c r="Q8" s="41"/>
      <c r="R8" s="34"/>
      <c r="S8" s="41"/>
      <c r="T8" s="41"/>
      <c r="U8" s="41"/>
      <c r="V8" s="41"/>
      <c r="W8" s="41"/>
      <c r="X8" s="41"/>
      <c r="Y8" s="34"/>
      <c r="Z8" s="41"/>
      <c r="AA8" s="41"/>
      <c r="AB8" s="41"/>
      <c r="AC8" s="41"/>
      <c r="AD8" s="41"/>
      <c r="AE8" s="41"/>
      <c r="AF8" s="34"/>
      <c r="AG8" s="35">
        <f t="shared" si="0"/>
        <v>0</v>
      </c>
      <c r="AH8" s="36">
        <f t="shared" si="1"/>
        <v>0</v>
      </c>
      <c r="AI8" s="37">
        <f t="shared" si="2"/>
        <v>0</v>
      </c>
      <c r="AJ8" s="38" t="str">
        <f>IF(OR('بيانات الموظفين'!C6="",NOT(ISNUMBER('بيانات الموظفين'!G2)),AI8=0),"-",ROUND(AI8*(('بيانات الموظفين'!C6/31)/'بيانات الموظفين'!G2),2))</f>
        <v>-</v>
      </c>
      <c r="AK8" s="39">
        <f>IF('بيانات الموظفين'!C6="","-",31-AG8-AH8*0.5)</f>
        <v>31</v>
      </c>
      <c r="AL8" s="6">
        <f>IF('بيانات الموظفين'!C6="","-",ROUND(('بيانات الموظفين'!C6/31)*AG8+(('بيانات الموظفين'!C6/31)/2)*AH8,2))</f>
        <v>0</v>
      </c>
      <c r="AM8" s="40">
        <f>IF('بيانات الموظفين'!C6="","-",ROUND('بيانات الموظفين'!C6+ROUND('بيانات الموظفين'!C6/30,2)+IF(ISNUMBER(AJ8),AJ8,0)-IF(ISNUMBER(AL8),AL8,0),2))</f>
        <v>3100000</v>
      </c>
    </row>
    <row r="9" spans="1:39" ht="25.5" customHeight="1" x14ac:dyDescent="0.25">
      <c r="A9" s="3" t="str">
        <f>'بيانات الموظفين'!B7</f>
        <v>حسام كبريتة</v>
      </c>
      <c r="B9" s="33"/>
      <c r="C9" s="33"/>
      <c r="D9" s="34"/>
      <c r="E9" s="33"/>
      <c r="F9" s="33"/>
      <c r="G9" s="33"/>
      <c r="H9" s="33"/>
      <c r="I9" s="33"/>
      <c r="J9" s="33"/>
      <c r="K9" s="34"/>
      <c r="L9" s="33"/>
      <c r="M9" s="33"/>
      <c r="N9" s="33"/>
      <c r="O9" s="33"/>
      <c r="P9" s="33"/>
      <c r="Q9" s="33"/>
      <c r="R9" s="34"/>
      <c r="S9" s="33"/>
      <c r="T9" s="33"/>
      <c r="U9" s="33"/>
      <c r="V9" s="33"/>
      <c r="W9" s="33"/>
      <c r="X9" s="33"/>
      <c r="Y9" s="34"/>
      <c r="Z9" s="33"/>
      <c r="AA9" s="33"/>
      <c r="AB9" s="33"/>
      <c r="AC9" s="33"/>
      <c r="AD9" s="33"/>
      <c r="AE9" s="33"/>
      <c r="AF9" s="34"/>
      <c r="AG9" s="35">
        <f t="shared" si="0"/>
        <v>0</v>
      </c>
      <c r="AH9" s="36">
        <f t="shared" si="1"/>
        <v>0</v>
      </c>
      <c r="AI9" s="37">
        <f t="shared" si="2"/>
        <v>0</v>
      </c>
      <c r="AJ9" s="38" t="str">
        <f>IF(OR('بيانات الموظفين'!C7="",NOT(ISNUMBER('بيانات الموظفين'!G2)),AI9=0),"-",ROUND(AI9*(('بيانات الموظفين'!C7/31)/'بيانات الموظفين'!G2),2))</f>
        <v>-</v>
      </c>
      <c r="AK9" s="39">
        <f>IF('بيانات الموظفين'!C7="","-",31-AG9-AH9*0.5)</f>
        <v>31</v>
      </c>
      <c r="AL9" s="6">
        <f>IF('بيانات الموظفين'!C7="","-",ROUND(('بيانات الموظفين'!C7/31)*AG9+(('بيانات الموظفين'!C7/31)/2)*AH9,2))</f>
        <v>0</v>
      </c>
      <c r="AM9" s="40">
        <f>IF('بيانات الموظفين'!C7="","-",ROUND('بيانات الموظفين'!C7+ROUND('بيانات الموظفين'!C7/30,2)+IF(ISNUMBER(AJ9),AJ9,0)-IF(ISNUMBER(AL9),AL9,0),2))</f>
        <v>2583333.33</v>
      </c>
    </row>
    <row r="10" spans="1:39" ht="25.5" customHeight="1" x14ac:dyDescent="0.25">
      <c r="A10" s="3" t="str">
        <f>'بيانات الموظفين'!B8</f>
        <v>انس المنسي</v>
      </c>
      <c r="B10" s="41"/>
      <c r="C10" s="41"/>
      <c r="D10" s="34"/>
      <c r="E10" s="41"/>
      <c r="F10" s="41"/>
      <c r="G10" s="41"/>
      <c r="H10" s="41"/>
      <c r="I10" s="41"/>
      <c r="J10" s="41"/>
      <c r="K10" s="34"/>
      <c r="L10" s="41"/>
      <c r="M10" s="41"/>
      <c r="N10" s="41"/>
      <c r="O10" s="41"/>
      <c r="P10" s="41"/>
      <c r="Q10" s="41"/>
      <c r="R10" s="34"/>
      <c r="S10" s="41"/>
      <c r="T10" s="41"/>
      <c r="U10" s="41"/>
      <c r="V10" s="41"/>
      <c r="W10" s="41"/>
      <c r="X10" s="41"/>
      <c r="Y10" s="34"/>
      <c r="Z10" s="41"/>
      <c r="AA10" s="41"/>
      <c r="AB10" s="41"/>
      <c r="AC10" s="41"/>
      <c r="AD10" s="41"/>
      <c r="AE10" s="41"/>
      <c r="AF10" s="34"/>
      <c r="AG10" s="35">
        <f t="shared" si="0"/>
        <v>0</v>
      </c>
      <c r="AH10" s="36">
        <f t="shared" si="1"/>
        <v>0</v>
      </c>
      <c r="AI10" s="37">
        <f t="shared" si="2"/>
        <v>0</v>
      </c>
      <c r="AJ10" s="38" t="str">
        <f>IF(OR('بيانات الموظفين'!C8="",NOT(ISNUMBER('بيانات الموظفين'!G2)),AI10=0),"-",ROUND(AI10*(('بيانات الموظفين'!C8/31)/'بيانات الموظفين'!G2),2))</f>
        <v>-</v>
      </c>
      <c r="AK10" s="39">
        <f>IF('بيانات الموظفين'!C8="","-",31-AG10-AH10*0.5)</f>
        <v>31</v>
      </c>
      <c r="AL10" s="6">
        <f>IF('بيانات الموظفين'!C8="","-",ROUND(('بيانات الموظفين'!C8/31)*AG10+(('بيانات الموظفين'!C8/31)/2)*AH10,2))</f>
        <v>0</v>
      </c>
      <c r="AM10" s="40">
        <f>IF('بيانات الموظفين'!C8="","-",ROUND('بيانات الموظفين'!C8+ROUND('بيانات الموظفين'!C8/30,2)+IF(ISNUMBER(AJ10),AJ10,0)-IF(ISNUMBER(AL10),AL10,0),2))</f>
        <v>826666.67</v>
      </c>
    </row>
    <row r="11" spans="1:39" ht="25.5" customHeight="1" x14ac:dyDescent="0.25">
      <c r="A11" s="3" t="str">
        <f>'بيانات الموظفين'!B9</f>
        <v>عمار مجيد</v>
      </c>
      <c r="B11" s="33"/>
      <c r="C11" s="33"/>
      <c r="D11" s="34"/>
      <c r="E11" s="33"/>
      <c r="F11" s="33"/>
      <c r="G11" s="33"/>
      <c r="H11" s="33"/>
      <c r="I11" s="33"/>
      <c r="J11" s="33"/>
      <c r="K11" s="34"/>
      <c r="L11" s="33"/>
      <c r="M11" s="33"/>
      <c r="N11" s="33"/>
      <c r="O11" s="33"/>
      <c r="P11" s="33"/>
      <c r="Q11" s="33"/>
      <c r="R11" s="34"/>
      <c r="S11" s="33"/>
      <c r="T11" s="33"/>
      <c r="U11" s="33"/>
      <c r="V11" s="33"/>
      <c r="W11" s="33"/>
      <c r="X11" s="33"/>
      <c r="Y11" s="34"/>
      <c r="Z11" s="33"/>
      <c r="AA11" s="33"/>
      <c r="AB11" s="33"/>
      <c r="AC11" s="33"/>
      <c r="AD11" s="33"/>
      <c r="AE11" s="33"/>
      <c r="AF11" s="34"/>
      <c r="AG11" s="35">
        <f t="shared" si="0"/>
        <v>0</v>
      </c>
      <c r="AH11" s="36">
        <f t="shared" si="1"/>
        <v>0</v>
      </c>
      <c r="AI11" s="37">
        <f t="shared" si="2"/>
        <v>0</v>
      </c>
      <c r="AJ11" s="38" t="str">
        <f>IF(OR('بيانات الموظفين'!C9="",NOT(ISNUMBER('بيانات الموظفين'!G2)),AI11=0),"-",ROUND(AI11*(('بيانات الموظفين'!C9/31)/'بيانات الموظفين'!G2),2))</f>
        <v>-</v>
      </c>
      <c r="AK11" s="39">
        <f>IF('بيانات الموظفين'!C9="","-",31-AG11-AH11*0.5)</f>
        <v>31</v>
      </c>
      <c r="AL11" s="6">
        <f>IF('بيانات الموظفين'!C9="","-",ROUND(('بيانات الموظفين'!C9/31)*AG11+(('بيانات الموظفين'!C9/31)/2)*AH11,2))</f>
        <v>0</v>
      </c>
      <c r="AM11" s="40">
        <f>IF('بيانات الموظفين'!C9="","-",ROUND('بيانات الموظفين'!C9+ROUND('بيانات الموظفين'!C9/30,2)+IF(ISNUMBER(AJ11),AJ11,0)-IF(ISNUMBER(AL11),AL11,0),2))</f>
        <v>2066666.67</v>
      </c>
    </row>
    <row r="12" spans="1:39" ht="25.5" customHeight="1" x14ac:dyDescent="0.25">
      <c r="A12" s="3">
        <f>'بيانات الموظفين'!B10</f>
        <v>0</v>
      </c>
      <c r="B12" s="41"/>
      <c r="C12" s="41"/>
      <c r="D12" s="34"/>
      <c r="E12" s="41"/>
      <c r="F12" s="41"/>
      <c r="G12" s="41"/>
      <c r="H12" s="41"/>
      <c r="I12" s="41"/>
      <c r="J12" s="41"/>
      <c r="K12" s="34"/>
      <c r="L12" s="41"/>
      <c r="M12" s="41"/>
      <c r="N12" s="41"/>
      <c r="O12" s="41"/>
      <c r="P12" s="41"/>
      <c r="Q12" s="41"/>
      <c r="R12" s="34"/>
      <c r="S12" s="41"/>
      <c r="T12" s="41"/>
      <c r="U12" s="41"/>
      <c r="V12" s="41"/>
      <c r="W12" s="41"/>
      <c r="X12" s="41"/>
      <c r="Y12" s="34"/>
      <c r="Z12" s="41"/>
      <c r="AA12" s="41"/>
      <c r="AB12" s="41"/>
      <c r="AC12" s="41"/>
      <c r="AD12" s="41"/>
      <c r="AE12" s="41"/>
      <c r="AF12" s="34"/>
      <c r="AG12" s="35">
        <f t="shared" si="0"/>
        <v>0</v>
      </c>
      <c r="AH12" s="36">
        <f t="shared" si="1"/>
        <v>0</v>
      </c>
      <c r="AI12" s="37">
        <f t="shared" si="2"/>
        <v>0</v>
      </c>
      <c r="AJ12" s="38" t="str">
        <f>IF(OR('بيانات الموظفين'!C10="",NOT(ISNUMBER('بيانات الموظفين'!G2)),AI12=0),"-",ROUND(AI12*(('بيانات الموظفين'!C10/31)/'بيانات الموظفين'!G2),2))</f>
        <v>-</v>
      </c>
      <c r="AK12" s="39" t="str">
        <f>IF('بيانات الموظفين'!C10="","-",31-AG12-AH12*0.5)</f>
        <v>-</v>
      </c>
      <c r="AL12" s="6" t="str">
        <f>IF('بيانات الموظفين'!C10="","-",ROUND(('بيانات الموظفين'!C10/31)*AG12+(('بيانات الموظفين'!C10/31)/2)*AH12,2))</f>
        <v>-</v>
      </c>
      <c r="AM12" s="40" t="str">
        <f>IF('بيانات الموظفين'!C10="","-",ROUND('بيانات الموظفين'!C10+ROUND('بيانات الموظفين'!C10/30,2)+IF(ISNUMBER(AJ12),AJ12,0)-IF(ISNUMBER(AL12),AL12,0),2))</f>
        <v>-</v>
      </c>
    </row>
    <row r="13" spans="1:39" ht="25.5" customHeight="1" x14ac:dyDescent="0.25">
      <c r="A13" s="3">
        <f>'بيانات الموظفين'!B11</f>
        <v>0</v>
      </c>
      <c r="B13" s="33"/>
      <c r="C13" s="33"/>
      <c r="D13" s="34"/>
      <c r="E13" s="33"/>
      <c r="F13" s="33"/>
      <c r="G13" s="33"/>
      <c r="H13" s="33"/>
      <c r="I13" s="33"/>
      <c r="J13" s="33"/>
      <c r="K13" s="34"/>
      <c r="L13" s="33"/>
      <c r="M13" s="33"/>
      <c r="N13" s="33"/>
      <c r="O13" s="33"/>
      <c r="P13" s="33"/>
      <c r="Q13" s="33"/>
      <c r="R13" s="34"/>
      <c r="S13" s="33"/>
      <c r="T13" s="33"/>
      <c r="U13" s="33"/>
      <c r="V13" s="33"/>
      <c r="W13" s="33"/>
      <c r="X13" s="33"/>
      <c r="Y13" s="34"/>
      <c r="Z13" s="33"/>
      <c r="AA13" s="33"/>
      <c r="AB13" s="33"/>
      <c r="AC13" s="33"/>
      <c r="AD13" s="33"/>
      <c r="AE13" s="33"/>
      <c r="AF13" s="34"/>
      <c r="AG13" s="35">
        <f t="shared" si="0"/>
        <v>0</v>
      </c>
      <c r="AH13" s="36">
        <f t="shared" si="1"/>
        <v>0</v>
      </c>
      <c r="AI13" s="37">
        <f t="shared" si="2"/>
        <v>0</v>
      </c>
      <c r="AJ13" s="38" t="str">
        <f>IF(OR('بيانات الموظفين'!C11="",NOT(ISNUMBER('بيانات الموظفين'!G2)),AI13=0),"-",ROUND(AI13*(('بيانات الموظفين'!C11/31)/'بيانات الموظفين'!G2),2))</f>
        <v>-</v>
      </c>
      <c r="AK13" s="39" t="str">
        <f>IF('بيانات الموظفين'!C11="","-",31-AG13-AH13*0.5)</f>
        <v>-</v>
      </c>
      <c r="AL13" s="6" t="str">
        <f>IF('بيانات الموظفين'!C11="","-",ROUND(('بيانات الموظفين'!C11/31)*AG13+(('بيانات الموظفين'!C11/31)/2)*AH13,2))</f>
        <v>-</v>
      </c>
      <c r="AM13" s="40" t="str">
        <f>IF('بيانات الموظفين'!C11="","-",ROUND('بيانات الموظفين'!C11+ROUND('بيانات الموظفين'!C11/30,2)+IF(ISNUMBER(AJ13),AJ13,0)-IF(ISNUMBER(AL13),AL13,0),2))</f>
        <v>-</v>
      </c>
    </row>
    <row r="14" spans="1:39" ht="25.5" customHeight="1" x14ac:dyDescent="0.25">
      <c r="A14" s="3">
        <f>'بيانات الموظفين'!B12</f>
        <v>0</v>
      </c>
      <c r="B14" s="41"/>
      <c r="C14" s="41"/>
      <c r="D14" s="34"/>
      <c r="E14" s="41"/>
      <c r="F14" s="41"/>
      <c r="G14" s="41"/>
      <c r="H14" s="41"/>
      <c r="I14" s="41"/>
      <c r="J14" s="41"/>
      <c r="K14" s="34"/>
      <c r="L14" s="41"/>
      <c r="M14" s="41"/>
      <c r="N14" s="41"/>
      <c r="O14" s="41"/>
      <c r="P14" s="41"/>
      <c r="Q14" s="41"/>
      <c r="R14" s="34"/>
      <c r="S14" s="41"/>
      <c r="T14" s="41"/>
      <c r="U14" s="41"/>
      <c r="V14" s="41"/>
      <c r="W14" s="41"/>
      <c r="X14" s="41"/>
      <c r="Y14" s="34"/>
      <c r="Z14" s="41"/>
      <c r="AA14" s="41"/>
      <c r="AB14" s="41"/>
      <c r="AC14" s="41"/>
      <c r="AD14" s="41"/>
      <c r="AE14" s="41"/>
      <c r="AF14" s="34"/>
      <c r="AG14" s="35">
        <f t="shared" si="0"/>
        <v>0</v>
      </c>
      <c r="AH14" s="36">
        <f t="shared" si="1"/>
        <v>0</v>
      </c>
      <c r="AI14" s="37">
        <f t="shared" si="2"/>
        <v>0</v>
      </c>
      <c r="AJ14" s="38" t="str">
        <f>IF(OR('بيانات الموظفين'!C12="",NOT(ISNUMBER('بيانات الموظفين'!G2)),AI14=0),"-",ROUND(AI14*(('بيانات الموظفين'!C12/31)/'بيانات الموظفين'!G2),2))</f>
        <v>-</v>
      </c>
      <c r="AK14" s="39" t="str">
        <f>IF('بيانات الموظفين'!C12="","-",31-AG14-AH14*0.5)</f>
        <v>-</v>
      </c>
      <c r="AL14" s="6" t="str">
        <f>IF('بيانات الموظفين'!C12="","-",ROUND(('بيانات الموظفين'!C12/31)*AG14+(('بيانات الموظفين'!C12/31)/2)*AH14,2))</f>
        <v>-</v>
      </c>
      <c r="AM14" s="40" t="str">
        <f>IF('بيانات الموظفين'!C12="","-",ROUND('بيانات الموظفين'!C12+ROUND('بيانات الموظفين'!C12/30,2)+IF(ISNUMBER(AJ14),AJ14,0)-IF(ISNUMBER(AL14),AL14,0),2))</f>
        <v>-</v>
      </c>
    </row>
    <row r="15" spans="1:39" ht="25.5" customHeight="1" x14ac:dyDescent="0.25">
      <c r="A15" s="3">
        <f>'بيانات الموظفين'!B13</f>
        <v>0</v>
      </c>
      <c r="B15" s="33"/>
      <c r="C15" s="33"/>
      <c r="D15" s="34"/>
      <c r="E15" s="33"/>
      <c r="F15" s="33"/>
      <c r="G15" s="33"/>
      <c r="H15" s="33"/>
      <c r="I15" s="33"/>
      <c r="J15" s="33"/>
      <c r="K15" s="34"/>
      <c r="L15" s="33"/>
      <c r="M15" s="33"/>
      <c r="N15" s="33"/>
      <c r="O15" s="33"/>
      <c r="P15" s="33"/>
      <c r="Q15" s="33"/>
      <c r="R15" s="34"/>
      <c r="S15" s="33"/>
      <c r="T15" s="33"/>
      <c r="U15" s="33"/>
      <c r="V15" s="33"/>
      <c r="W15" s="33"/>
      <c r="X15" s="33"/>
      <c r="Y15" s="34"/>
      <c r="Z15" s="33"/>
      <c r="AA15" s="33"/>
      <c r="AB15" s="33"/>
      <c r="AC15" s="33"/>
      <c r="AD15" s="33"/>
      <c r="AE15" s="33"/>
      <c r="AF15" s="34"/>
      <c r="AG15" s="35">
        <f t="shared" si="0"/>
        <v>0</v>
      </c>
      <c r="AH15" s="36">
        <f t="shared" si="1"/>
        <v>0</v>
      </c>
      <c r="AI15" s="37">
        <f t="shared" si="2"/>
        <v>0</v>
      </c>
      <c r="AJ15" s="38" t="str">
        <f>IF(OR('بيانات الموظفين'!C13="",NOT(ISNUMBER('بيانات الموظفين'!G2)),AI15=0),"-",ROUND(AI15*(('بيانات الموظفين'!C13/31)/'بيانات الموظفين'!G2),2))</f>
        <v>-</v>
      </c>
      <c r="AK15" s="39" t="str">
        <f>IF('بيانات الموظفين'!C13="","-",31-AG15-AH15*0.5)</f>
        <v>-</v>
      </c>
      <c r="AL15" s="6" t="str">
        <f>IF('بيانات الموظفين'!C13="","-",ROUND(('بيانات الموظفين'!C13/31)*AG15+(('بيانات الموظفين'!C13/31)/2)*AH15,2))</f>
        <v>-</v>
      </c>
      <c r="AM15" s="40" t="str">
        <f>IF('بيانات الموظفين'!C13="","-",ROUND('بيانات الموظفين'!C13+ROUND('بيانات الموظفين'!C13/30,2)+IF(ISNUMBER(AJ15),AJ15,0)-IF(ISNUMBER(AL15),AL15,0),2))</f>
        <v>-</v>
      </c>
    </row>
    <row r="16" spans="1:39" ht="25.5" customHeight="1" x14ac:dyDescent="0.25">
      <c r="A16" s="3">
        <f>'بيانات الموظفين'!B14</f>
        <v>0</v>
      </c>
      <c r="B16" s="41"/>
      <c r="C16" s="41"/>
      <c r="D16" s="34"/>
      <c r="E16" s="41"/>
      <c r="F16" s="41"/>
      <c r="G16" s="41"/>
      <c r="H16" s="41"/>
      <c r="I16" s="41"/>
      <c r="J16" s="41"/>
      <c r="K16" s="34"/>
      <c r="L16" s="41"/>
      <c r="M16" s="41"/>
      <c r="N16" s="41"/>
      <c r="O16" s="41"/>
      <c r="P16" s="41"/>
      <c r="Q16" s="41"/>
      <c r="R16" s="34"/>
      <c r="S16" s="41"/>
      <c r="T16" s="41"/>
      <c r="U16" s="41"/>
      <c r="V16" s="41"/>
      <c r="W16" s="41"/>
      <c r="X16" s="41"/>
      <c r="Y16" s="34"/>
      <c r="Z16" s="41"/>
      <c r="AA16" s="41"/>
      <c r="AB16" s="41"/>
      <c r="AC16" s="41"/>
      <c r="AD16" s="41"/>
      <c r="AE16" s="41"/>
      <c r="AF16" s="34"/>
      <c r="AG16" s="35">
        <f t="shared" si="0"/>
        <v>0</v>
      </c>
      <c r="AH16" s="36">
        <f t="shared" si="1"/>
        <v>0</v>
      </c>
      <c r="AI16" s="37">
        <f t="shared" si="2"/>
        <v>0</v>
      </c>
      <c r="AJ16" s="38" t="str">
        <f>IF(OR('بيانات الموظفين'!C14="",NOT(ISNUMBER('بيانات الموظفين'!G2)),AI16=0),"-",ROUND(AI16*(('بيانات الموظفين'!C14/31)/'بيانات الموظفين'!G2),2))</f>
        <v>-</v>
      </c>
      <c r="AK16" s="39" t="str">
        <f>IF('بيانات الموظفين'!C14="","-",31-AG16-AH16*0.5)</f>
        <v>-</v>
      </c>
      <c r="AL16" s="6" t="str">
        <f>IF('بيانات الموظفين'!C14="","-",ROUND(('بيانات الموظفين'!C14/31)*AG16+(('بيانات الموظفين'!C14/31)/2)*AH16,2))</f>
        <v>-</v>
      </c>
      <c r="AM16" s="40" t="str">
        <f>IF('بيانات الموظفين'!C14="","-",ROUND('بيانات الموظفين'!C14+ROUND('بيانات الموظفين'!C14/30,2)+IF(ISNUMBER(AJ16),AJ16,0)-IF(ISNUMBER(AL16),AL16,0),2))</f>
        <v>-</v>
      </c>
    </row>
    <row r="17" spans="1:39" ht="25.5" customHeight="1" x14ac:dyDescent="0.25">
      <c r="A17" s="1" t="s">
        <v>86</v>
      </c>
      <c r="B17" s="42">
        <f t="shared" ref="B17:AF17" si="3">COUNTIF(B7:B16,"غ")+COUNTIF(B7:B16,"نصف")*0.5</f>
        <v>0</v>
      </c>
      <c r="C17" s="42">
        <f t="shared" si="3"/>
        <v>0</v>
      </c>
      <c r="D17" s="42">
        <f t="shared" si="3"/>
        <v>0</v>
      </c>
      <c r="E17" s="42">
        <f t="shared" si="3"/>
        <v>0</v>
      </c>
      <c r="F17" s="42">
        <f t="shared" si="3"/>
        <v>0</v>
      </c>
      <c r="G17" s="42">
        <f t="shared" si="3"/>
        <v>0</v>
      </c>
      <c r="H17" s="42">
        <f t="shared" si="3"/>
        <v>0</v>
      </c>
      <c r="I17" s="42">
        <f t="shared" si="3"/>
        <v>0</v>
      </c>
      <c r="J17" s="42">
        <f t="shared" si="3"/>
        <v>0</v>
      </c>
      <c r="K17" s="42">
        <f t="shared" si="3"/>
        <v>0</v>
      </c>
      <c r="L17" s="42">
        <f t="shared" si="3"/>
        <v>0</v>
      </c>
      <c r="M17" s="42">
        <f t="shared" si="3"/>
        <v>0</v>
      </c>
      <c r="N17" s="42">
        <f t="shared" si="3"/>
        <v>0</v>
      </c>
      <c r="O17" s="42">
        <f t="shared" si="3"/>
        <v>0</v>
      </c>
      <c r="P17" s="42">
        <f t="shared" si="3"/>
        <v>0</v>
      </c>
      <c r="Q17" s="42">
        <f t="shared" si="3"/>
        <v>0</v>
      </c>
      <c r="R17" s="42">
        <f t="shared" si="3"/>
        <v>0</v>
      </c>
      <c r="S17" s="42">
        <f t="shared" si="3"/>
        <v>0</v>
      </c>
      <c r="T17" s="42">
        <f t="shared" si="3"/>
        <v>0</v>
      </c>
      <c r="U17" s="42">
        <f t="shared" si="3"/>
        <v>0</v>
      </c>
      <c r="V17" s="42">
        <f t="shared" si="3"/>
        <v>0</v>
      </c>
      <c r="W17" s="42">
        <f t="shared" si="3"/>
        <v>0</v>
      </c>
      <c r="X17" s="42">
        <f t="shared" si="3"/>
        <v>0</v>
      </c>
      <c r="Y17" s="42">
        <f t="shared" si="3"/>
        <v>0</v>
      </c>
      <c r="Z17" s="42">
        <f t="shared" si="3"/>
        <v>0</v>
      </c>
      <c r="AA17" s="42">
        <f t="shared" si="3"/>
        <v>0</v>
      </c>
      <c r="AB17" s="42">
        <f t="shared" si="3"/>
        <v>0</v>
      </c>
      <c r="AC17" s="42">
        <f t="shared" si="3"/>
        <v>0</v>
      </c>
      <c r="AD17" s="42">
        <f t="shared" si="3"/>
        <v>0</v>
      </c>
      <c r="AE17" s="42">
        <f t="shared" si="3"/>
        <v>0</v>
      </c>
      <c r="AF17" s="42">
        <f t="shared" si="3"/>
        <v>0</v>
      </c>
      <c r="AG17" s="43">
        <f>SUM(AG7:AG16)</f>
        <v>0</v>
      </c>
      <c r="AH17" s="43">
        <f>SUM(AH7:AH16)</f>
        <v>0</v>
      </c>
      <c r="AI17" s="43">
        <f>SUM(AI7:AI16)</f>
        <v>0</v>
      </c>
      <c r="AJ17" s="44">
        <f>SUM(AJ7:AJ16)</f>
        <v>0</v>
      </c>
      <c r="AK17" s="45"/>
      <c r="AL17" s="44">
        <f>SUM(AL7:AL16)</f>
        <v>0</v>
      </c>
      <c r="AM17" s="44">
        <f>SUM(AM7:AM16)</f>
        <v>15810000</v>
      </c>
    </row>
    <row r="18" spans="1:39" ht="9.75" customHeight="1" x14ac:dyDescent="0.25"/>
    <row r="19" spans="1:39" ht="31.5" customHeight="1" x14ac:dyDescent="0.25">
      <c r="A19" s="50" t="s">
        <v>87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</row>
    <row r="20" spans="1:39" ht="27.75" customHeight="1" x14ac:dyDescent="0.25">
      <c r="A20" s="1" t="s">
        <v>2</v>
      </c>
      <c r="B20" s="1" t="s">
        <v>3</v>
      </c>
      <c r="C20" s="1" t="s">
        <v>63</v>
      </c>
      <c r="D20" s="1" t="s">
        <v>64</v>
      </c>
      <c r="E20" s="1" t="s">
        <v>65</v>
      </c>
      <c r="F20" s="1" t="s">
        <v>66</v>
      </c>
      <c r="G20" s="1" t="s">
        <v>67</v>
      </c>
      <c r="H20" s="1" t="s">
        <v>68</v>
      </c>
      <c r="I20" s="1" t="s">
        <v>69</v>
      </c>
    </row>
    <row r="21" spans="1:39" ht="24" customHeight="1" x14ac:dyDescent="0.25">
      <c r="A21" s="2">
        <v>1</v>
      </c>
      <c r="B21" s="3" t="str">
        <f>'بيانات الموظفين'!B5</f>
        <v xml:space="preserve">أبو بكر </v>
      </c>
      <c r="C21" s="4">
        <f>IF('بيانات الموظفين'!C5="","-",'بيانات الموظفين'!C5)</f>
        <v>7000000</v>
      </c>
      <c r="D21" s="46">
        <f t="shared" ref="D21:D30" si="4">AG7</f>
        <v>0</v>
      </c>
      <c r="E21" s="47">
        <f t="shared" ref="E21:E30" si="5">AH7</f>
        <v>0</v>
      </c>
      <c r="F21" s="6">
        <f t="shared" ref="F21:F30" si="6">AL7</f>
        <v>0</v>
      </c>
      <c r="G21" s="48">
        <f t="shared" ref="G21:G30" si="7">AI7</f>
        <v>0</v>
      </c>
      <c r="H21" s="38" t="str">
        <f t="shared" ref="H21:H30" si="8">AJ7</f>
        <v>-</v>
      </c>
      <c r="I21" s="40">
        <f t="shared" ref="I21:I30" si="9">AM7</f>
        <v>7233333.3300000001</v>
      </c>
    </row>
    <row r="22" spans="1:39" ht="24" customHeight="1" x14ac:dyDescent="0.25">
      <c r="A22" s="8">
        <v>2</v>
      </c>
      <c r="B22" s="3" t="str">
        <f>'بيانات الموظفين'!B6</f>
        <v>هيثم صمادي</v>
      </c>
      <c r="C22" s="9">
        <f>IF('بيانات الموظفين'!C6="","-",'بيانات الموظفين'!C6)</f>
        <v>3000000</v>
      </c>
      <c r="D22" s="46">
        <f t="shared" si="4"/>
        <v>0</v>
      </c>
      <c r="E22" s="47">
        <f t="shared" si="5"/>
        <v>0</v>
      </c>
      <c r="F22" s="6">
        <f t="shared" si="6"/>
        <v>0</v>
      </c>
      <c r="G22" s="48">
        <f t="shared" si="7"/>
        <v>0</v>
      </c>
      <c r="H22" s="38" t="str">
        <f t="shared" si="8"/>
        <v>-</v>
      </c>
      <c r="I22" s="40">
        <f t="shared" si="9"/>
        <v>3100000</v>
      </c>
    </row>
    <row r="23" spans="1:39" ht="24" customHeight="1" x14ac:dyDescent="0.25">
      <c r="A23" s="2">
        <v>3</v>
      </c>
      <c r="B23" s="3" t="str">
        <f>'بيانات الموظفين'!B7</f>
        <v>حسام كبريتة</v>
      </c>
      <c r="C23" s="4">
        <f>IF('بيانات الموظفين'!C7="","-",'بيانات الموظفين'!C7)</f>
        <v>2500000</v>
      </c>
      <c r="D23" s="46">
        <f t="shared" si="4"/>
        <v>0</v>
      </c>
      <c r="E23" s="47">
        <f t="shared" si="5"/>
        <v>0</v>
      </c>
      <c r="F23" s="6">
        <f t="shared" si="6"/>
        <v>0</v>
      </c>
      <c r="G23" s="48">
        <f t="shared" si="7"/>
        <v>0</v>
      </c>
      <c r="H23" s="38" t="str">
        <f t="shared" si="8"/>
        <v>-</v>
      </c>
      <c r="I23" s="40">
        <f t="shared" si="9"/>
        <v>2583333.33</v>
      </c>
    </row>
    <row r="24" spans="1:39" ht="24" customHeight="1" x14ac:dyDescent="0.25">
      <c r="A24" s="8">
        <v>4</v>
      </c>
      <c r="B24" s="3" t="str">
        <f>'بيانات الموظفين'!B8</f>
        <v>انس المنسي</v>
      </c>
      <c r="C24" s="9">
        <f>IF('بيانات الموظفين'!C8="","-",'بيانات الموظفين'!C8)</f>
        <v>800000</v>
      </c>
      <c r="D24" s="46">
        <f t="shared" si="4"/>
        <v>0</v>
      </c>
      <c r="E24" s="47">
        <f t="shared" si="5"/>
        <v>0</v>
      </c>
      <c r="F24" s="6">
        <f t="shared" si="6"/>
        <v>0</v>
      </c>
      <c r="G24" s="48">
        <f t="shared" si="7"/>
        <v>0</v>
      </c>
      <c r="H24" s="38" t="str">
        <f t="shared" si="8"/>
        <v>-</v>
      </c>
      <c r="I24" s="40">
        <f t="shared" si="9"/>
        <v>826666.67</v>
      </c>
    </row>
    <row r="25" spans="1:39" ht="24" customHeight="1" x14ac:dyDescent="0.25">
      <c r="A25" s="2">
        <v>5</v>
      </c>
      <c r="B25" s="3" t="str">
        <f>'بيانات الموظفين'!B9</f>
        <v>عمار مجيد</v>
      </c>
      <c r="C25" s="4">
        <f>IF('بيانات الموظفين'!C9="","-",'بيانات الموظفين'!C9)</f>
        <v>2000000</v>
      </c>
      <c r="D25" s="46">
        <f t="shared" si="4"/>
        <v>0</v>
      </c>
      <c r="E25" s="47">
        <f t="shared" si="5"/>
        <v>0</v>
      </c>
      <c r="F25" s="6">
        <f t="shared" si="6"/>
        <v>0</v>
      </c>
      <c r="G25" s="48">
        <f t="shared" si="7"/>
        <v>0</v>
      </c>
      <c r="H25" s="38" t="str">
        <f t="shared" si="8"/>
        <v>-</v>
      </c>
      <c r="I25" s="40">
        <f t="shared" si="9"/>
        <v>2066666.67</v>
      </c>
    </row>
    <row r="26" spans="1:39" ht="24" customHeight="1" x14ac:dyDescent="0.25">
      <c r="A26" s="8">
        <v>6</v>
      </c>
      <c r="B26" s="3">
        <f>'بيانات الموظفين'!B10</f>
        <v>0</v>
      </c>
      <c r="C26" s="9" t="str">
        <f>IF('بيانات الموظفين'!C10="","-",'بيانات الموظفين'!C10)</f>
        <v>-</v>
      </c>
      <c r="D26" s="46">
        <f t="shared" si="4"/>
        <v>0</v>
      </c>
      <c r="E26" s="47">
        <f t="shared" si="5"/>
        <v>0</v>
      </c>
      <c r="F26" s="6" t="str">
        <f t="shared" si="6"/>
        <v>-</v>
      </c>
      <c r="G26" s="48">
        <f t="shared" si="7"/>
        <v>0</v>
      </c>
      <c r="H26" s="38" t="str">
        <f t="shared" si="8"/>
        <v>-</v>
      </c>
      <c r="I26" s="40" t="str">
        <f t="shared" si="9"/>
        <v>-</v>
      </c>
    </row>
    <row r="27" spans="1:39" ht="24" customHeight="1" x14ac:dyDescent="0.25">
      <c r="A27" s="2">
        <v>7</v>
      </c>
      <c r="B27" s="3">
        <f>'بيانات الموظفين'!B11</f>
        <v>0</v>
      </c>
      <c r="C27" s="4" t="str">
        <f>IF('بيانات الموظفين'!C11="","-",'بيانات الموظفين'!C11)</f>
        <v>-</v>
      </c>
      <c r="D27" s="46">
        <f t="shared" si="4"/>
        <v>0</v>
      </c>
      <c r="E27" s="47">
        <f t="shared" si="5"/>
        <v>0</v>
      </c>
      <c r="F27" s="6" t="str">
        <f t="shared" si="6"/>
        <v>-</v>
      </c>
      <c r="G27" s="48">
        <f t="shared" si="7"/>
        <v>0</v>
      </c>
      <c r="H27" s="38" t="str">
        <f t="shared" si="8"/>
        <v>-</v>
      </c>
      <c r="I27" s="40" t="str">
        <f t="shared" si="9"/>
        <v>-</v>
      </c>
    </row>
    <row r="28" spans="1:39" ht="24" customHeight="1" x14ac:dyDescent="0.25">
      <c r="A28" s="8">
        <v>8</v>
      </c>
      <c r="B28" s="3">
        <f>'بيانات الموظفين'!B12</f>
        <v>0</v>
      </c>
      <c r="C28" s="9" t="str">
        <f>IF('بيانات الموظفين'!C12="","-",'بيانات الموظفين'!C12)</f>
        <v>-</v>
      </c>
      <c r="D28" s="46">
        <f t="shared" si="4"/>
        <v>0</v>
      </c>
      <c r="E28" s="47">
        <f t="shared" si="5"/>
        <v>0</v>
      </c>
      <c r="F28" s="6" t="str">
        <f t="shared" si="6"/>
        <v>-</v>
      </c>
      <c r="G28" s="48">
        <f t="shared" si="7"/>
        <v>0</v>
      </c>
      <c r="H28" s="38" t="str">
        <f t="shared" si="8"/>
        <v>-</v>
      </c>
      <c r="I28" s="40" t="str">
        <f t="shared" si="9"/>
        <v>-</v>
      </c>
    </row>
    <row r="29" spans="1:39" ht="24" customHeight="1" x14ac:dyDescent="0.25">
      <c r="A29" s="2">
        <v>9</v>
      </c>
      <c r="B29" s="3">
        <f>'بيانات الموظفين'!B13</f>
        <v>0</v>
      </c>
      <c r="C29" s="4" t="str">
        <f>IF('بيانات الموظفين'!C13="","-",'بيانات الموظفين'!C13)</f>
        <v>-</v>
      </c>
      <c r="D29" s="46">
        <f t="shared" si="4"/>
        <v>0</v>
      </c>
      <c r="E29" s="47">
        <f t="shared" si="5"/>
        <v>0</v>
      </c>
      <c r="F29" s="6" t="str">
        <f t="shared" si="6"/>
        <v>-</v>
      </c>
      <c r="G29" s="48">
        <f t="shared" si="7"/>
        <v>0</v>
      </c>
      <c r="H29" s="38" t="str">
        <f t="shared" si="8"/>
        <v>-</v>
      </c>
      <c r="I29" s="40" t="str">
        <f t="shared" si="9"/>
        <v>-</v>
      </c>
    </row>
    <row r="30" spans="1:39" ht="24" customHeight="1" x14ac:dyDescent="0.25">
      <c r="A30" s="8">
        <v>10</v>
      </c>
      <c r="B30" s="3">
        <f>'بيانات الموظفين'!B14</f>
        <v>0</v>
      </c>
      <c r="C30" s="9" t="str">
        <f>IF('بيانات الموظفين'!C14="","-",'بيانات الموظفين'!C14)</f>
        <v>-</v>
      </c>
      <c r="D30" s="46">
        <f t="shared" si="4"/>
        <v>0</v>
      </c>
      <c r="E30" s="47">
        <f t="shared" si="5"/>
        <v>0</v>
      </c>
      <c r="F30" s="6" t="str">
        <f t="shared" si="6"/>
        <v>-</v>
      </c>
      <c r="G30" s="48">
        <f t="shared" si="7"/>
        <v>0</v>
      </c>
      <c r="H30" s="38" t="str">
        <f t="shared" si="8"/>
        <v>-</v>
      </c>
      <c r="I30" s="40" t="str">
        <f t="shared" si="9"/>
        <v>-</v>
      </c>
    </row>
    <row r="31" spans="1:39" ht="27.75" customHeight="1" x14ac:dyDescent="0.25">
      <c r="A31" s="51" t="s">
        <v>19</v>
      </c>
      <c r="B31" s="51"/>
      <c r="C31" s="11">
        <f t="shared" ref="C31:I31" si="10">SUM(C21:C30)</f>
        <v>15300000</v>
      </c>
      <c r="D31" s="49">
        <f t="shared" si="10"/>
        <v>0</v>
      </c>
      <c r="E31" s="49">
        <f t="shared" si="10"/>
        <v>0</v>
      </c>
      <c r="F31" s="12">
        <f t="shared" si="10"/>
        <v>0</v>
      </c>
      <c r="G31" s="49">
        <f t="shared" si="10"/>
        <v>0</v>
      </c>
      <c r="H31" s="12">
        <f t="shared" si="10"/>
        <v>0</v>
      </c>
      <c r="I31" s="12">
        <f t="shared" si="10"/>
        <v>15810000</v>
      </c>
    </row>
  </sheetData>
  <mergeCells count="12">
    <mergeCell ref="A19:AM19"/>
    <mergeCell ref="A31:B31"/>
    <mergeCell ref="A1:AM1"/>
    <mergeCell ref="A2:AM2"/>
    <mergeCell ref="A4:A5"/>
    <mergeCell ref="AG4:AG5"/>
    <mergeCell ref="AH4:AH5"/>
    <mergeCell ref="AI4:AI5"/>
    <mergeCell ref="AJ4:AJ5"/>
    <mergeCell ref="AK4:AK5"/>
    <mergeCell ref="AL4:AL5"/>
    <mergeCell ref="AM4:AM5"/>
  </mergeCells>
  <pageMargins left="0.75" right="0.75" top="1" bottom="1" header="0.511811023622047" footer="0.511811023622047"/>
  <pageSetup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M31"/>
  <sheetViews>
    <sheetView rightToLeft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AM1"/>
    </sheetView>
  </sheetViews>
  <sheetFormatPr defaultColWidth="8.7109375" defaultRowHeight="15" x14ac:dyDescent="0.25"/>
  <cols>
    <col min="1" max="1" width="26" customWidth="1"/>
    <col min="2" max="32" width="10" customWidth="1"/>
    <col min="33" max="39" width="15" customWidth="1"/>
  </cols>
  <sheetData>
    <row r="1" spans="1:39" ht="36" customHeight="1" x14ac:dyDescent="0.25">
      <c r="A1" s="52" t="s">
        <v>88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</row>
    <row r="2" spans="1:39" ht="18" customHeight="1" x14ac:dyDescent="0.25">
      <c r="A2" s="53" t="s">
        <v>46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</row>
    <row r="3" spans="1:39" ht="6" customHeight="1" x14ac:dyDescent="0.25"/>
    <row r="4" spans="1:39" ht="30" customHeight="1" x14ac:dyDescent="0.25">
      <c r="A4" s="54" t="s">
        <v>3</v>
      </c>
      <c r="B4" s="29" t="s">
        <v>49</v>
      </c>
      <c r="C4" s="29" t="s">
        <v>50</v>
      </c>
      <c r="D4" s="29" t="s">
        <v>51</v>
      </c>
      <c r="E4" s="29" t="s">
        <v>52</v>
      </c>
      <c r="F4" s="29" t="s">
        <v>53</v>
      </c>
      <c r="G4" s="29" t="s">
        <v>47</v>
      </c>
      <c r="H4" s="30" t="s">
        <v>48</v>
      </c>
      <c r="I4" s="29" t="s">
        <v>49</v>
      </c>
      <c r="J4" s="29" t="s">
        <v>50</v>
      </c>
      <c r="K4" s="29" t="s">
        <v>51</v>
      </c>
      <c r="L4" s="29" t="s">
        <v>52</v>
      </c>
      <c r="M4" s="29" t="s">
        <v>53</v>
      </c>
      <c r="N4" s="29" t="s">
        <v>47</v>
      </c>
      <c r="O4" s="30" t="s">
        <v>48</v>
      </c>
      <c r="P4" s="29" t="s">
        <v>49</v>
      </c>
      <c r="Q4" s="29" t="s">
        <v>50</v>
      </c>
      <c r="R4" s="29" t="s">
        <v>51</v>
      </c>
      <c r="S4" s="29" t="s">
        <v>52</v>
      </c>
      <c r="T4" s="29" t="s">
        <v>53</v>
      </c>
      <c r="U4" s="29" t="s">
        <v>47</v>
      </c>
      <c r="V4" s="30" t="s">
        <v>48</v>
      </c>
      <c r="W4" s="29" t="s">
        <v>49</v>
      </c>
      <c r="X4" s="29" t="s">
        <v>50</v>
      </c>
      <c r="Y4" s="29" t="s">
        <v>51</v>
      </c>
      <c r="Z4" s="29" t="s">
        <v>52</v>
      </c>
      <c r="AA4" s="29" t="s">
        <v>53</v>
      </c>
      <c r="AB4" s="29" t="s">
        <v>47</v>
      </c>
      <c r="AC4" s="30" t="s">
        <v>48</v>
      </c>
      <c r="AD4" s="29" t="s">
        <v>49</v>
      </c>
      <c r="AE4" s="29" t="s">
        <v>50</v>
      </c>
      <c r="AF4" s="29" t="s">
        <v>51</v>
      </c>
      <c r="AG4" s="55" t="s">
        <v>54</v>
      </c>
      <c r="AH4" s="56" t="s">
        <v>55</v>
      </c>
      <c r="AI4" s="57" t="s">
        <v>56</v>
      </c>
      <c r="AJ4" s="58" t="s">
        <v>57</v>
      </c>
      <c r="AK4" s="59" t="s">
        <v>58</v>
      </c>
      <c r="AL4" s="60" t="s">
        <v>59</v>
      </c>
      <c r="AM4" s="59" t="s">
        <v>60</v>
      </c>
    </row>
    <row r="5" spans="1:39" ht="19.5" customHeight="1" x14ac:dyDescent="0.25">
      <c r="A5" s="54"/>
      <c r="B5" s="31">
        <v>1</v>
      </c>
      <c r="C5" s="31">
        <v>2</v>
      </c>
      <c r="D5" s="31">
        <v>3</v>
      </c>
      <c r="E5" s="31">
        <v>4</v>
      </c>
      <c r="F5" s="31">
        <v>5</v>
      </c>
      <c r="G5" s="31">
        <v>6</v>
      </c>
      <c r="H5" s="32">
        <v>7</v>
      </c>
      <c r="I5" s="31">
        <v>8</v>
      </c>
      <c r="J5" s="31">
        <v>9</v>
      </c>
      <c r="K5" s="31">
        <v>10</v>
      </c>
      <c r="L5" s="31">
        <v>11</v>
      </c>
      <c r="M5" s="31">
        <v>12</v>
      </c>
      <c r="N5" s="31">
        <v>13</v>
      </c>
      <c r="O5" s="32">
        <v>14</v>
      </c>
      <c r="P5" s="31">
        <v>15</v>
      </c>
      <c r="Q5" s="31">
        <v>16</v>
      </c>
      <c r="R5" s="31">
        <v>17</v>
      </c>
      <c r="S5" s="31">
        <v>18</v>
      </c>
      <c r="T5" s="31">
        <v>19</v>
      </c>
      <c r="U5" s="31">
        <v>20</v>
      </c>
      <c r="V5" s="32">
        <v>21</v>
      </c>
      <c r="W5" s="31">
        <v>22</v>
      </c>
      <c r="X5" s="31">
        <v>23</v>
      </c>
      <c r="Y5" s="31">
        <v>24</v>
      </c>
      <c r="Z5" s="31">
        <v>25</v>
      </c>
      <c r="AA5" s="31">
        <v>26</v>
      </c>
      <c r="AB5" s="31">
        <v>27</v>
      </c>
      <c r="AC5" s="32">
        <v>28</v>
      </c>
      <c r="AD5" s="31">
        <v>29</v>
      </c>
      <c r="AE5" s="31">
        <v>30</v>
      </c>
      <c r="AF5" s="31">
        <v>31</v>
      </c>
      <c r="AG5" s="55"/>
      <c r="AH5" s="55"/>
      <c r="AI5" s="55"/>
      <c r="AJ5" s="55"/>
      <c r="AK5" s="55"/>
      <c r="AL5" s="55"/>
      <c r="AM5" s="55"/>
    </row>
    <row r="6" spans="1:39" ht="4.5" customHeight="1" x14ac:dyDescent="0.25"/>
    <row r="7" spans="1:39" ht="25.5" customHeight="1" x14ac:dyDescent="0.25">
      <c r="A7" s="3" t="str">
        <f>'بيانات الموظفين'!B5</f>
        <v xml:space="preserve">أبو بكر </v>
      </c>
      <c r="B7" s="33"/>
      <c r="C7" s="33"/>
      <c r="D7" s="33"/>
      <c r="E7" s="33"/>
      <c r="F7" s="33"/>
      <c r="G7" s="33"/>
      <c r="H7" s="34"/>
      <c r="I7" s="33"/>
      <c r="J7" s="33"/>
      <c r="K7" s="33"/>
      <c r="L7" s="33"/>
      <c r="M7" s="33"/>
      <c r="N7" s="33"/>
      <c r="O7" s="34"/>
      <c r="P7" s="33"/>
      <c r="Q7" s="33"/>
      <c r="R7" s="33"/>
      <c r="S7" s="33"/>
      <c r="T7" s="33"/>
      <c r="U7" s="33"/>
      <c r="V7" s="34"/>
      <c r="W7" s="33"/>
      <c r="X7" s="33"/>
      <c r="Y7" s="33"/>
      <c r="Z7" s="33"/>
      <c r="AA7" s="33"/>
      <c r="AB7" s="33"/>
      <c r="AC7" s="34"/>
      <c r="AD7" s="33"/>
      <c r="AE7" s="33"/>
      <c r="AF7" s="33"/>
      <c r="AG7" s="35">
        <f t="shared" ref="AG7:AG16" si="0">COUNTIF(B7:AF7,"غ")</f>
        <v>0</v>
      </c>
      <c r="AH7" s="36">
        <f t="shared" ref="AH7:AH16" si="1">COUNTIF(B7:AF7,"نصف")</f>
        <v>0</v>
      </c>
      <c r="AI7" s="37">
        <f t="shared" ref="AI7:AI16" si="2">SUMIF(B7:AF7,"&gt;"&amp;0)</f>
        <v>0</v>
      </c>
      <c r="AJ7" s="38" t="str">
        <f>IF(OR('بيانات الموظفين'!C5="",NOT(ISNUMBER('بيانات الموظفين'!G2)),AI7=0),"-",ROUND(AI7*(('بيانات الموظفين'!C5/31)/'بيانات الموظفين'!G2),2))</f>
        <v>-</v>
      </c>
      <c r="AK7" s="39">
        <f>IF('بيانات الموظفين'!C5="","-",31-AG7-AH7*0.5)</f>
        <v>31</v>
      </c>
      <c r="AL7" s="6">
        <f>IF('بيانات الموظفين'!C5="","-",ROUND(('بيانات الموظفين'!C5/31)*AG7+(('بيانات الموظفين'!C5/31)/2)*AH7,2))</f>
        <v>0</v>
      </c>
      <c r="AM7" s="40">
        <f>IF('بيانات الموظفين'!C5="","-",ROUND('بيانات الموظفين'!C5+ROUND('بيانات الموظفين'!C5/30,2)+IF(ISNUMBER(AJ7),AJ7,0)-IF(ISNUMBER(AL7),AL7,0),2))</f>
        <v>7233333.3300000001</v>
      </c>
    </row>
    <row r="8" spans="1:39" ht="25.5" customHeight="1" x14ac:dyDescent="0.25">
      <c r="A8" s="3" t="str">
        <f>'بيانات الموظفين'!B6</f>
        <v>هيثم صمادي</v>
      </c>
      <c r="B8" s="41"/>
      <c r="C8" s="41"/>
      <c r="D8" s="41"/>
      <c r="E8" s="41"/>
      <c r="F8" s="41"/>
      <c r="G8" s="41"/>
      <c r="H8" s="34"/>
      <c r="I8" s="41"/>
      <c r="J8" s="41"/>
      <c r="K8" s="41"/>
      <c r="L8" s="41"/>
      <c r="M8" s="41"/>
      <c r="N8" s="41"/>
      <c r="O8" s="34"/>
      <c r="P8" s="41"/>
      <c r="Q8" s="41"/>
      <c r="R8" s="41"/>
      <c r="S8" s="41"/>
      <c r="T8" s="41"/>
      <c r="U8" s="41"/>
      <c r="V8" s="34"/>
      <c r="W8" s="41"/>
      <c r="X8" s="41"/>
      <c r="Y8" s="41"/>
      <c r="Z8" s="41"/>
      <c r="AA8" s="41"/>
      <c r="AB8" s="41"/>
      <c r="AC8" s="34"/>
      <c r="AD8" s="41"/>
      <c r="AE8" s="41"/>
      <c r="AF8" s="41"/>
      <c r="AG8" s="35">
        <f t="shared" si="0"/>
        <v>0</v>
      </c>
      <c r="AH8" s="36">
        <f t="shared" si="1"/>
        <v>0</v>
      </c>
      <c r="AI8" s="37">
        <f t="shared" si="2"/>
        <v>0</v>
      </c>
      <c r="AJ8" s="38" t="str">
        <f>IF(OR('بيانات الموظفين'!C6="",NOT(ISNUMBER('بيانات الموظفين'!G2)),AI8=0),"-",ROUND(AI8*(('بيانات الموظفين'!C6/31)/'بيانات الموظفين'!G2),2))</f>
        <v>-</v>
      </c>
      <c r="AK8" s="39">
        <f>IF('بيانات الموظفين'!C6="","-",31-AG8-AH8*0.5)</f>
        <v>31</v>
      </c>
      <c r="AL8" s="6">
        <f>IF('بيانات الموظفين'!C6="","-",ROUND(('بيانات الموظفين'!C6/31)*AG8+(('بيانات الموظفين'!C6/31)/2)*AH8,2))</f>
        <v>0</v>
      </c>
      <c r="AM8" s="40">
        <f>IF('بيانات الموظفين'!C6="","-",ROUND('بيانات الموظفين'!C6+ROUND('بيانات الموظفين'!C6/30,2)+IF(ISNUMBER(AJ8),AJ8,0)-IF(ISNUMBER(AL8),AL8,0),2))</f>
        <v>3100000</v>
      </c>
    </row>
    <row r="9" spans="1:39" ht="25.5" customHeight="1" x14ac:dyDescent="0.25">
      <c r="A9" s="3" t="str">
        <f>'بيانات الموظفين'!B7</f>
        <v>حسام كبريتة</v>
      </c>
      <c r="B9" s="33"/>
      <c r="C9" s="33"/>
      <c r="D9" s="33"/>
      <c r="E9" s="33"/>
      <c r="F9" s="33"/>
      <c r="G9" s="33"/>
      <c r="H9" s="34"/>
      <c r="I9" s="33"/>
      <c r="J9" s="33"/>
      <c r="K9" s="33"/>
      <c r="L9" s="33"/>
      <c r="M9" s="33"/>
      <c r="N9" s="33"/>
      <c r="O9" s="34"/>
      <c r="P9" s="33"/>
      <c r="Q9" s="33"/>
      <c r="R9" s="33"/>
      <c r="S9" s="33"/>
      <c r="T9" s="33"/>
      <c r="U9" s="33"/>
      <c r="V9" s="34"/>
      <c r="W9" s="33"/>
      <c r="X9" s="33"/>
      <c r="Y9" s="33"/>
      <c r="Z9" s="33"/>
      <c r="AA9" s="33"/>
      <c r="AB9" s="33"/>
      <c r="AC9" s="34"/>
      <c r="AD9" s="33"/>
      <c r="AE9" s="33"/>
      <c r="AF9" s="33"/>
      <c r="AG9" s="35">
        <f t="shared" si="0"/>
        <v>0</v>
      </c>
      <c r="AH9" s="36">
        <f t="shared" si="1"/>
        <v>0</v>
      </c>
      <c r="AI9" s="37">
        <f t="shared" si="2"/>
        <v>0</v>
      </c>
      <c r="AJ9" s="38" t="str">
        <f>IF(OR('بيانات الموظفين'!C7="",NOT(ISNUMBER('بيانات الموظفين'!G2)),AI9=0),"-",ROUND(AI9*(('بيانات الموظفين'!C7/31)/'بيانات الموظفين'!G2),2))</f>
        <v>-</v>
      </c>
      <c r="AK9" s="39">
        <f>IF('بيانات الموظفين'!C7="","-",31-AG9-AH9*0.5)</f>
        <v>31</v>
      </c>
      <c r="AL9" s="6">
        <f>IF('بيانات الموظفين'!C7="","-",ROUND(('بيانات الموظفين'!C7/31)*AG9+(('بيانات الموظفين'!C7/31)/2)*AH9,2))</f>
        <v>0</v>
      </c>
      <c r="AM9" s="40">
        <f>IF('بيانات الموظفين'!C7="","-",ROUND('بيانات الموظفين'!C7+ROUND('بيانات الموظفين'!C7/30,2)+IF(ISNUMBER(AJ9),AJ9,0)-IF(ISNUMBER(AL9),AL9,0),2))</f>
        <v>2583333.33</v>
      </c>
    </row>
    <row r="10" spans="1:39" ht="25.5" customHeight="1" x14ac:dyDescent="0.25">
      <c r="A10" s="3" t="str">
        <f>'بيانات الموظفين'!B8</f>
        <v>انس المنسي</v>
      </c>
      <c r="B10" s="41"/>
      <c r="C10" s="41"/>
      <c r="D10" s="41"/>
      <c r="E10" s="41"/>
      <c r="F10" s="41"/>
      <c r="G10" s="41"/>
      <c r="H10" s="34"/>
      <c r="I10" s="41"/>
      <c r="J10" s="41"/>
      <c r="K10" s="41"/>
      <c r="L10" s="41"/>
      <c r="M10" s="41"/>
      <c r="N10" s="41"/>
      <c r="O10" s="34"/>
      <c r="P10" s="41"/>
      <c r="Q10" s="41"/>
      <c r="R10" s="41"/>
      <c r="S10" s="41"/>
      <c r="T10" s="41"/>
      <c r="U10" s="41"/>
      <c r="V10" s="34"/>
      <c r="W10" s="41"/>
      <c r="X10" s="41"/>
      <c r="Y10" s="41"/>
      <c r="Z10" s="41"/>
      <c r="AA10" s="41"/>
      <c r="AB10" s="41"/>
      <c r="AC10" s="34"/>
      <c r="AD10" s="41"/>
      <c r="AE10" s="41"/>
      <c r="AF10" s="41"/>
      <c r="AG10" s="35">
        <f t="shared" si="0"/>
        <v>0</v>
      </c>
      <c r="AH10" s="36">
        <f t="shared" si="1"/>
        <v>0</v>
      </c>
      <c r="AI10" s="37">
        <f t="shared" si="2"/>
        <v>0</v>
      </c>
      <c r="AJ10" s="38" t="str">
        <f>IF(OR('بيانات الموظفين'!C8="",NOT(ISNUMBER('بيانات الموظفين'!G2)),AI10=0),"-",ROUND(AI10*(('بيانات الموظفين'!C8/31)/'بيانات الموظفين'!G2),2))</f>
        <v>-</v>
      </c>
      <c r="AK10" s="39">
        <f>IF('بيانات الموظفين'!C8="","-",31-AG10-AH10*0.5)</f>
        <v>31</v>
      </c>
      <c r="AL10" s="6">
        <f>IF('بيانات الموظفين'!C8="","-",ROUND(('بيانات الموظفين'!C8/31)*AG10+(('بيانات الموظفين'!C8/31)/2)*AH10,2))</f>
        <v>0</v>
      </c>
      <c r="AM10" s="40">
        <f>IF('بيانات الموظفين'!C8="","-",ROUND('بيانات الموظفين'!C8+ROUND('بيانات الموظفين'!C8/30,2)+IF(ISNUMBER(AJ10),AJ10,0)-IF(ISNUMBER(AL10),AL10,0),2))</f>
        <v>826666.67</v>
      </c>
    </row>
    <row r="11" spans="1:39" ht="25.5" customHeight="1" x14ac:dyDescent="0.25">
      <c r="A11" s="3" t="str">
        <f>'بيانات الموظفين'!B9</f>
        <v>عمار مجيد</v>
      </c>
      <c r="B11" s="33"/>
      <c r="C11" s="33"/>
      <c r="D11" s="33"/>
      <c r="E11" s="33"/>
      <c r="F11" s="33"/>
      <c r="G11" s="33"/>
      <c r="H11" s="34"/>
      <c r="I11" s="33"/>
      <c r="J11" s="33"/>
      <c r="K11" s="33"/>
      <c r="L11" s="33"/>
      <c r="M11" s="33"/>
      <c r="N11" s="33"/>
      <c r="O11" s="34"/>
      <c r="P11" s="33"/>
      <c r="Q11" s="33"/>
      <c r="R11" s="33"/>
      <c r="S11" s="33"/>
      <c r="T11" s="33"/>
      <c r="U11" s="33"/>
      <c r="V11" s="34"/>
      <c r="W11" s="33"/>
      <c r="X11" s="33"/>
      <c r="Y11" s="33"/>
      <c r="Z11" s="33"/>
      <c r="AA11" s="33"/>
      <c r="AB11" s="33"/>
      <c r="AC11" s="34"/>
      <c r="AD11" s="33"/>
      <c r="AE11" s="33"/>
      <c r="AF11" s="33"/>
      <c r="AG11" s="35">
        <f t="shared" si="0"/>
        <v>0</v>
      </c>
      <c r="AH11" s="36">
        <f t="shared" si="1"/>
        <v>0</v>
      </c>
      <c r="AI11" s="37">
        <f t="shared" si="2"/>
        <v>0</v>
      </c>
      <c r="AJ11" s="38" t="str">
        <f>IF(OR('بيانات الموظفين'!C9="",NOT(ISNUMBER('بيانات الموظفين'!G2)),AI11=0),"-",ROUND(AI11*(('بيانات الموظفين'!C9/31)/'بيانات الموظفين'!G2),2))</f>
        <v>-</v>
      </c>
      <c r="AK11" s="39">
        <f>IF('بيانات الموظفين'!C9="","-",31-AG11-AH11*0.5)</f>
        <v>31</v>
      </c>
      <c r="AL11" s="6">
        <f>IF('بيانات الموظفين'!C9="","-",ROUND(('بيانات الموظفين'!C9/31)*AG11+(('بيانات الموظفين'!C9/31)/2)*AH11,2))</f>
        <v>0</v>
      </c>
      <c r="AM11" s="40">
        <f>IF('بيانات الموظفين'!C9="","-",ROUND('بيانات الموظفين'!C9+ROUND('بيانات الموظفين'!C9/30,2)+IF(ISNUMBER(AJ11),AJ11,0)-IF(ISNUMBER(AL11),AL11,0),2))</f>
        <v>2066666.67</v>
      </c>
    </row>
    <row r="12" spans="1:39" ht="25.5" customHeight="1" x14ac:dyDescent="0.25">
      <c r="A12" s="3">
        <f>'بيانات الموظفين'!B10</f>
        <v>0</v>
      </c>
      <c r="B12" s="41"/>
      <c r="C12" s="41"/>
      <c r="D12" s="41"/>
      <c r="E12" s="41"/>
      <c r="F12" s="41"/>
      <c r="G12" s="41"/>
      <c r="H12" s="34"/>
      <c r="I12" s="41"/>
      <c r="J12" s="41"/>
      <c r="K12" s="41"/>
      <c r="L12" s="41"/>
      <c r="M12" s="41"/>
      <c r="N12" s="41"/>
      <c r="O12" s="34"/>
      <c r="P12" s="41"/>
      <c r="Q12" s="41"/>
      <c r="R12" s="41"/>
      <c r="S12" s="41"/>
      <c r="T12" s="41"/>
      <c r="U12" s="41"/>
      <c r="V12" s="34"/>
      <c r="W12" s="41"/>
      <c r="X12" s="41"/>
      <c r="Y12" s="41"/>
      <c r="Z12" s="41"/>
      <c r="AA12" s="41"/>
      <c r="AB12" s="41"/>
      <c r="AC12" s="34"/>
      <c r="AD12" s="41"/>
      <c r="AE12" s="41"/>
      <c r="AF12" s="41"/>
      <c r="AG12" s="35">
        <f t="shared" si="0"/>
        <v>0</v>
      </c>
      <c r="AH12" s="36">
        <f t="shared" si="1"/>
        <v>0</v>
      </c>
      <c r="AI12" s="37">
        <f t="shared" si="2"/>
        <v>0</v>
      </c>
      <c r="AJ12" s="38" t="str">
        <f>IF(OR('بيانات الموظفين'!C10="",NOT(ISNUMBER('بيانات الموظفين'!G2)),AI12=0),"-",ROUND(AI12*(('بيانات الموظفين'!C10/31)/'بيانات الموظفين'!G2),2))</f>
        <v>-</v>
      </c>
      <c r="AK12" s="39" t="str">
        <f>IF('بيانات الموظفين'!C10="","-",31-AG12-AH12*0.5)</f>
        <v>-</v>
      </c>
      <c r="AL12" s="6" t="str">
        <f>IF('بيانات الموظفين'!C10="","-",ROUND(('بيانات الموظفين'!C10/31)*AG12+(('بيانات الموظفين'!C10/31)/2)*AH12,2))</f>
        <v>-</v>
      </c>
      <c r="AM12" s="40" t="str">
        <f>IF('بيانات الموظفين'!C10="","-",ROUND('بيانات الموظفين'!C10+ROUND('بيانات الموظفين'!C10/30,2)+IF(ISNUMBER(AJ12),AJ12,0)-IF(ISNUMBER(AL12),AL12,0),2))</f>
        <v>-</v>
      </c>
    </row>
    <row r="13" spans="1:39" ht="25.5" customHeight="1" x14ac:dyDescent="0.25">
      <c r="A13" s="3">
        <f>'بيانات الموظفين'!B11</f>
        <v>0</v>
      </c>
      <c r="B13" s="33"/>
      <c r="C13" s="33"/>
      <c r="D13" s="33"/>
      <c r="E13" s="33"/>
      <c r="F13" s="33"/>
      <c r="G13" s="33"/>
      <c r="H13" s="34"/>
      <c r="I13" s="33"/>
      <c r="J13" s="33"/>
      <c r="K13" s="33"/>
      <c r="L13" s="33"/>
      <c r="M13" s="33"/>
      <c r="N13" s="33"/>
      <c r="O13" s="34"/>
      <c r="P13" s="33"/>
      <c r="Q13" s="33"/>
      <c r="R13" s="33"/>
      <c r="S13" s="33"/>
      <c r="T13" s="33"/>
      <c r="U13" s="33"/>
      <c r="V13" s="34"/>
      <c r="W13" s="33"/>
      <c r="X13" s="33"/>
      <c r="Y13" s="33"/>
      <c r="Z13" s="33"/>
      <c r="AA13" s="33"/>
      <c r="AB13" s="33"/>
      <c r="AC13" s="34"/>
      <c r="AD13" s="33"/>
      <c r="AE13" s="33"/>
      <c r="AF13" s="33"/>
      <c r="AG13" s="35">
        <f t="shared" si="0"/>
        <v>0</v>
      </c>
      <c r="AH13" s="36">
        <f t="shared" si="1"/>
        <v>0</v>
      </c>
      <c r="AI13" s="37">
        <f t="shared" si="2"/>
        <v>0</v>
      </c>
      <c r="AJ13" s="38" t="str">
        <f>IF(OR('بيانات الموظفين'!C11="",NOT(ISNUMBER('بيانات الموظفين'!G2)),AI13=0),"-",ROUND(AI13*(('بيانات الموظفين'!C11/31)/'بيانات الموظفين'!G2),2))</f>
        <v>-</v>
      </c>
      <c r="AK13" s="39" t="str">
        <f>IF('بيانات الموظفين'!C11="","-",31-AG13-AH13*0.5)</f>
        <v>-</v>
      </c>
      <c r="AL13" s="6" t="str">
        <f>IF('بيانات الموظفين'!C11="","-",ROUND(('بيانات الموظفين'!C11/31)*AG13+(('بيانات الموظفين'!C11/31)/2)*AH13,2))</f>
        <v>-</v>
      </c>
      <c r="AM13" s="40" t="str">
        <f>IF('بيانات الموظفين'!C11="","-",ROUND('بيانات الموظفين'!C11+ROUND('بيانات الموظفين'!C11/30,2)+IF(ISNUMBER(AJ13),AJ13,0)-IF(ISNUMBER(AL13),AL13,0),2))</f>
        <v>-</v>
      </c>
    </row>
    <row r="14" spans="1:39" ht="25.5" customHeight="1" x14ac:dyDescent="0.25">
      <c r="A14" s="3">
        <f>'بيانات الموظفين'!B12</f>
        <v>0</v>
      </c>
      <c r="B14" s="41"/>
      <c r="C14" s="41"/>
      <c r="D14" s="41"/>
      <c r="E14" s="41"/>
      <c r="F14" s="41"/>
      <c r="G14" s="41"/>
      <c r="H14" s="34"/>
      <c r="I14" s="41"/>
      <c r="J14" s="41"/>
      <c r="K14" s="41"/>
      <c r="L14" s="41"/>
      <c r="M14" s="41"/>
      <c r="N14" s="41"/>
      <c r="O14" s="34"/>
      <c r="P14" s="41"/>
      <c r="Q14" s="41"/>
      <c r="R14" s="41"/>
      <c r="S14" s="41"/>
      <c r="T14" s="41"/>
      <c r="U14" s="41"/>
      <c r="V14" s="34"/>
      <c r="W14" s="41"/>
      <c r="X14" s="41"/>
      <c r="Y14" s="41"/>
      <c r="Z14" s="41"/>
      <c r="AA14" s="41"/>
      <c r="AB14" s="41"/>
      <c r="AC14" s="34"/>
      <c r="AD14" s="41"/>
      <c r="AE14" s="41"/>
      <c r="AF14" s="41"/>
      <c r="AG14" s="35">
        <f t="shared" si="0"/>
        <v>0</v>
      </c>
      <c r="AH14" s="36">
        <f t="shared" si="1"/>
        <v>0</v>
      </c>
      <c r="AI14" s="37">
        <f t="shared" si="2"/>
        <v>0</v>
      </c>
      <c r="AJ14" s="38" t="str">
        <f>IF(OR('بيانات الموظفين'!C12="",NOT(ISNUMBER('بيانات الموظفين'!G2)),AI14=0),"-",ROUND(AI14*(('بيانات الموظفين'!C12/31)/'بيانات الموظفين'!G2),2))</f>
        <v>-</v>
      </c>
      <c r="AK14" s="39" t="str">
        <f>IF('بيانات الموظفين'!C12="","-",31-AG14-AH14*0.5)</f>
        <v>-</v>
      </c>
      <c r="AL14" s="6" t="str">
        <f>IF('بيانات الموظفين'!C12="","-",ROUND(('بيانات الموظفين'!C12/31)*AG14+(('بيانات الموظفين'!C12/31)/2)*AH14,2))</f>
        <v>-</v>
      </c>
      <c r="AM14" s="40" t="str">
        <f>IF('بيانات الموظفين'!C12="","-",ROUND('بيانات الموظفين'!C12+ROUND('بيانات الموظفين'!C12/30,2)+IF(ISNUMBER(AJ14),AJ14,0)-IF(ISNUMBER(AL14),AL14,0),2))</f>
        <v>-</v>
      </c>
    </row>
    <row r="15" spans="1:39" ht="25.5" customHeight="1" x14ac:dyDescent="0.25">
      <c r="A15" s="3">
        <f>'بيانات الموظفين'!B13</f>
        <v>0</v>
      </c>
      <c r="B15" s="33"/>
      <c r="C15" s="33"/>
      <c r="D15" s="33"/>
      <c r="E15" s="33"/>
      <c r="F15" s="33"/>
      <c r="G15" s="33"/>
      <c r="H15" s="34"/>
      <c r="I15" s="33"/>
      <c r="J15" s="33"/>
      <c r="K15" s="33"/>
      <c r="L15" s="33"/>
      <c r="M15" s="33"/>
      <c r="N15" s="33"/>
      <c r="O15" s="34"/>
      <c r="P15" s="33"/>
      <c r="Q15" s="33"/>
      <c r="R15" s="33"/>
      <c r="S15" s="33"/>
      <c r="T15" s="33"/>
      <c r="U15" s="33"/>
      <c r="V15" s="34"/>
      <c r="W15" s="33"/>
      <c r="X15" s="33"/>
      <c r="Y15" s="33"/>
      <c r="Z15" s="33"/>
      <c r="AA15" s="33"/>
      <c r="AB15" s="33"/>
      <c r="AC15" s="34"/>
      <c r="AD15" s="33"/>
      <c r="AE15" s="33"/>
      <c r="AF15" s="33"/>
      <c r="AG15" s="35">
        <f t="shared" si="0"/>
        <v>0</v>
      </c>
      <c r="AH15" s="36">
        <f t="shared" si="1"/>
        <v>0</v>
      </c>
      <c r="AI15" s="37">
        <f t="shared" si="2"/>
        <v>0</v>
      </c>
      <c r="AJ15" s="38" t="str">
        <f>IF(OR('بيانات الموظفين'!C13="",NOT(ISNUMBER('بيانات الموظفين'!G2)),AI15=0),"-",ROUND(AI15*(('بيانات الموظفين'!C13/31)/'بيانات الموظفين'!G2),2))</f>
        <v>-</v>
      </c>
      <c r="AK15" s="39" t="str">
        <f>IF('بيانات الموظفين'!C13="","-",31-AG15-AH15*0.5)</f>
        <v>-</v>
      </c>
      <c r="AL15" s="6" t="str">
        <f>IF('بيانات الموظفين'!C13="","-",ROUND(('بيانات الموظفين'!C13/31)*AG15+(('بيانات الموظفين'!C13/31)/2)*AH15,2))</f>
        <v>-</v>
      </c>
      <c r="AM15" s="40" t="str">
        <f>IF('بيانات الموظفين'!C13="","-",ROUND('بيانات الموظفين'!C13+ROUND('بيانات الموظفين'!C13/30,2)+IF(ISNUMBER(AJ15),AJ15,0)-IF(ISNUMBER(AL15),AL15,0),2))</f>
        <v>-</v>
      </c>
    </row>
    <row r="16" spans="1:39" ht="25.5" customHeight="1" x14ac:dyDescent="0.25">
      <c r="A16" s="3">
        <f>'بيانات الموظفين'!B14</f>
        <v>0</v>
      </c>
      <c r="B16" s="41"/>
      <c r="C16" s="41"/>
      <c r="D16" s="41"/>
      <c r="E16" s="41"/>
      <c r="F16" s="41"/>
      <c r="G16" s="41"/>
      <c r="H16" s="34"/>
      <c r="I16" s="41"/>
      <c r="J16" s="41"/>
      <c r="K16" s="41"/>
      <c r="L16" s="41"/>
      <c r="M16" s="41"/>
      <c r="N16" s="41"/>
      <c r="O16" s="34"/>
      <c r="P16" s="41"/>
      <c r="Q16" s="41"/>
      <c r="R16" s="41"/>
      <c r="S16" s="41"/>
      <c r="T16" s="41"/>
      <c r="U16" s="41"/>
      <c r="V16" s="34"/>
      <c r="W16" s="41"/>
      <c r="X16" s="41"/>
      <c r="Y16" s="41"/>
      <c r="Z16" s="41"/>
      <c r="AA16" s="41"/>
      <c r="AB16" s="41"/>
      <c r="AC16" s="34"/>
      <c r="AD16" s="41"/>
      <c r="AE16" s="41"/>
      <c r="AF16" s="41"/>
      <c r="AG16" s="35">
        <f t="shared" si="0"/>
        <v>0</v>
      </c>
      <c r="AH16" s="36">
        <f t="shared" si="1"/>
        <v>0</v>
      </c>
      <c r="AI16" s="37">
        <f t="shared" si="2"/>
        <v>0</v>
      </c>
      <c r="AJ16" s="38" t="str">
        <f>IF(OR('بيانات الموظفين'!C14="",NOT(ISNUMBER('بيانات الموظفين'!G2)),AI16=0),"-",ROUND(AI16*(('بيانات الموظفين'!C14/31)/'بيانات الموظفين'!G2),2))</f>
        <v>-</v>
      </c>
      <c r="AK16" s="39" t="str">
        <f>IF('بيانات الموظفين'!C14="","-",31-AG16-AH16*0.5)</f>
        <v>-</v>
      </c>
      <c r="AL16" s="6" t="str">
        <f>IF('بيانات الموظفين'!C14="","-",ROUND(('بيانات الموظفين'!C14/31)*AG16+(('بيانات الموظفين'!C14/31)/2)*AH16,2))</f>
        <v>-</v>
      </c>
      <c r="AM16" s="40" t="str">
        <f>IF('بيانات الموظفين'!C14="","-",ROUND('بيانات الموظفين'!C14+ROUND('بيانات الموظفين'!C14/30,2)+IF(ISNUMBER(AJ16),AJ16,0)-IF(ISNUMBER(AL16),AL16,0),2))</f>
        <v>-</v>
      </c>
    </row>
    <row r="17" spans="1:39" ht="25.5" customHeight="1" x14ac:dyDescent="0.25">
      <c r="A17" s="1" t="s">
        <v>89</v>
      </c>
      <c r="B17" s="42">
        <f t="shared" ref="B17:AF17" si="3">COUNTIF(B7:B16,"غ")+COUNTIF(B7:B16,"نصف")*0.5</f>
        <v>0</v>
      </c>
      <c r="C17" s="42">
        <f t="shared" si="3"/>
        <v>0</v>
      </c>
      <c r="D17" s="42">
        <f t="shared" si="3"/>
        <v>0</v>
      </c>
      <c r="E17" s="42">
        <f t="shared" si="3"/>
        <v>0</v>
      </c>
      <c r="F17" s="42">
        <f t="shared" si="3"/>
        <v>0</v>
      </c>
      <c r="G17" s="42">
        <f t="shared" si="3"/>
        <v>0</v>
      </c>
      <c r="H17" s="42">
        <f t="shared" si="3"/>
        <v>0</v>
      </c>
      <c r="I17" s="42">
        <f t="shared" si="3"/>
        <v>0</v>
      </c>
      <c r="J17" s="42">
        <f t="shared" si="3"/>
        <v>0</v>
      </c>
      <c r="K17" s="42">
        <f t="shared" si="3"/>
        <v>0</v>
      </c>
      <c r="L17" s="42">
        <f t="shared" si="3"/>
        <v>0</v>
      </c>
      <c r="M17" s="42">
        <f t="shared" si="3"/>
        <v>0</v>
      </c>
      <c r="N17" s="42">
        <f t="shared" si="3"/>
        <v>0</v>
      </c>
      <c r="O17" s="42">
        <f t="shared" si="3"/>
        <v>0</v>
      </c>
      <c r="P17" s="42">
        <f t="shared" si="3"/>
        <v>0</v>
      </c>
      <c r="Q17" s="42">
        <f t="shared" si="3"/>
        <v>0</v>
      </c>
      <c r="R17" s="42">
        <f t="shared" si="3"/>
        <v>0</v>
      </c>
      <c r="S17" s="42">
        <f t="shared" si="3"/>
        <v>0</v>
      </c>
      <c r="T17" s="42">
        <f t="shared" si="3"/>
        <v>0</v>
      </c>
      <c r="U17" s="42">
        <f t="shared" si="3"/>
        <v>0</v>
      </c>
      <c r="V17" s="42">
        <f t="shared" si="3"/>
        <v>0</v>
      </c>
      <c r="W17" s="42">
        <f t="shared" si="3"/>
        <v>0</v>
      </c>
      <c r="X17" s="42">
        <f t="shared" si="3"/>
        <v>0</v>
      </c>
      <c r="Y17" s="42">
        <f t="shared" si="3"/>
        <v>0</v>
      </c>
      <c r="Z17" s="42">
        <f t="shared" si="3"/>
        <v>0</v>
      </c>
      <c r="AA17" s="42">
        <f t="shared" si="3"/>
        <v>0</v>
      </c>
      <c r="AB17" s="42">
        <f t="shared" si="3"/>
        <v>0</v>
      </c>
      <c r="AC17" s="42">
        <f t="shared" si="3"/>
        <v>0</v>
      </c>
      <c r="AD17" s="42">
        <f t="shared" si="3"/>
        <v>0</v>
      </c>
      <c r="AE17" s="42">
        <f t="shared" si="3"/>
        <v>0</v>
      </c>
      <c r="AF17" s="42">
        <f t="shared" si="3"/>
        <v>0</v>
      </c>
      <c r="AG17" s="43">
        <f>SUM(AG7:AG16)</f>
        <v>0</v>
      </c>
      <c r="AH17" s="43">
        <f>SUM(AH7:AH16)</f>
        <v>0</v>
      </c>
      <c r="AI17" s="43">
        <f>SUM(AI7:AI16)</f>
        <v>0</v>
      </c>
      <c r="AJ17" s="44">
        <f>SUM(AJ7:AJ16)</f>
        <v>0</v>
      </c>
      <c r="AK17" s="45"/>
      <c r="AL17" s="44">
        <f>SUM(AL7:AL16)</f>
        <v>0</v>
      </c>
      <c r="AM17" s="44">
        <f>SUM(AM7:AM16)</f>
        <v>15810000</v>
      </c>
    </row>
    <row r="18" spans="1:39" ht="9.75" customHeight="1" x14ac:dyDescent="0.25"/>
    <row r="19" spans="1:39" ht="31.5" customHeight="1" x14ac:dyDescent="0.25">
      <c r="A19" s="50" t="s">
        <v>90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</row>
    <row r="20" spans="1:39" ht="27.75" customHeight="1" x14ac:dyDescent="0.25">
      <c r="A20" s="1" t="s">
        <v>2</v>
      </c>
      <c r="B20" s="1" t="s">
        <v>3</v>
      </c>
      <c r="C20" s="1" t="s">
        <v>63</v>
      </c>
      <c r="D20" s="1" t="s">
        <v>64</v>
      </c>
      <c r="E20" s="1" t="s">
        <v>65</v>
      </c>
      <c r="F20" s="1" t="s">
        <v>66</v>
      </c>
      <c r="G20" s="1" t="s">
        <v>67</v>
      </c>
      <c r="H20" s="1" t="s">
        <v>68</v>
      </c>
      <c r="I20" s="1" t="s">
        <v>69</v>
      </c>
    </row>
    <row r="21" spans="1:39" ht="24" customHeight="1" x14ac:dyDescent="0.25">
      <c r="A21" s="2">
        <v>1</v>
      </c>
      <c r="B21" s="3" t="str">
        <f>'بيانات الموظفين'!B5</f>
        <v xml:space="preserve">أبو بكر </v>
      </c>
      <c r="C21" s="4">
        <f>IF('بيانات الموظفين'!C5="","-",'بيانات الموظفين'!C5)</f>
        <v>7000000</v>
      </c>
      <c r="D21" s="46">
        <f t="shared" ref="D21:D30" si="4">AG7</f>
        <v>0</v>
      </c>
      <c r="E21" s="47">
        <f t="shared" ref="E21:E30" si="5">AH7</f>
        <v>0</v>
      </c>
      <c r="F21" s="6">
        <f t="shared" ref="F21:F30" si="6">AL7</f>
        <v>0</v>
      </c>
      <c r="G21" s="48">
        <f t="shared" ref="G21:G30" si="7">AI7</f>
        <v>0</v>
      </c>
      <c r="H21" s="38" t="str">
        <f t="shared" ref="H21:H30" si="8">AJ7</f>
        <v>-</v>
      </c>
      <c r="I21" s="40">
        <f t="shared" ref="I21:I30" si="9">AM7</f>
        <v>7233333.3300000001</v>
      </c>
    </row>
    <row r="22" spans="1:39" ht="24" customHeight="1" x14ac:dyDescent="0.25">
      <c r="A22" s="8">
        <v>2</v>
      </c>
      <c r="B22" s="3" t="str">
        <f>'بيانات الموظفين'!B6</f>
        <v>هيثم صمادي</v>
      </c>
      <c r="C22" s="9">
        <f>IF('بيانات الموظفين'!C6="","-",'بيانات الموظفين'!C6)</f>
        <v>3000000</v>
      </c>
      <c r="D22" s="46">
        <f t="shared" si="4"/>
        <v>0</v>
      </c>
      <c r="E22" s="47">
        <f t="shared" si="5"/>
        <v>0</v>
      </c>
      <c r="F22" s="6">
        <f t="shared" si="6"/>
        <v>0</v>
      </c>
      <c r="G22" s="48">
        <f t="shared" si="7"/>
        <v>0</v>
      </c>
      <c r="H22" s="38" t="str">
        <f t="shared" si="8"/>
        <v>-</v>
      </c>
      <c r="I22" s="40">
        <f t="shared" si="9"/>
        <v>3100000</v>
      </c>
    </row>
    <row r="23" spans="1:39" ht="24" customHeight="1" x14ac:dyDescent="0.25">
      <c r="A23" s="2">
        <v>3</v>
      </c>
      <c r="B23" s="3" t="str">
        <f>'بيانات الموظفين'!B7</f>
        <v>حسام كبريتة</v>
      </c>
      <c r="C23" s="4">
        <f>IF('بيانات الموظفين'!C7="","-",'بيانات الموظفين'!C7)</f>
        <v>2500000</v>
      </c>
      <c r="D23" s="46">
        <f t="shared" si="4"/>
        <v>0</v>
      </c>
      <c r="E23" s="47">
        <f t="shared" si="5"/>
        <v>0</v>
      </c>
      <c r="F23" s="6">
        <f t="shared" si="6"/>
        <v>0</v>
      </c>
      <c r="G23" s="48">
        <f t="shared" si="7"/>
        <v>0</v>
      </c>
      <c r="H23" s="38" t="str">
        <f t="shared" si="8"/>
        <v>-</v>
      </c>
      <c r="I23" s="40">
        <f t="shared" si="9"/>
        <v>2583333.33</v>
      </c>
    </row>
    <row r="24" spans="1:39" ht="24" customHeight="1" x14ac:dyDescent="0.25">
      <c r="A24" s="8">
        <v>4</v>
      </c>
      <c r="B24" s="3" t="str">
        <f>'بيانات الموظفين'!B8</f>
        <v>انس المنسي</v>
      </c>
      <c r="C24" s="9">
        <f>IF('بيانات الموظفين'!C8="","-",'بيانات الموظفين'!C8)</f>
        <v>800000</v>
      </c>
      <c r="D24" s="46">
        <f t="shared" si="4"/>
        <v>0</v>
      </c>
      <c r="E24" s="47">
        <f t="shared" si="5"/>
        <v>0</v>
      </c>
      <c r="F24" s="6">
        <f t="shared" si="6"/>
        <v>0</v>
      </c>
      <c r="G24" s="48">
        <f t="shared" si="7"/>
        <v>0</v>
      </c>
      <c r="H24" s="38" t="str">
        <f t="shared" si="8"/>
        <v>-</v>
      </c>
      <c r="I24" s="40">
        <f t="shared" si="9"/>
        <v>826666.67</v>
      </c>
    </row>
    <row r="25" spans="1:39" ht="24" customHeight="1" x14ac:dyDescent="0.25">
      <c r="A25" s="2">
        <v>5</v>
      </c>
      <c r="B25" s="3" t="str">
        <f>'بيانات الموظفين'!B9</f>
        <v>عمار مجيد</v>
      </c>
      <c r="C25" s="4">
        <f>IF('بيانات الموظفين'!C9="","-",'بيانات الموظفين'!C9)</f>
        <v>2000000</v>
      </c>
      <c r="D25" s="46">
        <f t="shared" si="4"/>
        <v>0</v>
      </c>
      <c r="E25" s="47">
        <f t="shared" si="5"/>
        <v>0</v>
      </c>
      <c r="F25" s="6">
        <f t="shared" si="6"/>
        <v>0</v>
      </c>
      <c r="G25" s="48">
        <f t="shared" si="7"/>
        <v>0</v>
      </c>
      <c r="H25" s="38" t="str">
        <f t="shared" si="8"/>
        <v>-</v>
      </c>
      <c r="I25" s="40">
        <f t="shared" si="9"/>
        <v>2066666.67</v>
      </c>
    </row>
    <row r="26" spans="1:39" ht="24" customHeight="1" x14ac:dyDescent="0.25">
      <c r="A26" s="8">
        <v>6</v>
      </c>
      <c r="B26" s="3">
        <f>'بيانات الموظفين'!B10</f>
        <v>0</v>
      </c>
      <c r="C26" s="9" t="str">
        <f>IF('بيانات الموظفين'!C10="","-",'بيانات الموظفين'!C10)</f>
        <v>-</v>
      </c>
      <c r="D26" s="46">
        <f t="shared" si="4"/>
        <v>0</v>
      </c>
      <c r="E26" s="47">
        <f t="shared" si="5"/>
        <v>0</v>
      </c>
      <c r="F26" s="6" t="str">
        <f t="shared" si="6"/>
        <v>-</v>
      </c>
      <c r="G26" s="48">
        <f t="shared" si="7"/>
        <v>0</v>
      </c>
      <c r="H26" s="38" t="str">
        <f t="shared" si="8"/>
        <v>-</v>
      </c>
      <c r="I26" s="40" t="str">
        <f t="shared" si="9"/>
        <v>-</v>
      </c>
    </row>
    <row r="27" spans="1:39" ht="24" customHeight="1" x14ac:dyDescent="0.25">
      <c r="A27" s="2">
        <v>7</v>
      </c>
      <c r="B27" s="3">
        <f>'بيانات الموظفين'!B11</f>
        <v>0</v>
      </c>
      <c r="C27" s="4" t="str">
        <f>IF('بيانات الموظفين'!C11="","-",'بيانات الموظفين'!C11)</f>
        <v>-</v>
      </c>
      <c r="D27" s="46">
        <f t="shared" si="4"/>
        <v>0</v>
      </c>
      <c r="E27" s="47">
        <f t="shared" si="5"/>
        <v>0</v>
      </c>
      <c r="F27" s="6" t="str">
        <f t="shared" si="6"/>
        <v>-</v>
      </c>
      <c r="G27" s="48">
        <f t="shared" si="7"/>
        <v>0</v>
      </c>
      <c r="H27" s="38" t="str">
        <f t="shared" si="8"/>
        <v>-</v>
      </c>
      <c r="I27" s="40" t="str">
        <f t="shared" si="9"/>
        <v>-</v>
      </c>
    </row>
    <row r="28" spans="1:39" ht="24" customHeight="1" x14ac:dyDescent="0.25">
      <c r="A28" s="8">
        <v>8</v>
      </c>
      <c r="B28" s="3">
        <f>'بيانات الموظفين'!B12</f>
        <v>0</v>
      </c>
      <c r="C28" s="9" t="str">
        <f>IF('بيانات الموظفين'!C12="","-",'بيانات الموظفين'!C12)</f>
        <v>-</v>
      </c>
      <c r="D28" s="46">
        <f t="shared" si="4"/>
        <v>0</v>
      </c>
      <c r="E28" s="47">
        <f t="shared" si="5"/>
        <v>0</v>
      </c>
      <c r="F28" s="6" t="str">
        <f t="shared" si="6"/>
        <v>-</v>
      </c>
      <c r="G28" s="48">
        <f t="shared" si="7"/>
        <v>0</v>
      </c>
      <c r="H28" s="38" t="str">
        <f t="shared" si="8"/>
        <v>-</v>
      </c>
      <c r="I28" s="40" t="str">
        <f t="shared" si="9"/>
        <v>-</v>
      </c>
    </row>
    <row r="29" spans="1:39" ht="24" customHeight="1" x14ac:dyDescent="0.25">
      <c r="A29" s="2">
        <v>9</v>
      </c>
      <c r="B29" s="3">
        <f>'بيانات الموظفين'!B13</f>
        <v>0</v>
      </c>
      <c r="C29" s="4" t="str">
        <f>IF('بيانات الموظفين'!C13="","-",'بيانات الموظفين'!C13)</f>
        <v>-</v>
      </c>
      <c r="D29" s="46">
        <f t="shared" si="4"/>
        <v>0</v>
      </c>
      <c r="E29" s="47">
        <f t="shared" si="5"/>
        <v>0</v>
      </c>
      <c r="F29" s="6" t="str">
        <f t="shared" si="6"/>
        <v>-</v>
      </c>
      <c r="G29" s="48">
        <f t="shared" si="7"/>
        <v>0</v>
      </c>
      <c r="H29" s="38" t="str">
        <f t="shared" si="8"/>
        <v>-</v>
      </c>
      <c r="I29" s="40" t="str">
        <f t="shared" si="9"/>
        <v>-</v>
      </c>
    </row>
    <row r="30" spans="1:39" ht="24" customHeight="1" x14ac:dyDescent="0.25">
      <c r="A30" s="8">
        <v>10</v>
      </c>
      <c r="B30" s="3">
        <f>'بيانات الموظفين'!B14</f>
        <v>0</v>
      </c>
      <c r="C30" s="9" t="str">
        <f>IF('بيانات الموظفين'!C14="","-",'بيانات الموظفين'!C14)</f>
        <v>-</v>
      </c>
      <c r="D30" s="46">
        <f t="shared" si="4"/>
        <v>0</v>
      </c>
      <c r="E30" s="47">
        <f t="shared" si="5"/>
        <v>0</v>
      </c>
      <c r="F30" s="6" t="str">
        <f t="shared" si="6"/>
        <v>-</v>
      </c>
      <c r="G30" s="48">
        <f t="shared" si="7"/>
        <v>0</v>
      </c>
      <c r="H30" s="38" t="str">
        <f t="shared" si="8"/>
        <v>-</v>
      </c>
      <c r="I30" s="40" t="str">
        <f t="shared" si="9"/>
        <v>-</v>
      </c>
    </row>
    <row r="31" spans="1:39" ht="27.75" customHeight="1" x14ac:dyDescent="0.25">
      <c r="A31" s="51" t="s">
        <v>19</v>
      </c>
      <c r="B31" s="51"/>
      <c r="C31" s="11">
        <f t="shared" ref="C31:I31" si="10">SUM(C21:C30)</f>
        <v>15300000</v>
      </c>
      <c r="D31" s="49">
        <f t="shared" si="10"/>
        <v>0</v>
      </c>
      <c r="E31" s="49">
        <f t="shared" si="10"/>
        <v>0</v>
      </c>
      <c r="F31" s="12">
        <f t="shared" si="10"/>
        <v>0</v>
      </c>
      <c r="G31" s="49">
        <f t="shared" si="10"/>
        <v>0</v>
      </c>
      <c r="H31" s="12">
        <f t="shared" si="10"/>
        <v>0</v>
      </c>
      <c r="I31" s="12">
        <f t="shared" si="10"/>
        <v>15810000</v>
      </c>
    </row>
  </sheetData>
  <mergeCells count="12">
    <mergeCell ref="A19:AM19"/>
    <mergeCell ref="A31:B31"/>
    <mergeCell ref="A1:AM1"/>
    <mergeCell ref="A2:AM2"/>
    <mergeCell ref="A4:A5"/>
    <mergeCell ref="AG4:AG5"/>
    <mergeCell ref="AH4:AH5"/>
    <mergeCell ref="AI4:AI5"/>
    <mergeCell ref="AJ4:AJ5"/>
    <mergeCell ref="AK4:AK5"/>
    <mergeCell ref="AL4:AL5"/>
    <mergeCell ref="AM4:AM5"/>
  </mergeCells>
  <pageMargins left="0.75" right="0.75" top="1" bottom="1" header="0.511811023622047" footer="0.511811023622047"/>
  <pageSetup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L31"/>
  <sheetViews>
    <sheetView rightToLeft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AL1"/>
    </sheetView>
  </sheetViews>
  <sheetFormatPr defaultColWidth="8.7109375" defaultRowHeight="15" x14ac:dyDescent="0.25"/>
  <cols>
    <col min="1" max="1" width="26" customWidth="1"/>
    <col min="2" max="31" width="10" customWidth="1"/>
    <col min="32" max="38" width="15" customWidth="1"/>
  </cols>
  <sheetData>
    <row r="1" spans="1:38" ht="36" customHeight="1" x14ac:dyDescent="0.25">
      <c r="A1" s="52" t="s">
        <v>91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</row>
    <row r="2" spans="1:38" ht="18" customHeight="1" x14ac:dyDescent="0.25">
      <c r="A2" s="53" t="s">
        <v>46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</row>
    <row r="3" spans="1:38" ht="6" customHeight="1" x14ac:dyDescent="0.25"/>
    <row r="4" spans="1:38" ht="30" customHeight="1" x14ac:dyDescent="0.25">
      <c r="A4" s="54" t="s">
        <v>3</v>
      </c>
      <c r="B4" s="29" t="s">
        <v>52</v>
      </c>
      <c r="C4" s="29" t="s">
        <v>53</v>
      </c>
      <c r="D4" s="29" t="s">
        <v>47</v>
      </c>
      <c r="E4" s="30" t="s">
        <v>48</v>
      </c>
      <c r="F4" s="29" t="s">
        <v>49</v>
      </c>
      <c r="G4" s="29" t="s">
        <v>50</v>
      </c>
      <c r="H4" s="29" t="s">
        <v>51</v>
      </c>
      <c r="I4" s="29" t="s">
        <v>52</v>
      </c>
      <c r="J4" s="29" t="s">
        <v>53</v>
      </c>
      <c r="K4" s="29" t="s">
        <v>47</v>
      </c>
      <c r="L4" s="30" t="s">
        <v>48</v>
      </c>
      <c r="M4" s="29" t="s">
        <v>49</v>
      </c>
      <c r="N4" s="29" t="s">
        <v>50</v>
      </c>
      <c r="O4" s="29" t="s">
        <v>51</v>
      </c>
      <c r="P4" s="29" t="s">
        <v>52</v>
      </c>
      <c r="Q4" s="29" t="s">
        <v>53</v>
      </c>
      <c r="R4" s="29" t="s">
        <v>47</v>
      </c>
      <c r="S4" s="30" t="s">
        <v>48</v>
      </c>
      <c r="T4" s="29" t="s">
        <v>49</v>
      </c>
      <c r="U4" s="29" t="s">
        <v>50</v>
      </c>
      <c r="V4" s="29" t="s">
        <v>51</v>
      </c>
      <c r="W4" s="29" t="s">
        <v>52</v>
      </c>
      <c r="X4" s="29" t="s">
        <v>53</v>
      </c>
      <c r="Y4" s="29" t="s">
        <v>47</v>
      </c>
      <c r="Z4" s="30" t="s">
        <v>48</v>
      </c>
      <c r="AA4" s="29" t="s">
        <v>49</v>
      </c>
      <c r="AB4" s="29" t="s">
        <v>50</v>
      </c>
      <c r="AC4" s="29" t="s">
        <v>51</v>
      </c>
      <c r="AD4" s="29" t="s">
        <v>52</v>
      </c>
      <c r="AE4" s="29" t="s">
        <v>53</v>
      </c>
      <c r="AF4" s="55" t="s">
        <v>54</v>
      </c>
      <c r="AG4" s="56" t="s">
        <v>55</v>
      </c>
      <c r="AH4" s="57" t="s">
        <v>56</v>
      </c>
      <c r="AI4" s="58" t="s">
        <v>57</v>
      </c>
      <c r="AJ4" s="59" t="s">
        <v>58</v>
      </c>
      <c r="AK4" s="60" t="s">
        <v>59</v>
      </c>
      <c r="AL4" s="59" t="s">
        <v>60</v>
      </c>
    </row>
    <row r="5" spans="1:38" ht="19.5" customHeight="1" x14ac:dyDescent="0.25">
      <c r="A5" s="54"/>
      <c r="B5" s="31">
        <v>1</v>
      </c>
      <c r="C5" s="31">
        <v>2</v>
      </c>
      <c r="D5" s="31">
        <v>3</v>
      </c>
      <c r="E5" s="32">
        <v>4</v>
      </c>
      <c r="F5" s="31">
        <v>5</v>
      </c>
      <c r="G5" s="31">
        <v>6</v>
      </c>
      <c r="H5" s="31">
        <v>7</v>
      </c>
      <c r="I5" s="31">
        <v>8</v>
      </c>
      <c r="J5" s="31">
        <v>9</v>
      </c>
      <c r="K5" s="31">
        <v>10</v>
      </c>
      <c r="L5" s="32">
        <v>11</v>
      </c>
      <c r="M5" s="31">
        <v>12</v>
      </c>
      <c r="N5" s="31">
        <v>13</v>
      </c>
      <c r="O5" s="31">
        <v>14</v>
      </c>
      <c r="P5" s="31">
        <v>15</v>
      </c>
      <c r="Q5" s="31">
        <v>16</v>
      </c>
      <c r="R5" s="31">
        <v>17</v>
      </c>
      <c r="S5" s="32">
        <v>18</v>
      </c>
      <c r="T5" s="31">
        <v>19</v>
      </c>
      <c r="U5" s="31">
        <v>20</v>
      </c>
      <c r="V5" s="31">
        <v>21</v>
      </c>
      <c r="W5" s="31">
        <v>22</v>
      </c>
      <c r="X5" s="31">
        <v>23</v>
      </c>
      <c r="Y5" s="31">
        <v>24</v>
      </c>
      <c r="Z5" s="32">
        <v>25</v>
      </c>
      <c r="AA5" s="31">
        <v>26</v>
      </c>
      <c r="AB5" s="31">
        <v>27</v>
      </c>
      <c r="AC5" s="31">
        <v>28</v>
      </c>
      <c r="AD5" s="31">
        <v>29</v>
      </c>
      <c r="AE5" s="31">
        <v>30</v>
      </c>
      <c r="AF5" s="55"/>
      <c r="AG5" s="55"/>
      <c r="AH5" s="55"/>
      <c r="AI5" s="55"/>
      <c r="AJ5" s="55"/>
      <c r="AK5" s="55"/>
      <c r="AL5" s="55"/>
    </row>
    <row r="6" spans="1:38" ht="4.5" customHeight="1" x14ac:dyDescent="0.25"/>
    <row r="7" spans="1:38" ht="25.5" customHeight="1" x14ac:dyDescent="0.25">
      <c r="A7" s="3" t="str">
        <f>'بيانات الموظفين'!B5</f>
        <v xml:space="preserve">أبو بكر </v>
      </c>
      <c r="B7" s="33"/>
      <c r="C7" s="33"/>
      <c r="D7" s="33"/>
      <c r="E7" s="34"/>
      <c r="F7" s="33"/>
      <c r="G7" s="33"/>
      <c r="H7" s="33"/>
      <c r="I7" s="33"/>
      <c r="J7" s="33"/>
      <c r="K7" s="33"/>
      <c r="L7" s="34"/>
      <c r="M7" s="33"/>
      <c r="N7" s="33"/>
      <c r="O7" s="33"/>
      <c r="P7" s="33"/>
      <c r="Q7" s="33"/>
      <c r="R7" s="33"/>
      <c r="S7" s="34"/>
      <c r="T7" s="33"/>
      <c r="U7" s="33"/>
      <c r="V7" s="33"/>
      <c r="W7" s="33"/>
      <c r="X7" s="33"/>
      <c r="Y7" s="33"/>
      <c r="Z7" s="34"/>
      <c r="AA7" s="33"/>
      <c r="AB7" s="33"/>
      <c r="AC7" s="33"/>
      <c r="AD7" s="33"/>
      <c r="AE7" s="33"/>
      <c r="AF7" s="35">
        <f t="shared" ref="AF7:AF16" si="0">COUNTIF(B7:AE7,"غ")</f>
        <v>0</v>
      </c>
      <c r="AG7" s="36">
        <f t="shared" ref="AG7:AG16" si="1">COUNTIF(B7:AE7,"نصف")</f>
        <v>0</v>
      </c>
      <c r="AH7" s="37">
        <f t="shared" ref="AH7:AH16" si="2">SUMIF(B7:AE7,"&gt;"&amp;0)</f>
        <v>0</v>
      </c>
      <c r="AI7" s="38" t="str">
        <f>IF(OR('بيانات الموظفين'!C5="",NOT(ISNUMBER('بيانات الموظفين'!G2)),AH7=0),"-",ROUND(AH7*(('بيانات الموظفين'!C5/30)/'بيانات الموظفين'!G2),2))</f>
        <v>-</v>
      </c>
      <c r="AJ7" s="39">
        <f>IF('بيانات الموظفين'!C5="","-",30-AF7-AG7*0.5)</f>
        <v>30</v>
      </c>
      <c r="AK7" s="6">
        <f>IF('بيانات الموظفين'!C5="","-",ROUND(('بيانات الموظفين'!C5/30)*AF7+(('بيانات الموظفين'!C5/30)/2)*AG7,2))</f>
        <v>0</v>
      </c>
      <c r="AL7" s="40">
        <f>IF('بيانات الموظفين'!C5="","-",ROUND('بيانات الموظفين'!C5+IF(ISNUMBER(AI7),AI7,0)-IF(ISNUMBER(AK7),AK7,0),2))</f>
        <v>7000000</v>
      </c>
    </row>
    <row r="8" spans="1:38" ht="25.5" customHeight="1" x14ac:dyDescent="0.25">
      <c r="A8" s="3" t="str">
        <f>'بيانات الموظفين'!B6</f>
        <v>هيثم صمادي</v>
      </c>
      <c r="B8" s="41"/>
      <c r="C8" s="41"/>
      <c r="D8" s="41"/>
      <c r="E8" s="34"/>
      <c r="F8" s="41"/>
      <c r="G8" s="41"/>
      <c r="H8" s="41"/>
      <c r="I8" s="41"/>
      <c r="J8" s="41"/>
      <c r="K8" s="41"/>
      <c r="L8" s="34"/>
      <c r="M8" s="41"/>
      <c r="N8" s="41"/>
      <c r="O8" s="41"/>
      <c r="P8" s="41"/>
      <c r="Q8" s="41"/>
      <c r="R8" s="41"/>
      <c r="S8" s="34"/>
      <c r="T8" s="41"/>
      <c r="U8" s="41"/>
      <c r="V8" s="41"/>
      <c r="W8" s="41"/>
      <c r="X8" s="41"/>
      <c r="Y8" s="41"/>
      <c r="Z8" s="34"/>
      <c r="AA8" s="41"/>
      <c r="AB8" s="41"/>
      <c r="AC8" s="41"/>
      <c r="AD8" s="41"/>
      <c r="AE8" s="41"/>
      <c r="AF8" s="35">
        <f t="shared" si="0"/>
        <v>0</v>
      </c>
      <c r="AG8" s="36">
        <f t="shared" si="1"/>
        <v>0</v>
      </c>
      <c r="AH8" s="37">
        <f t="shared" si="2"/>
        <v>0</v>
      </c>
      <c r="AI8" s="38" t="str">
        <f>IF(OR('بيانات الموظفين'!C6="",NOT(ISNUMBER('بيانات الموظفين'!G2)),AH8=0),"-",ROUND(AH8*(('بيانات الموظفين'!C6/30)/'بيانات الموظفين'!G2),2))</f>
        <v>-</v>
      </c>
      <c r="AJ8" s="39">
        <f>IF('بيانات الموظفين'!C6="","-",30-AF8-AG8*0.5)</f>
        <v>30</v>
      </c>
      <c r="AK8" s="6">
        <f>IF('بيانات الموظفين'!C6="","-",ROUND(('بيانات الموظفين'!C6/30)*AF8+(('بيانات الموظفين'!C6/30)/2)*AG8,2))</f>
        <v>0</v>
      </c>
      <c r="AL8" s="40">
        <f>IF('بيانات الموظفين'!C6="","-",ROUND('بيانات الموظفين'!C6+IF(ISNUMBER(AI8),AI8,0)-IF(ISNUMBER(AK8),AK8,0),2))</f>
        <v>3000000</v>
      </c>
    </row>
    <row r="9" spans="1:38" ht="25.5" customHeight="1" x14ac:dyDescent="0.25">
      <c r="A9" s="3" t="str">
        <f>'بيانات الموظفين'!B7</f>
        <v>حسام كبريتة</v>
      </c>
      <c r="B9" s="33"/>
      <c r="C9" s="33"/>
      <c r="D9" s="33"/>
      <c r="E9" s="34"/>
      <c r="F9" s="33"/>
      <c r="G9" s="33"/>
      <c r="H9" s="33"/>
      <c r="I9" s="33"/>
      <c r="J9" s="33"/>
      <c r="K9" s="33"/>
      <c r="L9" s="34"/>
      <c r="M9" s="33"/>
      <c r="N9" s="33"/>
      <c r="O9" s="33"/>
      <c r="P9" s="33"/>
      <c r="Q9" s="33"/>
      <c r="R9" s="33"/>
      <c r="S9" s="34"/>
      <c r="T9" s="33"/>
      <c r="U9" s="33"/>
      <c r="V9" s="33"/>
      <c r="W9" s="33"/>
      <c r="X9" s="33"/>
      <c r="Y9" s="33"/>
      <c r="Z9" s="34"/>
      <c r="AA9" s="33"/>
      <c r="AB9" s="33"/>
      <c r="AC9" s="33"/>
      <c r="AD9" s="33"/>
      <c r="AE9" s="33"/>
      <c r="AF9" s="35">
        <f t="shared" si="0"/>
        <v>0</v>
      </c>
      <c r="AG9" s="36">
        <f t="shared" si="1"/>
        <v>0</v>
      </c>
      <c r="AH9" s="37">
        <f t="shared" si="2"/>
        <v>0</v>
      </c>
      <c r="AI9" s="38" t="str">
        <f>IF(OR('بيانات الموظفين'!C7="",NOT(ISNUMBER('بيانات الموظفين'!G2)),AH9=0),"-",ROUND(AH9*(('بيانات الموظفين'!C7/30)/'بيانات الموظفين'!G2),2))</f>
        <v>-</v>
      </c>
      <c r="AJ9" s="39">
        <f>IF('بيانات الموظفين'!C7="","-",30-AF9-AG9*0.5)</f>
        <v>30</v>
      </c>
      <c r="AK9" s="6">
        <f>IF('بيانات الموظفين'!C7="","-",ROUND(('بيانات الموظفين'!C7/30)*AF9+(('بيانات الموظفين'!C7/30)/2)*AG9,2))</f>
        <v>0</v>
      </c>
      <c r="AL9" s="40">
        <f>IF('بيانات الموظفين'!C7="","-",ROUND('بيانات الموظفين'!C7+IF(ISNUMBER(AI9),AI9,0)-IF(ISNUMBER(AK9),AK9,0),2))</f>
        <v>2500000</v>
      </c>
    </row>
    <row r="10" spans="1:38" ht="25.5" customHeight="1" x14ac:dyDescent="0.25">
      <c r="A10" s="3" t="str">
        <f>'بيانات الموظفين'!B8</f>
        <v>انس المنسي</v>
      </c>
      <c r="B10" s="41"/>
      <c r="C10" s="41"/>
      <c r="D10" s="41"/>
      <c r="E10" s="34"/>
      <c r="F10" s="41"/>
      <c r="G10" s="41"/>
      <c r="H10" s="41"/>
      <c r="I10" s="41"/>
      <c r="J10" s="41"/>
      <c r="K10" s="41"/>
      <c r="L10" s="34"/>
      <c r="M10" s="41"/>
      <c r="N10" s="41"/>
      <c r="O10" s="41"/>
      <c r="P10" s="41"/>
      <c r="Q10" s="41"/>
      <c r="R10" s="41"/>
      <c r="S10" s="34"/>
      <c r="T10" s="41"/>
      <c r="U10" s="41"/>
      <c r="V10" s="41"/>
      <c r="W10" s="41"/>
      <c r="X10" s="41"/>
      <c r="Y10" s="41"/>
      <c r="Z10" s="34"/>
      <c r="AA10" s="41"/>
      <c r="AB10" s="41"/>
      <c r="AC10" s="41"/>
      <c r="AD10" s="41"/>
      <c r="AE10" s="41"/>
      <c r="AF10" s="35">
        <f t="shared" si="0"/>
        <v>0</v>
      </c>
      <c r="AG10" s="36">
        <f t="shared" si="1"/>
        <v>0</v>
      </c>
      <c r="AH10" s="37">
        <f t="shared" si="2"/>
        <v>0</v>
      </c>
      <c r="AI10" s="38" t="str">
        <f>IF(OR('بيانات الموظفين'!C8="",NOT(ISNUMBER('بيانات الموظفين'!G2)),AH10=0),"-",ROUND(AH10*(('بيانات الموظفين'!C8/30)/'بيانات الموظفين'!G2),2))</f>
        <v>-</v>
      </c>
      <c r="AJ10" s="39">
        <f>IF('بيانات الموظفين'!C8="","-",30-AF10-AG10*0.5)</f>
        <v>30</v>
      </c>
      <c r="AK10" s="6">
        <f>IF('بيانات الموظفين'!C8="","-",ROUND(('بيانات الموظفين'!C8/30)*AF10+(('بيانات الموظفين'!C8/30)/2)*AG10,2))</f>
        <v>0</v>
      </c>
      <c r="AL10" s="40">
        <f>IF('بيانات الموظفين'!C8="","-",ROUND('بيانات الموظفين'!C8+IF(ISNUMBER(AI10),AI10,0)-IF(ISNUMBER(AK10),AK10,0),2))</f>
        <v>800000</v>
      </c>
    </row>
    <row r="11" spans="1:38" ht="25.5" customHeight="1" x14ac:dyDescent="0.25">
      <c r="A11" s="3" t="str">
        <f>'بيانات الموظفين'!B9</f>
        <v>عمار مجيد</v>
      </c>
      <c r="B11" s="33"/>
      <c r="C11" s="33"/>
      <c r="D11" s="33"/>
      <c r="E11" s="34"/>
      <c r="F11" s="33"/>
      <c r="G11" s="33"/>
      <c r="H11" s="33"/>
      <c r="I11" s="33"/>
      <c r="J11" s="33"/>
      <c r="K11" s="33"/>
      <c r="L11" s="34"/>
      <c r="M11" s="33"/>
      <c r="N11" s="33"/>
      <c r="O11" s="33"/>
      <c r="P11" s="33"/>
      <c r="Q11" s="33"/>
      <c r="R11" s="33"/>
      <c r="S11" s="34"/>
      <c r="T11" s="33"/>
      <c r="U11" s="33"/>
      <c r="V11" s="33"/>
      <c r="W11" s="33"/>
      <c r="X11" s="33"/>
      <c r="Y11" s="33"/>
      <c r="Z11" s="34"/>
      <c r="AA11" s="33"/>
      <c r="AB11" s="33"/>
      <c r="AC11" s="33"/>
      <c r="AD11" s="33"/>
      <c r="AE11" s="33"/>
      <c r="AF11" s="35">
        <f t="shared" si="0"/>
        <v>0</v>
      </c>
      <c r="AG11" s="36">
        <f t="shared" si="1"/>
        <v>0</v>
      </c>
      <c r="AH11" s="37">
        <f t="shared" si="2"/>
        <v>0</v>
      </c>
      <c r="AI11" s="38" t="str">
        <f>IF(OR('بيانات الموظفين'!C9="",NOT(ISNUMBER('بيانات الموظفين'!G2)),AH11=0),"-",ROUND(AH11*(('بيانات الموظفين'!C9/30)/'بيانات الموظفين'!G2),2))</f>
        <v>-</v>
      </c>
      <c r="AJ11" s="39">
        <f>IF('بيانات الموظفين'!C9="","-",30-AF11-AG11*0.5)</f>
        <v>30</v>
      </c>
      <c r="AK11" s="6">
        <f>IF('بيانات الموظفين'!C9="","-",ROUND(('بيانات الموظفين'!C9/30)*AF11+(('بيانات الموظفين'!C9/30)/2)*AG11,2))</f>
        <v>0</v>
      </c>
      <c r="AL11" s="40">
        <f>IF('بيانات الموظفين'!C9="","-",ROUND('بيانات الموظفين'!C9+IF(ISNUMBER(AI11),AI11,0)-IF(ISNUMBER(AK11),AK11,0),2))</f>
        <v>2000000</v>
      </c>
    </row>
    <row r="12" spans="1:38" ht="25.5" customHeight="1" x14ac:dyDescent="0.25">
      <c r="A12" s="3">
        <f>'بيانات الموظفين'!B10</f>
        <v>0</v>
      </c>
      <c r="B12" s="41"/>
      <c r="C12" s="41"/>
      <c r="D12" s="41"/>
      <c r="E12" s="34"/>
      <c r="F12" s="41"/>
      <c r="G12" s="41"/>
      <c r="H12" s="41"/>
      <c r="I12" s="41"/>
      <c r="J12" s="41"/>
      <c r="K12" s="41"/>
      <c r="L12" s="34"/>
      <c r="M12" s="41"/>
      <c r="N12" s="41"/>
      <c r="O12" s="41"/>
      <c r="P12" s="41"/>
      <c r="Q12" s="41"/>
      <c r="R12" s="41"/>
      <c r="S12" s="34"/>
      <c r="T12" s="41"/>
      <c r="U12" s="41"/>
      <c r="V12" s="41"/>
      <c r="W12" s="41"/>
      <c r="X12" s="41"/>
      <c r="Y12" s="41"/>
      <c r="Z12" s="34"/>
      <c r="AA12" s="41"/>
      <c r="AB12" s="41"/>
      <c r="AC12" s="41"/>
      <c r="AD12" s="41"/>
      <c r="AE12" s="41"/>
      <c r="AF12" s="35">
        <f t="shared" si="0"/>
        <v>0</v>
      </c>
      <c r="AG12" s="36">
        <f t="shared" si="1"/>
        <v>0</v>
      </c>
      <c r="AH12" s="37">
        <f t="shared" si="2"/>
        <v>0</v>
      </c>
      <c r="AI12" s="38" t="str">
        <f>IF(OR('بيانات الموظفين'!C10="",NOT(ISNUMBER('بيانات الموظفين'!G2)),AH12=0),"-",ROUND(AH12*(('بيانات الموظفين'!C10/30)/'بيانات الموظفين'!G2),2))</f>
        <v>-</v>
      </c>
      <c r="AJ12" s="39" t="str">
        <f>IF('بيانات الموظفين'!C10="","-",30-AF12-AG12*0.5)</f>
        <v>-</v>
      </c>
      <c r="AK12" s="6" t="str">
        <f>IF('بيانات الموظفين'!C10="","-",ROUND(('بيانات الموظفين'!C10/30)*AF12+(('بيانات الموظفين'!C10/30)/2)*AG12,2))</f>
        <v>-</v>
      </c>
      <c r="AL12" s="40" t="str">
        <f>IF('بيانات الموظفين'!C10="","-",ROUND('بيانات الموظفين'!C10+IF(ISNUMBER(AI12),AI12,0)-IF(ISNUMBER(AK12),AK12,0),2))</f>
        <v>-</v>
      </c>
    </row>
    <row r="13" spans="1:38" ht="25.5" customHeight="1" x14ac:dyDescent="0.25">
      <c r="A13" s="3">
        <f>'بيانات الموظفين'!B11</f>
        <v>0</v>
      </c>
      <c r="B13" s="33"/>
      <c r="C13" s="33"/>
      <c r="D13" s="33"/>
      <c r="E13" s="34"/>
      <c r="F13" s="33"/>
      <c r="G13" s="33"/>
      <c r="H13" s="33"/>
      <c r="I13" s="33"/>
      <c r="J13" s="33"/>
      <c r="K13" s="33"/>
      <c r="L13" s="34"/>
      <c r="M13" s="33"/>
      <c r="N13" s="33"/>
      <c r="O13" s="33"/>
      <c r="P13" s="33"/>
      <c r="Q13" s="33"/>
      <c r="R13" s="33"/>
      <c r="S13" s="34"/>
      <c r="T13" s="33"/>
      <c r="U13" s="33"/>
      <c r="V13" s="33"/>
      <c r="W13" s="33"/>
      <c r="X13" s="33"/>
      <c r="Y13" s="33"/>
      <c r="Z13" s="34"/>
      <c r="AA13" s="33"/>
      <c r="AB13" s="33"/>
      <c r="AC13" s="33"/>
      <c r="AD13" s="33"/>
      <c r="AE13" s="33"/>
      <c r="AF13" s="35">
        <f t="shared" si="0"/>
        <v>0</v>
      </c>
      <c r="AG13" s="36">
        <f t="shared" si="1"/>
        <v>0</v>
      </c>
      <c r="AH13" s="37">
        <f t="shared" si="2"/>
        <v>0</v>
      </c>
      <c r="AI13" s="38" t="str">
        <f>IF(OR('بيانات الموظفين'!C11="",NOT(ISNUMBER('بيانات الموظفين'!G2)),AH13=0),"-",ROUND(AH13*(('بيانات الموظفين'!C11/30)/'بيانات الموظفين'!G2),2))</f>
        <v>-</v>
      </c>
      <c r="AJ13" s="39" t="str">
        <f>IF('بيانات الموظفين'!C11="","-",30-AF13-AG13*0.5)</f>
        <v>-</v>
      </c>
      <c r="AK13" s="6" t="str">
        <f>IF('بيانات الموظفين'!C11="","-",ROUND(('بيانات الموظفين'!C11/30)*AF13+(('بيانات الموظفين'!C11/30)/2)*AG13,2))</f>
        <v>-</v>
      </c>
      <c r="AL13" s="40" t="str">
        <f>IF('بيانات الموظفين'!C11="","-",ROUND('بيانات الموظفين'!C11+IF(ISNUMBER(AI13),AI13,0)-IF(ISNUMBER(AK13),AK13,0),2))</f>
        <v>-</v>
      </c>
    </row>
    <row r="14" spans="1:38" ht="25.5" customHeight="1" x14ac:dyDescent="0.25">
      <c r="A14" s="3">
        <f>'بيانات الموظفين'!B12</f>
        <v>0</v>
      </c>
      <c r="B14" s="41"/>
      <c r="C14" s="41"/>
      <c r="D14" s="41"/>
      <c r="E14" s="34"/>
      <c r="F14" s="41"/>
      <c r="G14" s="41"/>
      <c r="H14" s="41"/>
      <c r="I14" s="41"/>
      <c r="J14" s="41"/>
      <c r="K14" s="41"/>
      <c r="L14" s="34"/>
      <c r="M14" s="41"/>
      <c r="N14" s="41"/>
      <c r="O14" s="41"/>
      <c r="P14" s="41"/>
      <c r="Q14" s="41"/>
      <c r="R14" s="41"/>
      <c r="S14" s="34"/>
      <c r="T14" s="41"/>
      <c r="U14" s="41"/>
      <c r="V14" s="41"/>
      <c r="W14" s="41"/>
      <c r="X14" s="41"/>
      <c r="Y14" s="41"/>
      <c r="Z14" s="34"/>
      <c r="AA14" s="41"/>
      <c r="AB14" s="41"/>
      <c r="AC14" s="41"/>
      <c r="AD14" s="41"/>
      <c r="AE14" s="41"/>
      <c r="AF14" s="35">
        <f t="shared" si="0"/>
        <v>0</v>
      </c>
      <c r="AG14" s="36">
        <f t="shared" si="1"/>
        <v>0</v>
      </c>
      <c r="AH14" s="37">
        <f t="shared" si="2"/>
        <v>0</v>
      </c>
      <c r="AI14" s="38" t="str">
        <f>IF(OR('بيانات الموظفين'!C12="",NOT(ISNUMBER('بيانات الموظفين'!G2)),AH14=0),"-",ROUND(AH14*(('بيانات الموظفين'!C12/30)/'بيانات الموظفين'!G2),2))</f>
        <v>-</v>
      </c>
      <c r="AJ14" s="39" t="str">
        <f>IF('بيانات الموظفين'!C12="","-",30-AF14-AG14*0.5)</f>
        <v>-</v>
      </c>
      <c r="AK14" s="6" t="str">
        <f>IF('بيانات الموظفين'!C12="","-",ROUND(('بيانات الموظفين'!C12/30)*AF14+(('بيانات الموظفين'!C12/30)/2)*AG14,2))</f>
        <v>-</v>
      </c>
      <c r="AL14" s="40" t="str">
        <f>IF('بيانات الموظفين'!C12="","-",ROUND('بيانات الموظفين'!C12+IF(ISNUMBER(AI14),AI14,0)-IF(ISNUMBER(AK14),AK14,0),2))</f>
        <v>-</v>
      </c>
    </row>
    <row r="15" spans="1:38" ht="25.5" customHeight="1" x14ac:dyDescent="0.25">
      <c r="A15" s="3">
        <f>'بيانات الموظفين'!B13</f>
        <v>0</v>
      </c>
      <c r="B15" s="33"/>
      <c r="C15" s="33"/>
      <c r="D15" s="33"/>
      <c r="E15" s="34"/>
      <c r="F15" s="33"/>
      <c r="G15" s="33"/>
      <c r="H15" s="33"/>
      <c r="I15" s="33"/>
      <c r="J15" s="33"/>
      <c r="K15" s="33"/>
      <c r="L15" s="34"/>
      <c r="M15" s="33"/>
      <c r="N15" s="33"/>
      <c r="O15" s="33"/>
      <c r="P15" s="33"/>
      <c r="Q15" s="33"/>
      <c r="R15" s="33"/>
      <c r="S15" s="34"/>
      <c r="T15" s="33"/>
      <c r="U15" s="33"/>
      <c r="V15" s="33"/>
      <c r="W15" s="33"/>
      <c r="X15" s="33"/>
      <c r="Y15" s="33"/>
      <c r="Z15" s="34"/>
      <c r="AA15" s="33"/>
      <c r="AB15" s="33"/>
      <c r="AC15" s="33"/>
      <c r="AD15" s="33"/>
      <c r="AE15" s="33"/>
      <c r="AF15" s="35">
        <f t="shared" si="0"/>
        <v>0</v>
      </c>
      <c r="AG15" s="36">
        <f t="shared" si="1"/>
        <v>0</v>
      </c>
      <c r="AH15" s="37">
        <f t="shared" si="2"/>
        <v>0</v>
      </c>
      <c r="AI15" s="38" t="str">
        <f>IF(OR('بيانات الموظفين'!C13="",NOT(ISNUMBER('بيانات الموظفين'!G2)),AH15=0),"-",ROUND(AH15*(('بيانات الموظفين'!C13/30)/'بيانات الموظفين'!G2),2))</f>
        <v>-</v>
      </c>
      <c r="AJ15" s="39" t="str">
        <f>IF('بيانات الموظفين'!C13="","-",30-AF15-AG15*0.5)</f>
        <v>-</v>
      </c>
      <c r="AK15" s="6" t="str">
        <f>IF('بيانات الموظفين'!C13="","-",ROUND(('بيانات الموظفين'!C13/30)*AF15+(('بيانات الموظفين'!C13/30)/2)*AG15,2))</f>
        <v>-</v>
      </c>
      <c r="AL15" s="40" t="str">
        <f>IF('بيانات الموظفين'!C13="","-",ROUND('بيانات الموظفين'!C13+IF(ISNUMBER(AI15),AI15,0)-IF(ISNUMBER(AK15),AK15,0),2))</f>
        <v>-</v>
      </c>
    </row>
    <row r="16" spans="1:38" ht="25.5" customHeight="1" x14ac:dyDescent="0.25">
      <c r="A16" s="3">
        <f>'بيانات الموظفين'!B14</f>
        <v>0</v>
      </c>
      <c r="B16" s="41"/>
      <c r="C16" s="41"/>
      <c r="D16" s="41"/>
      <c r="E16" s="34"/>
      <c r="F16" s="41"/>
      <c r="G16" s="41"/>
      <c r="H16" s="41"/>
      <c r="I16" s="41"/>
      <c r="J16" s="41"/>
      <c r="K16" s="41"/>
      <c r="L16" s="34"/>
      <c r="M16" s="41"/>
      <c r="N16" s="41"/>
      <c r="O16" s="41"/>
      <c r="P16" s="41"/>
      <c r="Q16" s="41"/>
      <c r="R16" s="41"/>
      <c r="S16" s="34"/>
      <c r="T16" s="41"/>
      <c r="U16" s="41"/>
      <c r="V16" s="41"/>
      <c r="W16" s="41"/>
      <c r="X16" s="41"/>
      <c r="Y16" s="41"/>
      <c r="Z16" s="34"/>
      <c r="AA16" s="41"/>
      <c r="AB16" s="41"/>
      <c r="AC16" s="41"/>
      <c r="AD16" s="41"/>
      <c r="AE16" s="41"/>
      <c r="AF16" s="35">
        <f t="shared" si="0"/>
        <v>0</v>
      </c>
      <c r="AG16" s="36">
        <f t="shared" si="1"/>
        <v>0</v>
      </c>
      <c r="AH16" s="37">
        <f t="shared" si="2"/>
        <v>0</v>
      </c>
      <c r="AI16" s="38" t="str">
        <f>IF(OR('بيانات الموظفين'!C14="",NOT(ISNUMBER('بيانات الموظفين'!G2)),AH16=0),"-",ROUND(AH16*(('بيانات الموظفين'!C14/30)/'بيانات الموظفين'!G2),2))</f>
        <v>-</v>
      </c>
      <c r="AJ16" s="39" t="str">
        <f>IF('بيانات الموظفين'!C14="","-",30-AF16-AG16*0.5)</f>
        <v>-</v>
      </c>
      <c r="AK16" s="6" t="str">
        <f>IF('بيانات الموظفين'!C14="","-",ROUND(('بيانات الموظفين'!C14/30)*AF16+(('بيانات الموظفين'!C14/30)/2)*AG16,2))</f>
        <v>-</v>
      </c>
      <c r="AL16" s="40" t="str">
        <f>IF('بيانات الموظفين'!C14="","-",ROUND('بيانات الموظفين'!C14+IF(ISNUMBER(AI16),AI16,0)-IF(ISNUMBER(AK16),AK16,0),2))</f>
        <v>-</v>
      </c>
    </row>
    <row r="17" spans="1:38" ht="25.5" customHeight="1" x14ac:dyDescent="0.25">
      <c r="A17" s="1" t="s">
        <v>92</v>
      </c>
      <c r="B17" s="42">
        <f t="shared" ref="B17:AE17" si="3">COUNTIF(B7:B16,"غ")+COUNTIF(B7:B16,"نصف")*0.5</f>
        <v>0</v>
      </c>
      <c r="C17" s="42">
        <f t="shared" si="3"/>
        <v>0</v>
      </c>
      <c r="D17" s="42">
        <f t="shared" si="3"/>
        <v>0</v>
      </c>
      <c r="E17" s="42">
        <f t="shared" si="3"/>
        <v>0</v>
      </c>
      <c r="F17" s="42">
        <f t="shared" si="3"/>
        <v>0</v>
      </c>
      <c r="G17" s="42">
        <f t="shared" si="3"/>
        <v>0</v>
      </c>
      <c r="H17" s="42">
        <f t="shared" si="3"/>
        <v>0</v>
      </c>
      <c r="I17" s="42">
        <f t="shared" si="3"/>
        <v>0</v>
      </c>
      <c r="J17" s="42">
        <f t="shared" si="3"/>
        <v>0</v>
      </c>
      <c r="K17" s="42">
        <f t="shared" si="3"/>
        <v>0</v>
      </c>
      <c r="L17" s="42">
        <f t="shared" si="3"/>
        <v>0</v>
      </c>
      <c r="M17" s="42">
        <f t="shared" si="3"/>
        <v>0</v>
      </c>
      <c r="N17" s="42">
        <f t="shared" si="3"/>
        <v>0</v>
      </c>
      <c r="O17" s="42">
        <f t="shared" si="3"/>
        <v>0</v>
      </c>
      <c r="P17" s="42">
        <f t="shared" si="3"/>
        <v>0</v>
      </c>
      <c r="Q17" s="42">
        <f t="shared" si="3"/>
        <v>0</v>
      </c>
      <c r="R17" s="42">
        <f t="shared" si="3"/>
        <v>0</v>
      </c>
      <c r="S17" s="42">
        <f t="shared" si="3"/>
        <v>0</v>
      </c>
      <c r="T17" s="42">
        <f t="shared" si="3"/>
        <v>0</v>
      </c>
      <c r="U17" s="42">
        <f t="shared" si="3"/>
        <v>0</v>
      </c>
      <c r="V17" s="42">
        <f t="shared" si="3"/>
        <v>0</v>
      </c>
      <c r="W17" s="42">
        <f t="shared" si="3"/>
        <v>0</v>
      </c>
      <c r="X17" s="42">
        <f t="shared" si="3"/>
        <v>0</v>
      </c>
      <c r="Y17" s="42">
        <f t="shared" si="3"/>
        <v>0</v>
      </c>
      <c r="Z17" s="42">
        <f t="shared" si="3"/>
        <v>0</v>
      </c>
      <c r="AA17" s="42">
        <f t="shared" si="3"/>
        <v>0</v>
      </c>
      <c r="AB17" s="42">
        <f t="shared" si="3"/>
        <v>0</v>
      </c>
      <c r="AC17" s="42">
        <f t="shared" si="3"/>
        <v>0</v>
      </c>
      <c r="AD17" s="42">
        <f t="shared" si="3"/>
        <v>0</v>
      </c>
      <c r="AE17" s="42">
        <f t="shared" si="3"/>
        <v>0</v>
      </c>
      <c r="AF17" s="43">
        <f>SUM(AF7:AF16)</f>
        <v>0</v>
      </c>
      <c r="AG17" s="43">
        <f>SUM(AG7:AG16)</f>
        <v>0</v>
      </c>
      <c r="AH17" s="43">
        <f>SUM(AH7:AH16)</f>
        <v>0</v>
      </c>
      <c r="AI17" s="44">
        <f>SUM(AI7:AI16)</f>
        <v>0</v>
      </c>
      <c r="AJ17" s="45"/>
      <c r="AK17" s="44">
        <f>SUM(AK7:AK16)</f>
        <v>0</v>
      </c>
      <c r="AL17" s="44">
        <f>SUM(AL7:AL16)</f>
        <v>15300000</v>
      </c>
    </row>
    <row r="18" spans="1:38" ht="9.75" customHeight="1" x14ac:dyDescent="0.25"/>
    <row r="19" spans="1:38" ht="31.5" customHeight="1" x14ac:dyDescent="0.25">
      <c r="A19" s="50" t="s">
        <v>93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</row>
    <row r="20" spans="1:38" ht="27.75" customHeight="1" x14ac:dyDescent="0.25">
      <c r="A20" s="1" t="s">
        <v>2</v>
      </c>
      <c r="B20" s="1" t="s">
        <v>3</v>
      </c>
      <c r="C20" s="1" t="s">
        <v>63</v>
      </c>
      <c r="D20" s="1" t="s">
        <v>64</v>
      </c>
      <c r="E20" s="1" t="s">
        <v>65</v>
      </c>
      <c r="F20" s="1" t="s">
        <v>66</v>
      </c>
      <c r="G20" s="1" t="s">
        <v>67</v>
      </c>
      <c r="H20" s="1" t="s">
        <v>68</v>
      </c>
      <c r="I20" s="1" t="s">
        <v>69</v>
      </c>
    </row>
    <row r="21" spans="1:38" ht="24" customHeight="1" x14ac:dyDescent="0.25">
      <c r="A21" s="2">
        <v>1</v>
      </c>
      <c r="B21" s="3" t="str">
        <f>'بيانات الموظفين'!B5</f>
        <v xml:space="preserve">أبو بكر </v>
      </c>
      <c r="C21" s="4">
        <f>IF('بيانات الموظفين'!C5="","-",'بيانات الموظفين'!C5)</f>
        <v>7000000</v>
      </c>
      <c r="D21" s="46">
        <f t="shared" ref="D21:D30" si="4">AF7</f>
        <v>0</v>
      </c>
      <c r="E21" s="47">
        <f t="shared" ref="E21:E30" si="5">AG7</f>
        <v>0</v>
      </c>
      <c r="F21" s="6">
        <f t="shared" ref="F21:F30" si="6">AK7</f>
        <v>0</v>
      </c>
      <c r="G21" s="48">
        <f t="shared" ref="G21:G30" si="7">AH7</f>
        <v>0</v>
      </c>
      <c r="H21" s="38" t="str">
        <f t="shared" ref="H21:H30" si="8">AI7</f>
        <v>-</v>
      </c>
      <c r="I21" s="40">
        <f t="shared" ref="I21:I30" si="9">AL7</f>
        <v>7000000</v>
      </c>
    </row>
    <row r="22" spans="1:38" ht="24" customHeight="1" x14ac:dyDescent="0.25">
      <c r="A22" s="8">
        <v>2</v>
      </c>
      <c r="B22" s="3" t="str">
        <f>'بيانات الموظفين'!B6</f>
        <v>هيثم صمادي</v>
      </c>
      <c r="C22" s="9">
        <f>IF('بيانات الموظفين'!C6="","-",'بيانات الموظفين'!C6)</f>
        <v>3000000</v>
      </c>
      <c r="D22" s="46">
        <f t="shared" si="4"/>
        <v>0</v>
      </c>
      <c r="E22" s="47">
        <f t="shared" si="5"/>
        <v>0</v>
      </c>
      <c r="F22" s="6">
        <f t="shared" si="6"/>
        <v>0</v>
      </c>
      <c r="G22" s="48">
        <f t="shared" si="7"/>
        <v>0</v>
      </c>
      <c r="H22" s="38" t="str">
        <f t="shared" si="8"/>
        <v>-</v>
      </c>
      <c r="I22" s="40">
        <f t="shared" si="9"/>
        <v>3000000</v>
      </c>
    </row>
    <row r="23" spans="1:38" ht="24" customHeight="1" x14ac:dyDescent="0.25">
      <c r="A23" s="2">
        <v>3</v>
      </c>
      <c r="B23" s="3" t="str">
        <f>'بيانات الموظفين'!B7</f>
        <v>حسام كبريتة</v>
      </c>
      <c r="C23" s="4">
        <f>IF('بيانات الموظفين'!C7="","-",'بيانات الموظفين'!C7)</f>
        <v>2500000</v>
      </c>
      <c r="D23" s="46">
        <f t="shared" si="4"/>
        <v>0</v>
      </c>
      <c r="E23" s="47">
        <f t="shared" si="5"/>
        <v>0</v>
      </c>
      <c r="F23" s="6">
        <f t="shared" si="6"/>
        <v>0</v>
      </c>
      <c r="G23" s="48">
        <f t="shared" si="7"/>
        <v>0</v>
      </c>
      <c r="H23" s="38" t="str">
        <f t="shared" si="8"/>
        <v>-</v>
      </c>
      <c r="I23" s="40">
        <f t="shared" si="9"/>
        <v>2500000</v>
      </c>
    </row>
    <row r="24" spans="1:38" ht="24" customHeight="1" x14ac:dyDescent="0.25">
      <c r="A24" s="8">
        <v>4</v>
      </c>
      <c r="B24" s="3" t="str">
        <f>'بيانات الموظفين'!B8</f>
        <v>انس المنسي</v>
      </c>
      <c r="C24" s="9">
        <f>IF('بيانات الموظفين'!C8="","-",'بيانات الموظفين'!C8)</f>
        <v>800000</v>
      </c>
      <c r="D24" s="46">
        <f t="shared" si="4"/>
        <v>0</v>
      </c>
      <c r="E24" s="47">
        <f t="shared" si="5"/>
        <v>0</v>
      </c>
      <c r="F24" s="6">
        <f t="shared" si="6"/>
        <v>0</v>
      </c>
      <c r="G24" s="48">
        <f t="shared" si="7"/>
        <v>0</v>
      </c>
      <c r="H24" s="38" t="str">
        <f t="shared" si="8"/>
        <v>-</v>
      </c>
      <c r="I24" s="40">
        <f t="shared" si="9"/>
        <v>800000</v>
      </c>
    </row>
    <row r="25" spans="1:38" ht="24" customHeight="1" x14ac:dyDescent="0.25">
      <c r="A25" s="2">
        <v>5</v>
      </c>
      <c r="B25" s="3" t="str">
        <f>'بيانات الموظفين'!B9</f>
        <v>عمار مجيد</v>
      </c>
      <c r="C25" s="4">
        <f>IF('بيانات الموظفين'!C9="","-",'بيانات الموظفين'!C9)</f>
        <v>2000000</v>
      </c>
      <c r="D25" s="46">
        <f t="shared" si="4"/>
        <v>0</v>
      </c>
      <c r="E25" s="47">
        <f t="shared" si="5"/>
        <v>0</v>
      </c>
      <c r="F25" s="6">
        <f t="shared" si="6"/>
        <v>0</v>
      </c>
      <c r="G25" s="48">
        <f t="shared" si="7"/>
        <v>0</v>
      </c>
      <c r="H25" s="38" t="str">
        <f t="shared" si="8"/>
        <v>-</v>
      </c>
      <c r="I25" s="40">
        <f t="shared" si="9"/>
        <v>2000000</v>
      </c>
    </row>
    <row r="26" spans="1:38" ht="24" customHeight="1" x14ac:dyDescent="0.25">
      <c r="A26" s="8">
        <v>6</v>
      </c>
      <c r="B26" s="3">
        <f>'بيانات الموظفين'!B10</f>
        <v>0</v>
      </c>
      <c r="C26" s="9" t="str">
        <f>IF('بيانات الموظفين'!C10="","-",'بيانات الموظفين'!C10)</f>
        <v>-</v>
      </c>
      <c r="D26" s="46">
        <f t="shared" si="4"/>
        <v>0</v>
      </c>
      <c r="E26" s="47">
        <f t="shared" si="5"/>
        <v>0</v>
      </c>
      <c r="F26" s="6" t="str">
        <f t="shared" si="6"/>
        <v>-</v>
      </c>
      <c r="G26" s="48">
        <f t="shared" si="7"/>
        <v>0</v>
      </c>
      <c r="H26" s="38" t="str">
        <f t="shared" si="8"/>
        <v>-</v>
      </c>
      <c r="I26" s="40" t="str">
        <f t="shared" si="9"/>
        <v>-</v>
      </c>
    </row>
    <row r="27" spans="1:38" ht="24" customHeight="1" x14ac:dyDescent="0.25">
      <c r="A27" s="2">
        <v>7</v>
      </c>
      <c r="B27" s="3">
        <f>'بيانات الموظفين'!B11</f>
        <v>0</v>
      </c>
      <c r="C27" s="4" t="str">
        <f>IF('بيانات الموظفين'!C11="","-",'بيانات الموظفين'!C11)</f>
        <v>-</v>
      </c>
      <c r="D27" s="46">
        <f t="shared" si="4"/>
        <v>0</v>
      </c>
      <c r="E27" s="47">
        <f t="shared" si="5"/>
        <v>0</v>
      </c>
      <c r="F27" s="6" t="str">
        <f t="shared" si="6"/>
        <v>-</v>
      </c>
      <c r="G27" s="48">
        <f t="shared" si="7"/>
        <v>0</v>
      </c>
      <c r="H27" s="38" t="str">
        <f t="shared" si="8"/>
        <v>-</v>
      </c>
      <c r="I27" s="40" t="str">
        <f t="shared" si="9"/>
        <v>-</v>
      </c>
    </row>
    <row r="28" spans="1:38" ht="24" customHeight="1" x14ac:dyDescent="0.25">
      <c r="A28" s="8">
        <v>8</v>
      </c>
      <c r="B28" s="3">
        <f>'بيانات الموظفين'!B12</f>
        <v>0</v>
      </c>
      <c r="C28" s="9" t="str">
        <f>IF('بيانات الموظفين'!C12="","-",'بيانات الموظفين'!C12)</f>
        <v>-</v>
      </c>
      <c r="D28" s="46">
        <f t="shared" si="4"/>
        <v>0</v>
      </c>
      <c r="E28" s="47">
        <f t="shared" si="5"/>
        <v>0</v>
      </c>
      <c r="F28" s="6" t="str">
        <f t="shared" si="6"/>
        <v>-</v>
      </c>
      <c r="G28" s="48">
        <f t="shared" si="7"/>
        <v>0</v>
      </c>
      <c r="H28" s="38" t="str">
        <f t="shared" si="8"/>
        <v>-</v>
      </c>
      <c r="I28" s="40" t="str">
        <f t="shared" si="9"/>
        <v>-</v>
      </c>
    </row>
    <row r="29" spans="1:38" ht="24" customHeight="1" x14ac:dyDescent="0.25">
      <c r="A29" s="2">
        <v>9</v>
      </c>
      <c r="B29" s="3">
        <f>'بيانات الموظفين'!B13</f>
        <v>0</v>
      </c>
      <c r="C29" s="4" t="str">
        <f>IF('بيانات الموظفين'!C13="","-",'بيانات الموظفين'!C13)</f>
        <v>-</v>
      </c>
      <c r="D29" s="46">
        <f t="shared" si="4"/>
        <v>0</v>
      </c>
      <c r="E29" s="47">
        <f t="shared" si="5"/>
        <v>0</v>
      </c>
      <c r="F29" s="6" t="str">
        <f t="shared" si="6"/>
        <v>-</v>
      </c>
      <c r="G29" s="48">
        <f t="shared" si="7"/>
        <v>0</v>
      </c>
      <c r="H29" s="38" t="str">
        <f t="shared" si="8"/>
        <v>-</v>
      </c>
      <c r="I29" s="40" t="str">
        <f t="shared" si="9"/>
        <v>-</v>
      </c>
    </row>
    <row r="30" spans="1:38" ht="24" customHeight="1" x14ac:dyDescent="0.25">
      <c r="A30" s="8">
        <v>10</v>
      </c>
      <c r="B30" s="3">
        <f>'بيانات الموظفين'!B14</f>
        <v>0</v>
      </c>
      <c r="C30" s="9" t="str">
        <f>IF('بيانات الموظفين'!C14="","-",'بيانات الموظفين'!C14)</f>
        <v>-</v>
      </c>
      <c r="D30" s="46">
        <f t="shared" si="4"/>
        <v>0</v>
      </c>
      <c r="E30" s="47">
        <f t="shared" si="5"/>
        <v>0</v>
      </c>
      <c r="F30" s="6" t="str">
        <f t="shared" si="6"/>
        <v>-</v>
      </c>
      <c r="G30" s="48">
        <f t="shared" si="7"/>
        <v>0</v>
      </c>
      <c r="H30" s="38" t="str">
        <f t="shared" si="8"/>
        <v>-</v>
      </c>
      <c r="I30" s="40" t="str">
        <f t="shared" si="9"/>
        <v>-</v>
      </c>
    </row>
    <row r="31" spans="1:38" ht="27.75" customHeight="1" x14ac:dyDescent="0.25">
      <c r="A31" s="51" t="s">
        <v>19</v>
      </c>
      <c r="B31" s="51"/>
      <c r="C31" s="11">
        <f t="shared" ref="C31:I31" si="10">SUM(C21:C30)</f>
        <v>15300000</v>
      </c>
      <c r="D31" s="49">
        <f t="shared" si="10"/>
        <v>0</v>
      </c>
      <c r="E31" s="49">
        <f t="shared" si="10"/>
        <v>0</v>
      </c>
      <c r="F31" s="12">
        <f t="shared" si="10"/>
        <v>0</v>
      </c>
      <c r="G31" s="49">
        <f t="shared" si="10"/>
        <v>0</v>
      </c>
      <c r="H31" s="12">
        <f t="shared" si="10"/>
        <v>0</v>
      </c>
      <c r="I31" s="12">
        <f t="shared" si="10"/>
        <v>15300000</v>
      </c>
    </row>
  </sheetData>
  <mergeCells count="12">
    <mergeCell ref="A19:AL19"/>
    <mergeCell ref="A31:B31"/>
    <mergeCell ref="A1:AL1"/>
    <mergeCell ref="A2:AL2"/>
    <mergeCell ref="A4:A5"/>
    <mergeCell ref="AF4:AF5"/>
    <mergeCell ref="AG4:AG5"/>
    <mergeCell ref="AH4:AH5"/>
    <mergeCell ref="AI4:AI5"/>
    <mergeCell ref="AJ4:AJ5"/>
    <mergeCell ref="AK4:AK5"/>
    <mergeCell ref="AL4:AL5"/>
  </mergeCells>
  <pageMargins left="0.75" right="0.75" top="1" bottom="1" header="0.511811023622047" footer="0.511811023622047"/>
  <pageSetup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M31"/>
  <sheetViews>
    <sheetView rightToLeft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AM1"/>
    </sheetView>
  </sheetViews>
  <sheetFormatPr defaultColWidth="8.7109375" defaultRowHeight="15" x14ac:dyDescent="0.25"/>
  <cols>
    <col min="1" max="1" width="26" customWidth="1"/>
    <col min="2" max="32" width="10" customWidth="1"/>
    <col min="33" max="39" width="15" customWidth="1"/>
  </cols>
  <sheetData>
    <row r="1" spans="1:39" ht="36" customHeight="1" x14ac:dyDescent="0.25">
      <c r="A1" s="52" t="s">
        <v>94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</row>
    <row r="2" spans="1:39" ht="18" customHeight="1" x14ac:dyDescent="0.25">
      <c r="A2" s="53" t="s">
        <v>46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</row>
    <row r="3" spans="1:39" ht="6" customHeight="1" x14ac:dyDescent="0.25"/>
    <row r="4" spans="1:39" ht="30" customHeight="1" x14ac:dyDescent="0.25">
      <c r="A4" s="54" t="s">
        <v>3</v>
      </c>
      <c r="B4" s="29" t="s">
        <v>47</v>
      </c>
      <c r="C4" s="30" t="s">
        <v>48</v>
      </c>
      <c r="D4" s="29" t="s">
        <v>49</v>
      </c>
      <c r="E4" s="29" t="s">
        <v>50</v>
      </c>
      <c r="F4" s="29" t="s">
        <v>51</v>
      </c>
      <c r="G4" s="29" t="s">
        <v>52</v>
      </c>
      <c r="H4" s="29" t="s">
        <v>53</v>
      </c>
      <c r="I4" s="29" t="s">
        <v>47</v>
      </c>
      <c r="J4" s="30" t="s">
        <v>48</v>
      </c>
      <c r="K4" s="29" t="s">
        <v>49</v>
      </c>
      <c r="L4" s="29" t="s">
        <v>50</v>
      </c>
      <c r="M4" s="29" t="s">
        <v>51</v>
      </c>
      <c r="N4" s="29" t="s">
        <v>52</v>
      </c>
      <c r="O4" s="29" t="s">
        <v>53</v>
      </c>
      <c r="P4" s="29" t="s">
        <v>47</v>
      </c>
      <c r="Q4" s="30" t="s">
        <v>48</v>
      </c>
      <c r="R4" s="29" t="s">
        <v>49</v>
      </c>
      <c r="S4" s="29" t="s">
        <v>50</v>
      </c>
      <c r="T4" s="29" t="s">
        <v>51</v>
      </c>
      <c r="U4" s="29" t="s">
        <v>52</v>
      </c>
      <c r="V4" s="29" t="s">
        <v>53</v>
      </c>
      <c r="W4" s="29" t="s">
        <v>47</v>
      </c>
      <c r="X4" s="30" t="s">
        <v>48</v>
      </c>
      <c r="Y4" s="29" t="s">
        <v>49</v>
      </c>
      <c r="Z4" s="29" t="s">
        <v>50</v>
      </c>
      <c r="AA4" s="29" t="s">
        <v>51</v>
      </c>
      <c r="AB4" s="29" t="s">
        <v>52</v>
      </c>
      <c r="AC4" s="29" t="s">
        <v>53</v>
      </c>
      <c r="AD4" s="29" t="s">
        <v>47</v>
      </c>
      <c r="AE4" s="30" t="s">
        <v>48</v>
      </c>
      <c r="AF4" s="29" t="s">
        <v>49</v>
      </c>
      <c r="AG4" s="55" t="s">
        <v>54</v>
      </c>
      <c r="AH4" s="56" t="s">
        <v>55</v>
      </c>
      <c r="AI4" s="57" t="s">
        <v>56</v>
      </c>
      <c r="AJ4" s="58" t="s">
        <v>57</v>
      </c>
      <c r="AK4" s="59" t="s">
        <v>58</v>
      </c>
      <c r="AL4" s="60" t="s">
        <v>59</v>
      </c>
      <c r="AM4" s="59" t="s">
        <v>60</v>
      </c>
    </row>
    <row r="5" spans="1:39" ht="19.5" customHeight="1" x14ac:dyDescent="0.25">
      <c r="A5" s="54"/>
      <c r="B5" s="31">
        <v>1</v>
      </c>
      <c r="C5" s="32">
        <v>2</v>
      </c>
      <c r="D5" s="31">
        <v>3</v>
      </c>
      <c r="E5" s="31">
        <v>4</v>
      </c>
      <c r="F5" s="31">
        <v>5</v>
      </c>
      <c r="G5" s="31">
        <v>6</v>
      </c>
      <c r="H5" s="31">
        <v>7</v>
      </c>
      <c r="I5" s="31">
        <v>8</v>
      </c>
      <c r="J5" s="32">
        <v>9</v>
      </c>
      <c r="K5" s="31">
        <v>10</v>
      </c>
      <c r="L5" s="31">
        <v>11</v>
      </c>
      <c r="M5" s="31">
        <v>12</v>
      </c>
      <c r="N5" s="31">
        <v>13</v>
      </c>
      <c r="O5" s="31">
        <v>14</v>
      </c>
      <c r="P5" s="31">
        <v>15</v>
      </c>
      <c r="Q5" s="32">
        <v>16</v>
      </c>
      <c r="R5" s="31">
        <v>17</v>
      </c>
      <c r="S5" s="31">
        <v>18</v>
      </c>
      <c r="T5" s="31">
        <v>19</v>
      </c>
      <c r="U5" s="31">
        <v>20</v>
      </c>
      <c r="V5" s="31">
        <v>21</v>
      </c>
      <c r="W5" s="31">
        <v>22</v>
      </c>
      <c r="X5" s="32">
        <v>23</v>
      </c>
      <c r="Y5" s="31">
        <v>24</v>
      </c>
      <c r="Z5" s="31">
        <v>25</v>
      </c>
      <c r="AA5" s="31">
        <v>26</v>
      </c>
      <c r="AB5" s="31">
        <v>27</v>
      </c>
      <c r="AC5" s="31">
        <v>28</v>
      </c>
      <c r="AD5" s="31">
        <v>29</v>
      </c>
      <c r="AE5" s="32">
        <v>30</v>
      </c>
      <c r="AF5" s="31">
        <v>31</v>
      </c>
      <c r="AG5" s="55"/>
      <c r="AH5" s="55"/>
      <c r="AI5" s="55"/>
      <c r="AJ5" s="55"/>
      <c r="AK5" s="55"/>
      <c r="AL5" s="55"/>
      <c r="AM5" s="55"/>
    </row>
    <row r="6" spans="1:39" ht="4.5" customHeight="1" x14ac:dyDescent="0.25"/>
    <row r="7" spans="1:39" ht="25.5" customHeight="1" x14ac:dyDescent="0.25">
      <c r="A7" s="3" t="str">
        <f>'بيانات الموظفين'!B5</f>
        <v xml:space="preserve">أبو بكر </v>
      </c>
      <c r="B7" s="33"/>
      <c r="C7" s="34"/>
      <c r="D7" s="33"/>
      <c r="E7" s="33"/>
      <c r="F7" s="33"/>
      <c r="G7" s="33"/>
      <c r="H7" s="33"/>
      <c r="I7" s="33"/>
      <c r="J7" s="34"/>
      <c r="K7" s="33"/>
      <c r="L7" s="33"/>
      <c r="M7" s="33"/>
      <c r="N7" s="33"/>
      <c r="O7" s="33"/>
      <c r="P7" s="33"/>
      <c r="Q7" s="34"/>
      <c r="R7" s="33"/>
      <c r="S7" s="33"/>
      <c r="T7" s="33"/>
      <c r="U7" s="33"/>
      <c r="V7" s="33"/>
      <c r="W7" s="33"/>
      <c r="X7" s="34"/>
      <c r="Y7" s="33"/>
      <c r="Z7" s="33"/>
      <c r="AA7" s="33"/>
      <c r="AB7" s="33"/>
      <c r="AC7" s="33"/>
      <c r="AD7" s="33"/>
      <c r="AE7" s="34"/>
      <c r="AF7" s="33"/>
      <c r="AG7" s="35">
        <f t="shared" ref="AG7:AG16" si="0">COUNTIF(B7:AF7,"غ")</f>
        <v>0</v>
      </c>
      <c r="AH7" s="36">
        <f t="shared" ref="AH7:AH16" si="1">COUNTIF(B7:AF7,"نصف")</f>
        <v>0</v>
      </c>
      <c r="AI7" s="37">
        <f t="shared" ref="AI7:AI16" si="2">SUMIF(B7:AF7,"&gt;"&amp;0)</f>
        <v>0</v>
      </c>
      <c r="AJ7" s="38" t="str">
        <f>IF(OR('بيانات الموظفين'!C5="",NOT(ISNUMBER('بيانات الموظفين'!G2)),AI7=0),"-",ROUND(AI7*(('بيانات الموظفين'!C5/31)/'بيانات الموظفين'!G2),2))</f>
        <v>-</v>
      </c>
      <c r="AK7" s="39">
        <f>IF('بيانات الموظفين'!C5="","-",31-AG7-AH7*0.5)</f>
        <v>31</v>
      </c>
      <c r="AL7" s="6">
        <f>IF('بيانات الموظفين'!C5="","-",ROUND(('بيانات الموظفين'!C5/31)*AG7+(('بيانات الموظفين'!C5/31)/2)*AH7,2))</f>
        <v>0</v>
      </c>
      <c r="AM7" s="40">
        <f>IF('بيانات الموظفين'!C5="","-",ROUND('بيانات الموظفين'!C5+ROUND('بيانات الموظفين'!C5/30,2)+IF(ISNUMBER(AJ7),AJ7,0)-IF(ISNUMBER(AL7),AL7,0),2))</f>
        <v>7233333.3300000001</v>
      </c>
    </row>
    <row r="8" spans="1:39" ht="25.5" customHeight="1" x14ac:dyDescent="0.25">
      <c r="A8" s="3" t="str">
        <f>'بيانات الموظفين'!B6</f>
        <v>هيثم صمادي</v>
      </c>
      <c r="B8" s="41"/>
      <c r="C8" s="34"/>
      <c r="D8" s="41"/>
      <c r="E8" s="41"/>
      <c r="F8" s="41"/>
      <c r="G8" s="41"/>
      <c r="H8" s="41"/>
      <c r="I8" s="41"/>
      <c r="J8" s="34"/>
      <c r="K8" s="41"/>
      <c r="L8" s="41"/>
      <c r="M8" s="41"/>
      <c r="N8" s="41"/>
      <c r="O8" s="41"/>
      <c r="P8" s="41"/>
      <c r="Q8" s="34"/>
      <c r="R8" s="41"/>
      <c r="S8" s="41"/>
      <c r="T8" s="41"/>
      <c r="U8" s="41"/>
      <c r="V8" s="41"/>
      <c r="W8" s="41"/>
      <c r="X8" s="34"/>
      <c r="Y8" s="41"/>
      <c r="Z8" s="41"/>
      <c r="AA8" s="41"/>
      <c r="AB8" s="41"/>
      <c r="AC8" s="41"/>
      <c r="AD8" s="41"/>
      <c r="AE8" s="34"/>
      <c r="AF8" s="41"/>
      <c r="AG8" s="35">
        <f t="shared" si="0"/>
        <v>0</v>
      </c>
      <c r="AH8" s="36">
        <f t="shared" si="1"/>
        <v>0</v>
      </c>
      <c r="AI8" s="37">
        <f t="shared" si="2"/>
        <v>0</v>
      </c>
      <c r="AJ8" s="38" t="str">
        <f>IF(OR('بيانات الموظفين'!C6="",NOT(ISNUMBER('بيانات الموظفين'!G2)),AI8=0),"-",ROUND(AI8*(('بيانات الموظفين'!C6/31)/'بيانات الموظفين'!G2),2))</f>
        <v>-</v>
      </c>
      <c r="AK8" s="39">
        <f>IF('بيانات الموظفين'!C6="","-",31-AG8-AH8*0.5)</f>
        <v>31</v>
      </c>
      <c r="AL8" s="6">
        <f>IF('بيانات الموظفين'!C6="","-",ROUND(('بيانات الموظفين'!C6/31)*AG8+(('بيانات الموظفين'!C6/31)/2)*AH8,2))</f>
        <v>0</v>
      </c>
      <c r="AM8" s="40">
        <f>IF('بيانات الموظفين'!C6="","-",ROUND('بيانات الموظفين'!C6+ROUND('بيانات الموظفين'!C6/30,2)+IF(ISNUMBER(AJ8),AJ8,0)-IF(ISNUMBER(AL8),AL8,0),2))</f>
        <v>3100000</v>
      </c>
    </row>
    <row r="9" spans="1:39" ht="25.5" customHeight="1" x14ac:dyDescent="0.25">
      <c r="A9" s="3" t="str">
        <f>'بيانات الموظفين'!B7</f>
        <v>حسام كبريتة</v>
      </c>
      <c r="B9" s="33"/>
      <c r="C9" s="34"/>
      <c r="D9" s="33"/>
      <c r="E9" s="33"/>
      <c r="F9" s="33"/>
      <c r="G9" s="33"/>
      <c r="H9" s="33"/>
      <c r="I9" s="33"/>
      <c r="J9" s="34"/>
      <c r="K9" s="33"/>
      <c r="L9" s="33"/>
      <c r="M9" s="33"/>
      <c r="N9" s="33"/>
      <c r="O9" s="33"/>
      <c r="P9" s="33"/>
      <c r="Q9" s="34"/>
      <c r="R9" s="33"/>
      <c r="S9" s="33"/>
      <c r="T9" s="33"/>
      <c r="U9" s="33"/>
      <c r="V9" s="33"/>
      <c r="W9" s="33"/>
      <c r="X9" s="34"/>
      <c r="Y9" s="33"/>
      <c r="Z9" s="33"/>
      <c r="AA9" s="33"/>
      <c r="AB9" s="33"/>
      <c r="AC9" s="33"/>
      <c r="AD9" s="33"/>
      <c r="AE9" s="34"/>
      <c r="AF9" s="33"/>
      <c r="AG9" s="35">
        <f t="shared" si="0"/>
        <v>0</v>
      </c>
      <c r="AH9" s="36">
        <f t="shared" si="1"/>
        <v>0</v>
      </c>
      <c r="AI9" s="37">
        <f t="shared" si="2"/>
        <v>0</v>
      </c>
      <c r="AJ9" s="38" t="str">
        <f>IF(OR('بيانات الموظفين'!C7="",NOT(ISNUMBER('بيانات الموظفين'!G2)),AI9=0),"-",ROUND(AI9*(('بيانات الموظفين'!C7/31)/'بيانات الموظفين'!G2),2))</f>
        <v>-</v>
      </c>
      <c r="AK9" s="39">
        <f>IF('بيانات الموظفين'!C7="","-",31-AG9-AH9*0.5)</f>
        <v>31</v>
      </c>
      <c r="AL9" s="6">
        <f>IF('بيانات الموظفين'!C7="","-",ROUND(('بيانات الموظفين'!C7/31)*AG9+(('بيانات الموظفين'!C7/31)/2)*AH9,2))</f>
        <v>0</v>
      </c>
      <c r="AM9" s="40">
        <f>IF('بيانات الموظفين'!C7="","-",ROUND('بيانات الموظفين'!C7+ROUND('بيانات الموظفين'!C7/30,2)+IF(ISNUMBER(AJ9),AJ9,0)-IF(ISNUMBER(AL9),AL9,0),2))</f>
        <v>2583333.33</v>
      </c>
    </row>
    <row r="10" spans="1:39" ht="25.5" customHeight="1" x14ac:dyDescent="0.25">
      <c r="A10" s="3" t="str">
        <f>'بيانات الموظفين'!B8</f>
        <v>انس المنسي</v>
      </c>
      <c r="B10" s="41"/>
      <c r="C10" s="34"/>
      <c r="D10" s="41"/>
      <c r="E10" s="41"/>
      <c r="F10" s="41"/>
      <c r="G10" s="41"/>
      <c r="H10" s="41"/>
      <c r="I10" s="41"/>
      <c r="J10" s="34"/>
      <c r="K10" s="41"/>
      <c r="L10" s="41"/>
      <c r="M10" s="41"/>
      <c r="N10" s="41"/>
      <c r="O10" s="41"/>
      <c r="P10" s="41"/>
      <c r="Q10" s="34"/>
      <c r="R10" s="41"/>
      <c r="S10" s="41"/>
      <c r="T10" s="41"/>
      <c r="U10" s="41"/>
      <c r="V10" s="41"/>
      <c r="W10" s="41"/>
      <c r="X10" s="34"/>
      <c r="Y10" s="41"/>
      <c r="Z10" s="41"/>
      <c r="AA10" s="41"/>
      <c r="AB10" s="41"/>
      <c r="AC10" s="41"/>
      <c r="AD10" s="41"/>
      <c r="AE10" s="34"/>
      <c r="AF10" s="41"/>
      <c r="AG10" s="35">
        <f t="shared" si="0"/>
        <v>0</v>
      </c>
      <c r="AH10" s="36">
        <f t="shared" si="1"/>
        <v>0</v>
      </c>
      <c r="AI10" s="37">
        <f t="shared" si="2"/>
        <v>0</v>
      </c>
      <c r="AJ10" s="38" t="str">
        <f>IF(OR('بيانات الموظفين'!C8="",NOT(ISNUMBER('بيانات الموظفين'!G2)),AI10=0),"-",ROUND(AI10*(('بيانات الموظفين'!C8/31)/'بيانات الموظفين'!G2),2))</f>
        <v>-</v>
      </c>
      <c r="AK10" s="39">
        <f>IF('بيانات الموظفين'!C8="","-",31-AG10-AH10*0.5)</f>
        <v>31</v>
      </c>
      <c r="AL10" s="6">
        <f>IF('بيانات الموظفين'!C8="","-",ROUND(('بيانات الموظفين'!C8/31)*AG10+(('بيانات الموظفين'!C8/31)/2)*AH10,2))</f>
        <v>0</v>
      </c>
      <c r="AM10" s="40">
        <f>IF('بيانات الموظفين'!C8="","-",ROUND('بيانات الموظفين'!C8+ROUND('بيانات الموظفين'!C8/30,2)+IF(ISNUMBER(AJ10),AJ10,0)-IF(ISNUMBER(AL10),AL10,0),2))</f>
        <v>826666.67</v>
      </c>
    </row>
    <row r="11" spans="1:39" ht="25.5" customHeight="1" x14ac:dyDescent="0.25">
      <c r="A11" s="3" t="str">
        <f>'بيانات الموظفين'!B9</f>
        <v>عمار مجيد</v>
      </c>
      <c r="B11" s="33"/>
      <c r="C11" s="34"/>
      <c r="D11" s="33"/>
      <c r="E11" s="33"/>
      <c r="F11" s="33"/>
      <c r="G11" s="33"/>
      <c r="H11" s="33"/>
      <c r="I11" s="33"/>
      <c r="J11" s="34"/>
      <c r="K11" s="33"/>
      <c r="L11" s="33"/>
      <c r="M11" s="33"/>
      <c r="N11" s="33"/>
      <c r="O11" s="33"/>
      <c r="P11" s="33"/>
      <c r="Q11" s="34"/>
      <c r="R11" s="33"/>
      <c r="S11" s="33"/>
      <c r="T11" s="33"/>
      <c r="U11" s="33"/>
      <c r="V11" s="33"/>
      <c r="W11" s="33"/>
      <c r="X11" s="34"/>
      <c r="Y11" s="33"/>
      <c r="Z11" s="33"/>
      <c r="AA11" s="33"/>
      <c r="AB11" s="33"/>
      <c r="AC11" s="33"/>
      <c r="AD11" s="33"/>
      <c r="AE11" s="34"/>
      <c r="AF11" s="33"/>
      <c r="AG11" s="35">
        <f t="shared" si="0"/>
        <v>0</v>
      </c>
      <c r="AH11" s="36">
        <f t="shared" si="1"/>
        <v>0</v>
      </c>
      <c r="AI11" s="37">
        <f t="shared" si="2"/>
        <v>0</v>
      </c>
      <c r="AJ11" s="38" t="str">
        <f>IF(OR('بيانات الموظفين'!C9="",NOT(ISNUMBER('بيانات الموظفين'!G2)),AI11=0),"-",ROUND(AI11*(('بيانات الموظفين'!C9/31)/'بيانات الموظفين'!G2),2))</f>
        <v>-</v>
      </c>
      <c r="AK11" s="39">
        <f>IF('بيانات الموظفين'!C9="","-",31-AG11-AH11*0.5)</f>
        <v>31</v>
      </c>
      <c r="AL11" s="6">
        <f>IF('بيانات الموظفين'!C9="","-",ROUND(('بيانات الموظفين'!C9/31)*AG11+(('بيانات الموظفين'!C9/31)/2)*AH11,2))</f>
        <v>0</v>
      </c>
      <c r="AM11" s="40">
        <f>IF('بيانات الموظفين'!C9="","-",ROUND('بيانات الموظفين'!C9+ROUND('بيانات الموظفين'!C9/30,2)+IF(ISNUMBER(AJ11),AJ11,0)-IF(ISNUMBER(AL11),AL11,0),2))</f>
        <v>2066666.67</v>
      </c>
    </row>
    <row r="12" spans="1:39" ht="25.5" customHeight="1" x14ac:dyDescent="0.25">
      <c r="A12" s="3">
        <f>'بيانات الموظفين'!B10</f>
        <v>0</v>
      </c>
      <c r="B12" s="41"/>
      <c r="C12" s="34"/>
      <c r="D12" s="41"/>
      <c r="E12" s="41"/>
      <c r="F12" s="41"/>
      <c r="G12" s="41"/>
      <c r="H12" s="41"/>
      <c r="I12" s="41"/>
      <c r="J12" s="34"/>
      <c r="K12" s="41"/>
      <c r="L12" s="41"/>
      <c r="M12" s="41"/>
      <c r="N12" s="41"/>
      <c r="O12" s="41"/>
      <c r="P12" s="41"/>
      <c r="Q12" s="34"/>
      <c r="R12" s="41"/>
      <c r="S12" s="41"/>
      <c r="T12" s="41"/>
      <c r="U12" s="41"/>
      <c r="V12" s="41"/>
      <c r="W12" s="41"/>
      <c r="X12" s="34"/>
      <c r="Y12" s="41"/>
      <c r="Z12" s="41"/>
      <c r="AA12" s="41"/>
      <c r="AB12" s="41"/>
      <c r="AC12" s="41"/>
      <c r="AD12" s="41"/>
      <c r="AE12" s="34"/>
      <c r="AF12" s="41"/>
      <c r="AG12" s="35">
        <f t="shared" si="0"/>
        <v>0</v>
      </c>
      <c r="AH12" s="36">
        <f t="shared" si="1"/>
        <v>0</v>
      </c>
      <c r="AI12" s="37">
        <f t="shared" si="2"/>
        <v>0</v>
      </c>
      <c r="AJ12" s="38" t="str">
        <f>IF(OR('بيانات الموظفين'!C10="",NOT(ISNUMBER('بيانات الموظفين'!G2)),AI12=0),"-",ROUND(AI12*(('بيانات الموظفين'!C10/31)/'بيانات الموظفين'!G2),2))</f>
        <v>-</v>
      </c>
      <c r="AK12" s="39" t="str">
        <f>IF('بيانات الموظفين'!C10="","-",31-AG12-AH12*0.5)</f>
        <v>-</v>
      </c>
      <c r="AL12" s="6" t="str">
        <f>IF('بيانات الموظفين'!C10="","-",ROUND(('بيانات الموظفين'!C10/31)*AG12+(('بيانات الموظفين'!C10/31)/2)*AH12,2))</f>
        <v>-</v>
      </c>
      <c r="AM12" s="40" t="str">
        <f>IF('بيانات الموظفين'!C10="","-",ROUND('بيانات الموظفين'!C10+ROUND('بيانات الموظفين'!C10/30,2)+IF(ISNUMBER(AJ12),AJ12,0)-IF(ISNUMBER(AL12),AL12,0),2))</f>
        <v>-</v>
      </c>
    </row>
    <row r="13" spans="1:39" ht="25.5" customHeight="1" x14ac:dyDescent="0.25">
      <c r="A13" s="3">
        <f>'بيانات الموظفين'!B11</f>
        <v>0</v>
      </c>
      <c r="B13" s="33"/>
      <c r="C13" s="34"/>
      <c r="D13" s="33"/>
      <c r="E13" s="33"/>
      <c r="F13" s="33"/>
      <c r="G13" s="33"/>
      <c r="H13" s="33"/>
      <c r="I13" s="33"/>
      <c r="J13" s="34"/>
      <c r="K13" s="33"/>
      <c r="L13" s="33"/>
      <c r="M13" s="33"/>
      <c r="N13" s="33"/>
      <c r="O13" s="33"/>
      <c r="P13" s="33"/>
      <c r="Q13" s="34"/>
      <c r="R13" s="33"/>
      <c r="S13" s="33"/>
      <c r="T13" s="33"/>
      <c r="U13" s="33"/>
      <c r="V13" s="33"/>
      <c r="W13" s="33"/>
      <c r="X13" s="34"/>
      <c r="Y13" s="33"/>
      <c r="Z13" s="33"/>
      <c r="AA13" s="33"/>
      <c r="AB13" s="33"/>
      <c r="AC13" s="33"/>
      <c r="AD13" s="33"/>
      <c r="AE13" s="34"/>
      <c r="AF13" s="33"/>
      <c r="AG13" s="35">
        <f t="shared" si="0"/>
        <v>0</v>
      </c>
      <c r="AH13" s="36">
        <f t="shared" si="1"/>
        <v>0</v>
      </c>
      <c r="AI13" s="37">
        <f t="shared" si="2"/>
        <v>0</v>
      </c>
      <c r="AJ13" s="38" t="str">
        <f>IF(OR('بيانات الموظفين'!C11="",NOT(ISNUMBER('بيانات الموظفين'!G2)),AI13=0),"-",ROUND(AI13*(('بيانات الموظفين'!C11/31)/'بيانات الموظفين'!G2),2))</f>
        <v>-</v>
      </c>
      <c r="AK13" s="39" t="str">
        <f>IF('بيانات الموظفين'!C11="","-",31-AG13-AH13*0.5)</f>
        <v>-</v>
      </c>
      <c r="AL13" s="6" t="str">
        <f>IF('بيانات الموظفين'!C11="","-",ROUND(('بيانات الموظفين'!C11/31)*AG13+(('بيانات الموظفين'!C11/31)/2)*AH13,2))</f>
        <v>-</v>
      </c>
      <c r="AM13" s="40" t="str">
        <f>IF('بيانات الموظفين'!C11="","-",ROUND('بيانات الموظفين'!C11+ROUND('بيانات الموظفين'!C11/30,2)+IF(ISNUMBER(AJ13),AJ13,0)-IF(ISNUMBER(AL13),AL13,0),2))</f>
        <v>-</v>
      </c>
    </row>
    <row r="14" spans="1:39" ht="25.5" customHeight="1" x14ac:dyDescent="0.25">
      <c r="A14" s="3">
        <f>'بيانات الموظفين'!B12</f>
        <v>0</v>
      </c>
      <c r="B14" s="41"/>
      <c r="C14" s="34"/>
      <c r="D14" s="41"/>
      <c r="E14" s="41"/>
      <c r="F14" s="41"/>
      <c r="G14" s="41"/>
      <c r="H14" s="41"/>
      <c r="I14" s="41"/>
      <c r="J14" s="34"/>
      <c r="K14" s="41"/>
      <c r="L14" s="41"/>
      <c r="M14" s="41"/>
      <c r="N14" s="41"/>
      <c r="O14" s="41"/>
      <c r="P14" s="41"/>
      <c r="Q14" s="34"/>
      <c r="R14" s="41"/>
      <c r="S14" s="41"/>
      <c r="T14" s="41"/>
      <c r="U14" s="41"/>
      <c r="V14" s="41"/>
      <c r="W14" s="41"/>
      <c r="X14" s="34"/>
      <c r="Y14" s="41"/>
      <c r="Z14" s="41"/>
      <c r="AA14" s="41"/>
      <c r="AB14" s="41"/>
      <c r="AC14" s="41"/>
      <c r="AD14" s="41"/>
      <c r="AE14" s="34"/>
      <c r="AF14" s="41"/>
      <c r="AG14" s="35">
        <f t="shared" si="0"/>
        <v>0</v>
      </c>
      <c r="AH14" s="36">
        <f t="shared" si="1"/>
        <v>0</v>
      </c>
      <c r="AI14" s="37">
        <f t="shared" si="2"/>
        <v>0</v>
      </c>
      <c r="AJ14" s="38" t="str">
        <f>IF(OR('بيانات الموظفين'!C12="",NOT(ISNUMBER('بيانات الموظفين'!G2)),AI14=0),"-",ROUND(AI14*(('بيانات الموظفين'!C12/31)/'بيانات الموظفين'!G2),2))</f>
        <v>-</v>
      </c>
      <c r="AK14" s="39" t="str">
        <f>IF('بيانات الموظفين'!C12="","-",31-AG14-AH14*0.5)</f>
        <v>-</v>
      </c>
      <c r="AL14" s="6" t="str">
        <f>IF('بيانات الموظفين'!C12="","-",ROUND(('بيانات الموظفين'!C12/31)*AG14+(('بيانات الموظفين'!C12/31)/2)*AH14,2))</f>
        <v>-</v>
      </c>
      <c r="AM14" s="40" t="str">
        <f>IF('بيانات الموظفين'!C12="","-",ROUND('بيانات الموظفين'!C12+ROUND('بيانات الموظفين'!C12/30,2)+IF(ISNUMBER(AJ14),AJ14,0)-IF(ISNUMBER(AL14),AL14,0),2))</f>
        <v>-</v>
      </c>
    </row>
    <row r="15" spans="1:39" ht="25.5" customHeight="1" x14ac:dyDescent="0.25">
      <c r="A15" s="3">
        <f>'بيانات الموظفين'!B13</f>
        <v>0</v>
      </c>
      <c r="B15" s="33"/>
      <c r="C15" s="34"/>
      <c r="D15" s="33"/>
      <c r="E15" s="33"/>
      <c r="F15" s="33"/>
      <c r="G15" s="33"/>
      <c r="H15" s="33"/>
      <c r="I15" s="33"/>
      <c r="J15" s="34"/>
      <c r="K15" s="33"/>
      <c r="L15" s="33"/>
      <c r="M15" s="33"/>
      <c r="N15" s="33"/>
      <c r="O15" s="33"/>
      <c r="P15" s="33"/>
      <c r="Q15" s="34"/>
      <c r="R15" s="33"/>
      <c r="S15" s="33"/>
      <c r="T15" s="33"/>
      <c r="U15" s="33"/>
      <c r="V15" s="33"/>
      <c r="W15" s="33"/>
      <c r="X15" s="34"/>
      <c r="Y15" s="33"/>
      <c r="Z15" s="33"/>
      <c r="AA15" s="33"/>
      <c r="AB15" s="33"/>
      <c r="AC15" s="33"/>
      <c r="AD15" s="33"/>
      <c r="AE15" s="34"/>
      <c r="AF15" s="33"/>
      <c r="AG15" s="35">
        <f t="shared" si="0"/>
        <v>0</v>
      </c>
      <c r="AH15" s="36">
        <f t="shared" si="1"/>
        <v>0</v>
      </c>
      <c r="AI15" s="37">
        <f t="shared" si="2"/>
        <v>0</v>
      </c>
      <c r="AJ15" s="38" t="str">
        <f>IF(OR('بيانات الموظفين'!C13="",NOT(ISNUMBER('بيانات الموظفين'!G2)),AI15=0),"-",ROUND(AI15*(('بيانات الموظفين'!C13/31)/'بيانات الموظفين'!G2),2))</f>
        <v>-</v>
      </c>
      <c r="AK15" s="39" t="str">
        <f>IF('بيانات الموظفين'!C13="","-",31-AG15-AH15*0.5)</f>
        <v>-</v>
      </c>
      <c r="AL15" s="6" t="str">
        <f>IF('بيانات الموظفين'!C13="","-",ROUND(('بيانات الموظفين'!C13/31)*AG15+(('بيانات الموظفين'!C13/31)/2)*AH15,2))</f>
        <v>-</v>
      </c>
      <c r="AM15" s="40" t="str">
        <f>IF('بيانات الموظفين'!C13="","-",ROUND('بيانات الموظفين'!C13+ROUND('بيانات الموظفين'!C13/30,2)+IF(ISNUMBER(AJ15),AJ15,0)-IF(ISNUMBER(AL15),AL15,0),2))</f>
        <v>-</v>
      </c>
    </row>
    <row r="16" spans="1:39" ht="25.5" customHeight="1" x14ac:dyDescent="0.25">
      <c r="A16" s="3">
        <f>'بيانات الموظفين'!B14</f>
        <v>0</v>
      </c>
      <c r="B16" s="41"/>
      <c r="C16" s="34"/>
      <c r="D16" s="41"/>
      <c r="E16" s="41"/>
      <c r="F16" s="41"/>
      <c r="G16" s="41"/>
      <c r="H16" s="41"/>
      <c r="I16" s="41"/>
      <c r="J16" s="34"/>
      <c r="K16" s="41"/>
      <c r="L16" s="41"/>
      <c r="M16" s="41"/>
      <c r="N16" s="41"/>
      <c r="O16" s="41"/>
      <c r="P16" s="41"/>
      <c r="Q16" s="34"/>
      <c r="R16" s="41"/>
      <c r="S16" s="41"/>
      <c r="T16" s="41"/>
      <c r="U16" s="41"/>
      <c r="V16" s="41"/>
      <c r="W16" s="41"/>
      <c r="X16" s="34"/>
      <c r="Y16" s="41"/>
      <c r="Z16" s="41"/>
      <c r="AA16" s="41"/>
      <c r="AB16" s="41"/>
      <c r="AC16" s="41"/>
      <c r="AD16" s="41"/>
      <c r="AE16" s="34"/>
      <c r="AF16" s="41"/>
      <c r="AG16" s="35">
        <f t="shared" si="0"/>
        <v>0</v>
      </c>
      <c r="AH16" s="36">
        <f t="shared" si="1"/>
        <v>0</v>
      </c>
      <c r="AI16" s="37">
        <f t="shared" si="2"/>
        <v>0</v>
      </c>
      <c r="AJ16" s="38" t="str">
        <f>IF(OR('بيانات الموظفين'!C14="",NOT(ISNUMBER('بيانات الموظفين'!G2)),AI16=0),"-",ROUND(AI16*(('بيانات الموظفين'!C14/31)/'بيانات الموظفين'!G2),2))</f>
        <v>-</v>
      </c>
      <c r="AK16" s="39" t="str">
        <f>IF('بيانات الموظفين'!C14="","-",31-AG16-AH16*0.5)</f>
        <v>-</v>
      </c>
      <c r="AL16" s="6" t="str">
        <f>IF('بيانات الموظفين'!C14="","-",ROUND(('بيانات الموظفين'!C14/31)*AG16+(('بيانات الموظفين'!C14/31)/2)*AH16,2))</f>
        <v>-</v>
      </c>
      <c r="AM16" s="40" t="str">
        <f>IF('بيانات الموظفين'!C14="","-",ROUND('بيانات الموظفين'!C14+ROUND('بيانات الموظفين'!C14/30,2)+IF(ISNUMBER(AJ16),AJ16,0)-IF(ISNUMBER(AL16),AL16,0),2))</f>
        <v>-</v>
      </c>
    </row>
    <row r="17" spans="1:39" ht="25.5" customHeight="1" x14ac:dyDescent="0.25">
      <c r="A17" s="1" t="s">
        <v>95</v>
      </c>
      <c r="B17" s="42">
        <f t="shared" ref="B17:AF17" si="3">COUNTIF(B7:B16,"غ")+COUNTIF(B7:B16,"نصف")*0.5</f>
        <v>0</v>
      </c>
      <c r="C17" s="42">
        <f t="shared" si="3"/>
        <v>0</v>
      </c>
      <c r="D17" s="42">
        <f t="shared" si="3"/>
        <v>0</v>
      </c>
      <c r="E17" s="42">
        <f t="shared" si="3"/>
        <v>0</v>
      </c>
      <c r="F17" s="42">
        <f t="shared" si="3"/>
        <v>0</v>
      </c>
      <c r="G17" s="42">
        <f t="shared" si="3"/>
        <v>0</v>
      </c>
      <c r="H17" s="42">
        <f t="shared" si="3"/>
        <v>0</v>
      </c>
      <c r="I17" s="42">
        <f t="shared" si="3"/>
        <v>0</v>
      </c>
      <c r="J17" s="42">
        <f t="shared" si="3"/>
        <v>0</v>
      </c>
      <c r="K17" s="42">
        <f t="shared" si="3"/>
        <v>0</v>
      </c>
      <c r="L17" s="42">
        <f t="shared" si="3"/>
        <v>0</v>
      </c>
      <c r="M17" s="42">
        <f t="shared" si="3"/>
        <v>0</v>
      </c>
      <c r="N17" s="42">
        <f t="shared" si="3"/>
        <v>0</v>
      </c>
      <c r="O17" s="42">
        <f t="shared" si="3"/>
        <v>0</v>
      </c>
      <c r="P17" s="42">
        <f t="shared" si="3"/>
        <v>0</v>
      </c>
      <c r="Q17" s="42">
        <f t="shared" si="3"/>
        <v>0</v>
      </c>
      <c r="R17" s="42">
        <f t="shared" si="3"/>
        <v>0</v>
      </c>
      <c r="S17" s="42">
        <f t="shared" si="3"/>
        <v>0</v>
      </c>
      <c r="T17" s="42">
        <f t="shared" si="3"/>
        <v>0</v>
      </c>
      <c r="U17" s="42">
        <f t="shared" si="3"/>
        <v>0</v>
      </c>
      <c r="V17" s="42">
        <f t="shared" si="3"/>
        <v>0</v>
      </c>
      <c r="W17" s="42">
        <f t="shared" si="3"/>
        <v>0</v>
      </c>
      <c r="X17" s="42">
        <f t="shared" si="3"/>
        <v>0</v>
      </c>
      <c r="Y17" s="42">
        <f t="shared" si="3"/>
        <v>0</v>
      </c>
      <c r="Z17" s="42">
        <f t="shared" si="3"/>
        <v>0</v>
      </c>
      <c r="AA17" s="42">
        <f t="shared" si="3"/>
        <v>0</v>
      </c>
      <c r="AB17" s="42">
        <f t="shared" si="3"/>
        <v>0</v>
      </c>
      <c r="AC17" s="42">
        <f t="shared" si="3"/>
        <v>0</v>
      </c>
      <c r="AD17" s="42">
        <f t="shared" si="3"/>
        <v>0</v>
      </c>
      <c r="AE17" s="42">
        <f t="shared" si="3"/>
        <v>0</v>
      </c>
      <c r="AF17" s="42">
        <f t="shared" si="3"/>
        <v>0</v>
      </c>
      <c r="AG17" s="43">
        <f>SUM(AG7:AG16)</f>
        <v>0</v>
      </c>
      <c r="AH17" s="43">
        <f>SUM(AH7:AH16)</f>
        <v>0</v>
      </c>
      <c r="AI17" s="43">
        <f>SUM(AI7:AI16)</f>
        <v>0</v>
      </c>
      <c r="AJ17" s="44">
        <f>SUM(AJ7:AJ16)</f>
        <v>0</v>
      </c>
      <c r="AK17" s="45"/>
      <c r="AL17" s="44">
        <f>SUM(AL7:AL16)</f>
        <v>0</v>
      </c>
      <c r="AM17" s="44">
        <f>SUM(AM7:AM16)</f>
        <v>15810000</v>
      </c>
    </row>
    <row r="18" spans="1:39" ht="9.75" customHeight="1" x14ac:dyDescent="0.25"/>
    <row r="19" spans="1:39" ht="31.5" customHeight="1" x14ac:dyDescent="0.25">
      <c r="A19" s="50" t="s">
        <v>96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</row>
    <row r="20" spans="1:39" ht="27.75" customHeight="1" x14ac:dyDescent="0.25">
      <c r="A20" s="1" t="s">
        <v>2</v>
      </c>
      <c r="B20" s="1" t="s">
        <v>3</v>
      </c>
      <c r="C20" s="1" t="s">
        <v>63</v>
      </c>
      <c r="D20" s="1" t="s">
        <v>64</v>
      </c>
      <c r="E20" s="1" t="s">
        <v>65</v>
      </c>
      <c r="F20" s="1" t="s">
        <v>66</v>
      </c>
      <c r="G20" s="1" t="s">
        <v>67</v>
      </c>
      <c r="H20" s="1" t="s">
        <v>68</v>
      </c>
      <c r="I20" s="1" t="s">
        <v>69</v>
      </c>
    </row>
    <row r="21" spans="1:39" ht="24" customHeight="1" x14ac:dyDescent="0.25">
      <c r="A21" s="2">
        <v>1</v>
      </c>
      <c r="B21" s="3" t="str">
        <f>'بيانات الموظفين'!B5</f>
        <v xml:space="preserve">أبو بكر </v>
      </c>
      <c r="C21" s="4">
        <f>IF('بيانات الموظفين'!C5="","-",'بيانات الموظفين'!C5)</f>
        <v>7000000</v>
      </c>
      <c r="D21" s="46">
        <f t="shared" ref="D21:D30" si="4">AG7</f>
        <v>0</v>
      </c>
      <c r="E21" s="47">
        <f t="shared" ref="E21:E30" si="5">AH7</f>
        <v>0</v>
      </c>
      <c r="F21" s="6">
        <f t="shared" ref="F21:F30" si="6">AL7</f>
        <v>0</v>
      </c>
      <c r="G21" s="48">
        <f t="shared" ref="G21:G30" si="7">AI7</f>
        <v>0</v>
      </c>
      <c r="H21" s="38" t="str">
        <f t="shared" ref="H21:H30" si="8">AJ7</f>
        <v>-</v>
      </c>
      <c r="I21" s="40">
        <f t="shared" ref="I21:I30" si="9">AM7</f>
        <v>7233333.3300000001</v>
      </c>
    </row>
    <row r="22" spans="1:39" ht="24" customHeight="1" x14ac:dyDescent="0.25">
      <c r="A22" s="8">
        <v>2</v>
      </c>
      <c r="B22" s="3" t="str">
        <f>'بيانات الموظفين'!B6</f>
        <v>هيثم صمادي</v>
      </c>
      <c r="C22" s="9">
        <f>IF('بيانات الموظفين'!C6="","-",'بيانات الموظفين'!C6)</f>
        <v>3000000</v>
      </c>
      <c r="D22" s="46">
        <f t="shared" si="4"/>
        <v>0</v>
      </c>
      <c r="E22" s="47">
        <f t="shared" si="5"/>
        <v>0</v>
      </c>
      <c r="F22" s="6">
        <f t="shared" si="6"/>
        <v>0</v>
      </c>
      <c r="G22" s="48">
        <f t="shared" si="7"/>
        <v>0</v>
      </c>
      <c r="H22" s="38" t="str">
        <f t="shared" si="8"/>
        <v>-</v>
      </c>
      <c r="I22" s="40">
        <f t="shared" si="9"/>
        <v>3100000</v>
      </c>
    </row>
    <row r="23" spans="1:39" ht="24" customHeight="1" x14ac:dyDescent="0.25">
      <c r="A23" s="2">
        <v>3</v>
      </c>
      <c r="B23" s="3" t="str">
        <f>'بيانات الموظفين'!B7</f>
        <v>حسام كبريتة</v>
      </c>
      <c r="C23" s="4">
        <f>IF('بيانات الموظفين'!C7="","-",'بيانات الموظفين'!C7)</f>
        <v>2500000</v>
      </c>
      <c r="D23" s="46">
        <f t="shared" si="4"/>
        <v>0</v>
      </c>
      <c r="E23" s="47">
        <f t="shared" si="5"/>
        <v>0</v>
      </c>
      <c r="F23" s="6">
        <f t="shared" si="6"/>
        <v>0</v>
      </c>
      <c r="G23" s="48">
        <f t="shared" si="7"/>
        <v>0</v>
      </c>
      <c r="H23" s="38" t="str">
        <f t="shared" si="8"/>
        <v>-</v>
      </c>
      <c r="I23" s="40">
        <f t="shared" si="9"/>
        <v>2583333.33</v>
      </c>
    </row>
    <row r="24" spans="1:39" ht="24" customHeight="1" x14ac:dyDescent="0.25">
      <c r="A24" s="8">
        <v>4</v>
      </c>
      <c r="B24" s="3" t="str">
        <f>'بيانات الموظفين'!B8</f>
        <v>انس المنسي</v>
      </c>
      <c r="C24" s="9">
        <f>IF('بيانات الموظفين'!C8="","-",'بيانات الموظفين'!C8)</f>
        <v>800000</v>
      </c>
      <c r="D24" s="46">
        <f t="shared" si="4"/>
        <v>0</v>
      </c>
      <c r="E24" s="47">
        <f t="shared" si="5"/>
        <v>0</v>
      </c>
      <c r="F24" s="6">
        <f t="shared" si="6"/>
        <v>0</v>
      </c>
      <c r="G24" s="48">
        <f t="shared" si="7"/>
        <v>0</v>
      </c>
      <c r="H24" s="38" t="str">
        <f t="shared" si="8"/>
        <v>-</v>
      </c>
      <c r="I24" s="40">
        <f t="shared" si="9"/>
        <v>826666.67</v>
      </c>
    </row>
    <row r="25" spans="1:39" ht="24" customHeight="1" x14ac:dyDescent="0.25">
      <c r="A25" s="2">
        <v>5</v>
      </c>
      <c r="B25" s="3" t="str">
        <f>'بيانات الموظفين'!B9</f>
        <v>عمار مجيد</v>
      </c>
      <c r="C25" s="4">
        <f>IF('بيانات الموظفين'!C9="","-",'بيانات الموظفين'!C9)</f>
        <v>2000000</v>
      </c>
      <c r="D25" s="46">
        <f t="shared" si="4"/>
        <v>0</v>
      </c>
      <c r="E25" s="47">
        <f t="shared" si="5"/>
        <v>0</v>
      </c>
      <c r="F25" s="6">
        <f t="shared" si="6"/>
        <v>0</v>
      </c>
      <c r="G25" s="48">
        <f t="shared" si="7"/>
        <v>0</v>
      </c>
      <c r="H25" s="38" t="str">
        <f t="shared" si="8"/>
        <v>-</v>
      </c>
      <c r="I25" s="40">
        <f t="shared" si="9"/>
        <v>2066666.67</v>
      </c>
    </row>
    <row r="26" spans="1:39" ht="24" customHeight="1" x14ac:dyDescent="0.25">
      <c r="A26" s="8">
        <v>6</v>
      </c>
      <c r="B26" s="3">
        <f>'بيانات الموظفين'!B10</f>
        <v>0</v>
      </c>
      <c r="C26" s="9" t="str">
        <f>IF('بيانات الموظفين'!C10="","-",'بيانات الموظفين'!C10)</f>
        <v>-</v>
      </c>
      <c r="D26" s="46">
        <f t="shared" si="4"/>
        <v>0</v>
      </c>
      <c r="E26" s="47">
        <f t="shared" si="5"/>
        <v>0</v>
      </c>
      <c r="F26" s="6" t="str">
        <f t="shared" si="6"/>
        <v>-</v>
      </c>
      <c r="G26" s="48">
        <f t="shared" si="7"/>
        <v>0</v>
      </c>
      <c r="H26" s="38" t="str">
        <f t="shared" si="8"/>
        <v>-</v>
      </c>
      <c r="I26" s="40" t="str">
        <f t="shared" si="9"/>
        <v>-</v>
      </c>
    </row>
    <row r="27" spans="1:39" ht="24" customHeight="1" x14ac:dyDescent="0.25">
      <c r="A27" s="2">
        <v>7</v>
      </c>
      <c r="B27" s="3">
        <f>'بيانات الموظفين'!B11</f>
        <v>0</v>
      </c>
      <c r="C27" s="4" t="str">
        <f>IF('بيانات الموظفين'!C11="","-",'بيانات الموظفين'!C11)</f>
        <v>-</v>
      </c>
      <c r="D27" s="46">
        <f t="shared" si="4"/>
        <v>0</v>
      </c>
      <c r="E27" s="47">
        <f t="shared" si="5"/>
        <v>0</v>
      </c>
      <c r="F27" s="6" t="str">
        <f t="shared" si="6"/>
        <v>-</v>
      </c>
      <c r="G27" s="48">
        <f t="shared" si="7"/>
        <v>0</v>
      </c>
      <c r="H27" s="38" t="str">
        <f t="shared" si="8"/>
        <v>-</v>
      </c>
      <c r="I27" s="40" t="str">
        <f t="shared" si="9"/>
        <v>-</v>
      </c>
    </row>
    <row r="28" spans="1:39" ht="24" customHeight="1" x14ac:dyDescent="0.25">
      <c r="A28" s="8">
        <v>8</v>
      </c>
      <c r="B28" s="3">
        <f>'بيانات الموظفين'!B12</f>
        <v>0</v>
      </c>
      <c r="C28" s="9" t="str">
        <f>IF('بيانات الموظفين'!C12="","-",'بيانات الموظفين'!C12)</f>
        <v>-</v>
      </c>
      <c r="D28" s="46">
        <f t="shared" si="4"/>
        <v>0</v>
      </c>
      <c r="E28" s="47">
        <f t="shared" si="5"/>
        <v>0</v>
      </c>
      <c r="F28" s="6" t="str">
        <f t="shared" si="6"/>
        <v>-</v>
      </c>
      <c r="G28" s="48">
        <f t="shared" si="7"/>
        <v>0</v>
      </c>
      <c r="H28" s="38" t="str">
        <f t="shared" si="8"/>
        <v>-</v>
      </c>
      <c r="I28" s="40" t="str">
        <f t="shared" si="9"/>
        <v>-</v>
      </c>
    </row>
    <row r="29" spans="1:39" ht="24" customHeight="1" x14ac:dyDescent="0.25">
      <c r="A29" s="2">
        <v>9</v>
      </c>
      <c r="B29" s="3">
        <f>'بيانات الموظفين'!B13</f>
        <v>0</v>
      </c>
      <c r="C29" s="4" t="str">
        <f>IF('بيانات الموظفين'!C13="","-",'بيانات الموظفين'!C13)</f>
        <v>-</v>
      </c>
      <c r="D29" s="46">
        <f t="shared" si="4"/>
        <v>0</v>
      </c>
      <c r="E29" s="47">
        <f t="shared" si="5"/>
        <v>0</v>
      </c>
      <c r="F29" s="6" t="str">
        <f t="shared" si="6"/>
        <v>-</v>
      </c>
      <c r="G29" s="48">
        <f t="shared" si="7"/>
        <v>0</v>
      </c>
      <c r="H29" s="38" t="str">
        <f t="shared" si="8"/>
        <v>-</v>
      </c>
      <c r="I29" s="40" t="str">
        <f t="shared" si="9"/>
        <v>-</v>
      </c>
    </row>
    <row r="30" spans="1:39" ht="24" customHeight="1" x14ac:dyDescent="0.25">
      <c r="A30" s="8">
        <v>10</v>
      </c>
      <c r="B30" s="3">
        <f>'بيانات الموظفين'!B14</f>
        <v>0</v>
      </c>
      <c r="C30" s="9" t="str">
        <f>IF('بيانات الموظفين'!C14="","-",'بيانات الموظفين'!C14)</f>
        <v>-</v>
      </c>
      <c r="D30" s="46">
        <f t="shared" si="4"/>
        <v>0</v>
      </c>
      <c r="E30" s="47">
        <f t="shared" si="5"/>
        <v>0</v>
      </c>
      <c r="F30" s="6" t="str">
        <f t="shared" si="6"/>
        <v>-</v>
      </c>
      <c r="G30" s="48">
        <f t="shared" si="7"/>
        <v>0</v>
      </c>
      <c r="H30" s="38" t="str">
        <f t="shared" si="8"/>
        <v>-</v>
      </c>
      <c r="I30" s="40" t="str">
        <f t="shared" si="9"/>
        <v>-</v>
      </c>
    </row>
    <row r="31" spans="1:39" ht="27.75" customHeight="1" x14ac:dyDescent="0.25">
      <c r="A31" s="51" t="s">
        <v>19</v>
      </c>
      <c r="B31" s="51"/>
      <c r="C31" s="11">
        <f t="shared" ref="C31:I31" si="10">SUM(C21:C30)</f>
        <v>15300000</v>
      </c>
      <c r="D31" s="49">
        <f t="shared" si="10"/>
        <v>0</v>
      </c>
      <c r="E31" s="49">
        <f t="shared" si="10"/>
        <v>0</v>
      </c>
      <c r="F31" s="12">
        <f t="shared" si="10"/>
        <v>0</v>
      </c>
      <c r="G31" s="49">
        <f t="shared" si="10"/>
        <v>0</v>
      </c>
      <c r="H31" s="12">
        <f t="shared" si="10"/>
        <v>0</v>
      </c>
      <c r="I31" s="12">
        <f t="shared" si="10"/>
        <v>15810000</v>
      </c>
    </row>
  </sheetData>
  <mergeCells count="12">
    <mergeCell ref="A19:AM19"/>
    <mergeCell ref="A31:B31"/>
    <mergeCell ref="A1:AM1"/>
    <mergeCell ref="A2:AM2"/>
    <mergeCell ref="A4:A5"/>
    <mergeCell ref="AG4:AG5"/>
    <mergeCell ref="AH4:AH5"/>
    <mergeCell ref="AI4:AI5"/>
    <mergeCell ref="AJ4:AJ5"/>
    <mergeCell ref="AK4:AK5"/>
    <mergeCell ref="AL4:AL5"/>
    <mergeCell ref="AM4:AM5"/>
  </mergeCells>
  <pageMargins left="0.75" right="0.75" top="1" bottom="1" header="0.511811023622047" footer="0.511811023622047"/>
  <pageSetup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L31"/>
  <sheetViews>
    <sheetView rightToLeft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AL1"/>
    </sheetView>
  </sheetViews>
  <sheetFormatPr defaultColWidth="8.7109375" defaultRowHeight="15" x14ac:dyDescent="0.25"/>
  <cols>
    <col min="1" max="1" width="26" customWidth="1"/>
    <col min="2" max="31" width="10" customWidth="1"/>
    <col min="32" max="38" width="15" customWidth="1"/>
  </cols>
  <sheetData>
    <row r="1" spans="1:38" ht="36" customHeight="1" x14ac:dyDescent="0.25">
      <c r="A1" s="52" t="s">
        <v>97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</row>
    <row r="2" spans="1:38" ht="18" customHeight="1" x14ac:dyDescent="0.25">
      <c r="A2" s="53" t="s">
        <v>46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</row>
    <row r="3" spans="1:38" ht="6" customHeight="1" x14ac:dyDescent="0.25"/>
    <row r="4" spans="1:38" ht="30" customHeight="1" x14ac:dyDescent="0.25">
      <c r="A4" s="54" t="s">
        <v>3</v>
      </c>
      <c r="B4" s="29" t="s">
        <v>50</v>
      </c>
      <c r="C4" s="29" t="s">
        <v>51</v>
      </c>
      <c r="D4" s="29" t="s">
        <v>52</v>
      </c>
      <c r="E4" s="29" t="s">
        <v>53</v>
      </c>
      <c r="F4" s="29" t="s">
        <v>47</v>
      </c>
      <c r="G4" s="30" t="s">
        <v>48</v>
      </c>
      <c r="H4" s="29" t="s">
        <v>49</v>
      </c>
      <c r="I4" s="29" t="s">
        <v>50</v>
      </c>
      <c r="J4" s="29" t="s">
        <v>51</v>
      </c>
      <c r="K4" s="29" t="s">
        <v>52</v>
      </c>
      <c r="L4" s="29" t="s">
        <v>53</v>
      </c>
      <c r="M4" s="29" t="s">
        <v>47</v>
      </c>
      <c r="N4" s="30" t="s">
        <v>48</v>
      </c>
      <c r="O4" s="29" t="s">
        <v>49</v>
      </c>
      <c r="P4" s="29" t="s">
        <v>50</v>
      </c>
      <c r="Q4" s="29" t="s">
        <v>51</v>
      </c>
      <c r="R4" s="29" t="s">
        <v>52</v>
      </c>
      <c r="S4" s="29" t="s">
        <v>53</v>
      </c>
      <c r="T4" s="29" t="s">
        <v>47</v>
      </c>
      <c r="U4" s="30" t="s">
        <v>48</v>
      </c>
      <c r="V4" s="29" t="s">
        <v>49</v>
      </c>
      <c r="W4" s="29" t="s">
        <v>50</v>
      </c>
      <c r="X4" s="29" t="s">
        <v>51</v>
      </c>
      <c r="Y4" s="29" t="s">
        <v>52</v>
      </c>
      <c r="Z4" s="29" t="s">
        <v>53</v>
      </c>
      <c r="AA4" s="29" t="s">
        <v>47</v>
      </c>
      <c r="AB4" s="30" t="s">
        <v>48</v>
      </c>
      <c r="AC4" s="29" t="s">
        <v>49</v>
      </c>
      <c r="AD4" s="29" t="s">
        <v>50</v>
      </c>
      <c r="AE4" s="29" t="s">
        <v>51</v>
      </c>
      <c r="AF4" s="55" t="s">
        <v>54</v>
      </c>
      <c r="AG4" s="56" t="s">
        <v>55</v>
      </c>
      <c r="AH4" s="57" t="s">
        <v>56</v>
      </c>
      <c r="AI4" s="58" t="s">
        <v>57</v>
      </c>
      <c r="AJ4" s="59" t="s">
        <v>58</v>
      </c>
      <c r="AK4" s="60" t="s">
        <v>59</v>
      </c>
      <c r="AL4" s="59" t="s">
        <v>60</v>
      </c>
    </row>
    <row r="5" spans="1:38" ht="19.5" customHeight="1" x14ac:dyDescent="0.25">
      <c r="A5" s="54"/>
      <c r="B5" s="31">
        <v>1</v>
      </c>
      <c r="C5" s="31">
        <v>2</v>
      </c>
      <c r="D5" s="31">
        <v>3</v>
      </c>
      <c r="E5" s="31">
        <v>4</v>
      </c>
      <c r="F5" s="31">
        <v>5</v>
      </c>
      <c r="G5" s="32">
        <v>6</v>
      </c>
      <c r="H5" s="31">
        <v>7</v>
      </c>
      <c r="I5" s="31">
        <v>8</v>
      </c>
      <c r="J5" s="31">
        <v>9</v>
      </c>
      <c r="K5" s="31">
        <v>10</v>
      </c>
      <c r="L5" s="31">
        <v>11</v>
      </c>
      <c r="M5" s="31">
        <v>12</v>
      </c>
      <c r="N5" s="32">
        <v>13</v>
      </c>
      <c r="O5" s="31">
        <v>14</v>
      </c>
      <c r="P5" s="31">
        <v>15</v>
      </c>
      <c r="Q5" s="31">
        <v>16</v>
      </c>
      <c r="R5" s="31">
        <v>17</v>
      </c>
      <c r="S5" s="31">
        <v>18</v>
      </c>
      <c r="T5" s="31">
        <v>19</v>
      </c>
      <c r="U5" s="32">
        <v>20</v>
      </c>
      <c r="V5" s="31">
        <v>21</v>
      </c>
      <c r="W5" s="31">
        <v>22</v>
      </c>
      <c r="X5" s="31">
        <v>23</v>
      </c>
      <c r="Y5" s="31">
        <v>24</v>
      </c>
      <c r="Z5" s="31">
        <v>25</v>
      </c>
      <c r="AA5" s="31">
        <v>26</v>
      </c>
      <c r="AB5" s="32">
        <v>27</v>
      </c>
      <c r="AC5" s="31">
        <v>28</v>
      </c>
      <c r="AD5" s="31">
        <v>29</v>
      </c>
      <c r="AE5" s="31">
        <v>30</v>
      </c>
      <c r="AF5" s="55"/>
      <c r="AG5" s="55"/>
      <c r="AH5" s="55"/>
      <c r="AI5" s="55"/>
      <c r="AJ5" s="55"/>
      <c r="AK5" s="55"/>
      <c r="AL5" s="55"/>
    </row>
    <row r="6" spans="1:38" ht="4.5" customHeight="1" x14ac:dyDescent="0.25"/>
    <row r="7" spans="1:38" ht="25.5" customHeight="1" x14ac:dyDescent="0.25">
      <c r="A7" s="3" t="str">
        <f>'بيانات الموظفين'!B5</f>
        <v xml:space="preserve">أبو بكر </v>
      </c>
      <c r="B7" s="33"/>
      <c r="C7" s="33"/>
      <c r="D7" s="33"/>
      <c r="E7" s="33"/>
      <c r="F7" s="33"/>
      <c r="G7" s="34"/>
      <c r="H7" s="33"/>
      <c r="I7" s="33"/>
      <c r="J7" s="33"/>
      <c r="K7" s="33"/>
      <c r="L7" s="33"/>
      <c r="M7" s="33"/>
      <c r="N7" s="34"/>
      <c r="O7" s="33"/>
      <c r="P7" s="33"/>
      <c r="Q7" s="33"/>
      <c r="R7" s="33"/>
      <c r="S7" s="33"/>
      <c r="T7" s="33"/>
      <c r="U7" s="34"/>
      <c r="V7" s="33"/>
      <c r="W7" s="33"/>
      <c r="X7" s="33"/>
      <c r="Y7" s="33"/>
      <c r="Z7" s="33"/>
      <c r="AA7" s="33"/>
      <c r="AB7" s="34"/>
      <c r="AC7" s="33"/>
      <c r="AD7" s="33"/>
      <c r="AE7" s="33"/>
      <c r="AF7" s="35">
        <f t="shared" ref="AF7:AF16" si="0">COUNTIF(B7:AE7,"غ")</f>
        <v>0</v>
      </c>
      <c r="AG7" s="36">
        <f t="shared" ref="AG7:AG16" si="1">COUNTIF(B7:AE7,"نصف")</f>
        <v>0</v>
      </c>
      <c r="AH7" s="37">
        <f t="shared" ref="AH7:AH16" si="2">SUMIF(B7:AE7,"&gt;"&amp;0)</f>
        <v>0</v>
      </c>
      <c r="AI7" s="38" t="str">
        <f>IF(OR('بيانات الموظفين'!C5="",NOT(ISNUMBER('بيانات الموظفين'!G2)),AH7=0),"-",ROUND(AH7*(('بيانات الموظفين'!C5/30)/'بيانات الموظفين'!G2),2))</f>
        <v>-</v>
      </c>
      <c r="AJ7" s="39">
        <f>IF('بيانات الموظفين'!C5="","-",30-AF7-AG7*0.5)</f>
        <v>30</v>
      </c>
      <c r="AK7" s="6">
        <f>IF('بيانات الموظفين'!C5="","-",ROUND(('بيانات الموظفين'!C5/30)*AF7+(('بيانات الموظفين'!C5/30)/2)*AG7,2))</f>
        <v>0</v>
      </c>
      <c r="AL7" s="40">
        <f>IF('بيانات الموظفين'!C5="","-",ROUND('بيانات الموظفين'!C5+IF(ISNUMBER(AI7),AI7,0)-IF(ISNUMBER(AK7),AK7,0),2))</f>
        <v>7000000</v>
      </c>
    </row>
    <row r="8" spans="1:38" ht="25.5" customHeight="1" x14ac:dyDescent="0.25">
      <c r="A8" s="3" t="str">
        <f>'بيانات الموظفين'!B6</f>
        <v>هيثم صمادي</v>
      </c>
      <c r="B8" s="41"/>
      <c r="C8" s="41"/>
      <c r="D8" s="41"/>
      <c r="E8" s="41"/>
      <c r="F8" s="41"/>
      <c r="G8" s="34"/>
      <c r="H8" s="41"/>
      <c r="I8" s="41"/>
      <c r="J8" s="41"/>
      <c r="K8" s="41"/>
      <c r="L8" s="41"/>
      <c r="M8" s="41"/>
      <c r="N8" s="34"/>
      <c r="O8" s="41"/>
      <c r="P8" s="41"/>
      <c r="Q8" s="41"/>
      <c r="R8" s="41"/>
      <c r="S8" s="41"/>
      <c r="T8" s="41"/>
      <c r="U8" s="34"/>
      <c r="V8" s="41"/>
      <c r="W8" s="41"/>
      <c r="X8" s="41"/>
      <c r="Y8" s="41"/>
      <c r="Z8" s="41"/>
      <c r="AA8" s="41"/>
      <c r="AB8" s="34"/>
      <c r="AC8" s="41"/>
      <c r="AD8" s="41"/>
      <c r="AE8" s="41"/>
      <c r="AF8" s="35">
        <f t="shared" si="0"/>
        <v>0</v>
      </c>
      <c r="AG8" s="36">
        <f t="shared" si="1"/>
        <v>0</v>
      </c>
      <c r="AH8" s="37">
        <f t="shared" si="2"/>
        <v>0</v>
      </c>
      <c r="AI8" s="38" t="str">
        <f>IF(OR('بيانات الموظفين'!C6="",NOT(ISNUMBER('بيانات الموظفين'!G2)),AH8=0),"-",ROUND(AH8*(('بيانات الموظفين'!C6/30)/'بيانات الموظفين'!G2),2))</f>
        <v>-</v>
      </c>
      <c r="AJ8" s="39">
        <f>IF('بيانات الموظفين'!C6="","-",30-AF8-AG8*0.5)</f>
        <v>30</v>
      </c>
      <c r="AK8" s="6">
        <f>IF('بيانات الموظفين'!C6="","-",ROUND(('بيانات الموظفين'!C6/30)*AF8+(('بيانات الموظفين'!C6/30)/2)*AG8,2))</f>
        <v>0</v>
      </c>
      <c r="AL8" s="40">
        <f>IF('بيانات الموظفين'!C6="","-",ROUND('بيانات الموظفين'!C6+IF(ISNUMBER(AI8),AI8,0)-IF(ISNUMBER(AK8),AK8,0),2))</f>
        <v>3000000</v>
      </c>
    </row>
    <row r="9" spans="1:38" ht="25.5" customHeight="1" x14ac:dyDescent="0.25">
      <c r="A9" s="3" t="str">
        <f>'بيانات الموظفين'!B7</f>
        <v>حسام كبريتة</v>
      </c>
      <c r="B9" s="33"/>
      <c r="C9" s="33"/>
      <c r="D9" s="33"/>
      <c r="E9" s="33"/>
      <c r="F9" s="33"/>
      <c r="G9" s="34"/>
      <c r="H9" s="33"/>
      <c r="I9" s="33"/>
      <c r="J9" s="33"/>
      <c r="K9" s="33"/>
      <c r="L9" s="33"/>
      <c r="M9" s="33"/>
      <c r="N9" s="34"/>
      <c r="O9" s="33"/>
      <c r="P9" s="33"/>
      <c r="Q9" s="33"/>
      <c r="R9" s="33"/>
      <c r="S9" s="33"/>
      <c r="T9" s="33"/>
      <c r="U9" s="34"/>
      <c r="V9" s="33"/>
      <c r="W9" s="33"/>
      <c r="X9" s="33"/>
      <c r="Y9" s="33"/>
      <c r="Z9" s="33"/>
      <c r="AA9" s="33"/>
      <c r="AB9" s="34"/>
      <c r="AC9" s="33"/>
      <c r="AD9" s="33"/>
      <c r="AE9" s="33"/>
      <c r="AF9" s="35">
        <f t="shared" si="0"/>
        <v>0</v>
      </c>
      <c r="AG9" s="36">
        <f t="shared" si="1"/>
        <v>0</v>
      </c>
      <c r="AH9" s="37">
        <f t="shared" si="2"/>
        <v>0</v>
      </c>
      <c r="AI9" s="38" t="str">
        <f>IF(OR('بيانات الموظفين'!C7="",NOT(ISNUMBER('بيانات الموظفين'!G2)),AH9=0),"-",ROUND(AH9*(('بيانات الموظفين'!C7/30)/'بيانات الموظفين'!G2),2))</f>
        <v>-</v>
      </c>
      <c r="AJ9" s="39">
        <f>IF('بيانات الموظفين'!C7="","-",30-AF9-AG9*0.5)</f>
        <v>30</v>
      </c>
      <c r="AK9" s="6">
        <f>IF('بيانات الموظفين'!C7="","-",ROUND(('بيانات الموظفين'!C7/30)*AF9+(('بيانات الموظفين'!C7/30)/2)*AG9,2))</f>
        <v>0</v>
      </c>
      <c r="AL9" s="40">
        <f>IF('بيانات الموظفين'!C7="","-",ROUND('بيانات الموظفين'!C7+IF(ISNUMBER(AI9),AI9,0)-IF(ISNUMBER(AK9),AK9,0),2))</f>
        <v>2500000</v>
      </c>
    </row>
    <row r="10" spans="1:38" ht="25.5" customHeight="1" x14ac:dyDescent="0.25">
      <c r="A10" s="3" t="str">
        <f>'بيانات الموظفين'!B8</f>
        <v>انس المنسي</v>
      </c>
      <c r="B10" s="41"/>
      <c r="C10" s="41"/>
      <c r="D10" s="41"/>
      <c r="E10" s="41"/>
      <c r="F10" s="41"/>
      <c r="G10" s="34"/>
      <c r="H10" s="41"/>
      <c r="I10" s="41"/>
      <c r="J10" s="41"/>
      <c r="K10" s="41"/>
      <c r="L10" s="41"/>
      <c r="M10" s="41"/>
      <c r="N10" s="34"/>
      <c r="O10" s="41"/>
      <c r="P10" s="41"/>
      <c r="Q10" s="41"/>
      <c r="R10" s="41"/>
      <c r="S10" s="41"/>
      <c r="T10" s="41"/>
      <c r="U10" s="34"/>
      <c r="V10" s="41"/>
      <c r="W10" s="41"/>
      <c r="X10" s="41"/>
      <c r="Y10" s="41"/>
      <c r="Z10" s="41"/>
      <c r="AA10" s="41"/>
      <c r="AB10" s="34"/>
      <c r="AC10" s="41"/>
      <c r="AD10" s="41"/>
      <c r="AE10" s="41"/>
      <c r="AF10" s="35">
        <f t="shared" si="0"/>
        <v>0</v>
      </c>
      <c r="AG10" s="36">
        <f t="shared" si="1"/>
        <v>0</v>
      </c>
      <c r="AH10" s="37">
        <f t="shared" si="2"/>
        <v>0</v>
      </c>
      <c r="AI10" s="38" t="str">
        <f>IF(OR('بيانات الموظفين'!C8="",NOT(ISNUMBER('بيانات الموظفين'!G2)),AH10=0),"-",ROUND(AH10*(('بيانات الموظفين'!C8/30)/'بيانات الموظفين'!G2),2))</f>
        <v>-</v>
      </c>
      <c r="AJ10" s="39">
        <f>IF('بيانات الموظفين'!C8="","-",30-AF10-AG10*0.5)</f>
        <v>30</v>
      </c>
      <c r="AK10" s="6">
        <f>IF('بيانات الموظفين'!C8="","-",ROUND(('بيانات الموظفين'!C8/30)*AF10+(('بيانات الموظفين'!C8/30)/2)*AG10,2))</f>
        <v>0</v>
      </c>
      <c r="AL10" s="40">
        <f>IF('بيانات الموظفين'!C8="","-",ROUND('بيانات الموظفين'!C8+IF(ISNUMBER(AI10),AI10,0)-IF(ISNUMBER(AK10),AK10,0),2))</f>
        <v>800000</v>
      </c>
    </row>
    <row r="11" spans="1:38" ht="25.5" customHeight="1" x14ac:dyDescent="0.25">
      <c r="A11" s="3" t="str">
        <f>'بيانات الموظفين'!B9</f>
        <v>عمار مجيد</v>
      </c>
      <c r="B11" s="33"/>
      <c r="C11" s="33"/>
      <c r="D11" s="33"/>
      <c r="E11" s="33"/>
      <c r="F11" s="33"/>
      <c r="G11" s="34"/>
      <c r="H11" s="33"/>
      <c r="I11" s="33"/>
      <c r="J11" s="33"/>
      <c r="K11" s="33"/>
      <c r="L11" s="33"/>
      <c r="M11" s="33"/>
      <c r="N11" s="34"/>
      <c r="O11" s="33"/>
      <c r="P11" s="33"/>
      <c r="Q11" s="33"/>
      <c r="R11" s="33"/>
      <c r="S11" s="33"/>
      <c r="T11" s="33"/>
      <c r="U11" s="34"/>
      <c r="V11" s="33"/>
      <c r="W11" s="33"/>
      <c r="X11" s="33"/>
      <c r="Y11" s="33"/>
      <c r="Z11" s="33"/>
      <c r="AA11" s="33"/>
      <c r="AB11" s="34"/>
      <c r="AC11" s="33"/>
      <c r="AD11" s="33"/>
      <c r="AE11" s="33"/>
      <c r="AF11" s="35">
        <f t="shared" si="0"/>
        <v>0</v>
      </c>
      <c r="AG11" s="36">
        <f t="shared" si="1"/>
        <v>0</v>
      </c>
      <c r="AH11" s="37">
        <f t="shared" si="2"/>
        <v>0</v>
      </c>
      <c r="AI11" s="38" t="str">
        <f>IF(OR('بيانات الموظفين'!C9="",NOT(ISNUMBER('بيانات الموظفين'!G2)),AH11=0),"-",ROUND(AH11*(('بيانات الموظفين'!C9/30)/'بيانات الموظفين'!G2),2))</f>
        <v>-</v>
      </c>
      <c r="AJ11" s="39">
        <f>IF('بيانات الموظفين'!C9="","-",30-AF11-AG11*0.5)</f>
        <v>30</v>
      </c>
      <c r="AK11" s="6">
        <f>IF('بيانات الموظفين'!C9="","-",ROUND(('بيانات الموظفين'!C9/30)*AF11+(('بيانات الموظفين'!C9/30)/2)*AG11,2))</f>
        <v>0</v>
      </c>
      <c r="AL11" s="40">
        <f>IF('بيانات الموظفين'!C9="","-",ROUND('بيانات الموظفين'!C9+IF(ISNUMBER(AI11),AI11,0)-IF(ISNUMBER(AK11),AK11,0),2))</f>
        <v>2000000</v>
      </c>
    </row>
    <row r="12" spans="1:38" ht="25.5" customHeight="1" x14ac:dyDescent="0.25">
      <c r="A12" s="3">
        <f>'بيانات الموظفين'!B10</f>
        <v>0</v>
      </c>
      <c r="B12" s="41"/>
      <c r="C12" s="41"/>
      <c r="D12" s="41"/>
      <c r="E12" s="41"/>
      <c r="F12" s="41"/>
      <c r="G12" s="34"/>
      <c r="H12" s="41"/>
      <c r="I12" s="41"/>
      <c r="J12" s="41"/>
      <c r="K12" s="41"/>
      <c r="L12" s="41"/>
      <c r="M12" s="41"/>
      <c r="N12" s="34"/>
      <c r="O12" s="41"/>
      <c r="P12" s="41"/>
      <c r="Q12" s="41"/>
      <c r="R12" s="41"/>
      <c r="S12" s="41"/>
      <c r="T12" s="41"/>
      <c r="U12" s="34"/>
      <c r="V12" s="41"/>
      <c r="W12" s="41"/>
      <c r="X12" s="41"/>
      <c r="Y12" s="41"/>
      <c r="Z12" s="41"/>
      <c r="AA12" s="41"/>
      <c r="AB12" s="34"/>
      <c r="AC12" s="41"/>
      <c r="AD12" s="41"/>
      <c r="AE12" s="41"/>
      <c r="AF12" s="35">
        <f t="shared" si="0"/>
        <v>0</v>
      </c>
      <c r="AG12" s="36">
        <f t="shared" si="1"/>
        <v>0</v>
      </c>
      <c r="AH12" s="37">
        <f t="shared" si="2"/>
        <v>0</v>
      </c>
      <c r="AI12" s="38" t="str">
        <f>IF(OR('بيانات الموظفين'!C10="",NOT(ISNUMBER('بيانات الموظفين'!G2)),AH12=0),"-",ROUND(AH12*(('بيانات الموظفين'!C10/30)/'بيانات الموظفين'!G2),2))</f>
        <v>-</v>
      </c>
      <c r="AJ12" s="39" t="str">
        <f>IF('بيانات الموظفين'!C10="","-",30-AF12-AG12*0.5)</f>
        <v>-</v>
      </c>
      <c r="AK12" s="6" t="str">
        <f>IF('بيانات الموظفين'!C10="","-",ROUND(('بيانات الموظفين'!C10/30)*AF12+(('بيانات الموظفين'!C10/30)/2)*AG12,2))</f>
        <v>-</v>
      </c>
      <c r="AL12" s="40" t="str">
        <f>IF('بيانات الموظفين'!C10="","-",ROUND('بيانات الموظفين'!C10+IF(ISNUMBER(AI12),AI12,0)-IF(ISNUMBER(AK12),AK12,0),2))</f>
        <v>-</v>
      </c>
    </row>
    <row r="13" spans="1:38" ht="25.5" customHeight="1" x14ac:dyDescent="0.25">
      <c r="A13" s="3">
        <f>'بيانات الموظفين'!B11</f>
        <v>0</v>
      </c>
      <c r="B13" s="33"/>
      <c r="C13" s="33"/>
      <c r="D13" s="33"/>
      <c r="E13" s="33"/>
      <c r="F13" s="33"/>
      <c r="G13" s="34"/>
      <c r="H13" s="33"/>
      <c r="I13" s="33"/>
      <c r="J13" s="33"/>
      <c r="K13" s="33"/>
      <c r="L13" s="33"/>
      <c r="M13" s="33"/>
      <c r="N13" s="34"/>
      <c r="O13" s="33"/>
      <c r="P13" s="33"/>
      <c r="Q13" s="33"/>
      <c r="R13" s="33"/>
      <c r="S13" s="33"/>
      <c r="T13" s="33"/>
      <c r="U13" s="34"/>
      <c r="V13" s="33"/>
      <c r="W13" s="33"/>
      <c r="X13" s="33"/>
      <c r="Y13" s="33"/>
      <c r="Z13" s="33"/>
      <c r="AA13" s="33"/>
      <c r="AB13" s="34"/>
      <c r="AC13" s="33"/>
      <c r="AD13" s="33"/>
      <c r="AE13" s="33"/>
      <c r="AF13" s="35">
        <f t="shared" si="0"/>
        <v>0</v>
      </c>
      <c r="AG13" s="36">
        <f t="shared" si="1"/>
        <v>0</v>
      </c>
      <c r="AH13" s="37">
        <f t="shared" si="2"/>
        <v>0</v>
      </c>
      <c r="AI13" s="38" t="str">
        <f>IF(OR('بيانات الموظفين'!C11="",NOT(ISNUMBER('بيانات الموظفين'!G2)),AH13=0),"-",ROUND(AH13*(('بيانات الموظفين'!C11/30)/'بيانات الموظفين'!G2),2))</f>
        <v>-</v>
      </c>
      <c r="AJ13" s="39" t="str">
        <f>IF('بيانات الموظفين'!C11="","-",30-AF13-AG13*0.5)</f>
        <v>-</v>
      </c>
      <c r="AK13" s="6" t="str">
        <f>IF('بيانات الموظفين'!C11="","-",ROUND(('بيانات الموظفين'!C11/30)*AF13+(('بيانات الموظفين'!C11/30)/2)*AG13,2))</f>
        <v>-</v>
      </c>
      <c r="AL13" s="40" t="str">
        <f>IF('بيانات الموظفين'!C11="","-",ROUND('بيانات الموظفين'!C11+IF(ISNUMBER(AI13),AI13,0)-IF(ISNUMBER(AK13),AK13,0),2))</f>
        <v>-</v>
      </c>
    </row>
    <row r="14" spans="1:38" ht="25.5" customHeight="1" x14ac:dyDescent="0.25">
      <c r="A14" s="3">
        <f>'بيانات الموظفين'!B12</f>
        <v>0</v>
      </c>
      <c r="B14" s="41"/>
      <c r="C14" s="41"/>
      <c r="D14" s="41"/>
      <c r="E14" s="41"/>
      <c r="F14" s="41"/>
      <c r="G14" s="34"/>
      <c r="H14" s="41"/>
      <c r="I14" s="41"/>
      <c r="J14" s="41"/>
      <c r="K14" s="41"/>
      <c r="L14" s="41"/>
      <c r="M14" s="41"/>
      <c r="N14" s="34"/>
      <c r="O14" s="41"/>
      <c r="P14" s="41"/>
      <c r="Q14" s="41"/>
      <c r="R14" s="41"/>
      <c r="S14" s="41"/>
      <c r="T14" s="41"/>
      <c r="U14" s="34"/>
      <c r="V14" s="41"/>
      <c r="W14" s="41"/>
      <c r="X14" s="41"/>
      <c r="Y14" s="41"/>
      <c r="Z14" s="41"/>
      <c r="AA14" s="41"/>
      <c r="AB14" s="34"/>
      <c r="AC14" s="41"/>
      <c r="AD14" s="41"/>
      <c r="AE14" s="41"/>
      <c r="AF14" s="35">
        <f t="shared" si="0"/>
        <v>0</v>
      </c>
      <c r="AG14" s="36">
        <f t="shared" si="1"/>
        <v>0</v>
      </c>
      <c r="AH14" s="37">
        <f t="shared" si="2"/>
        <v>0</v>
      </c>
      <c r="AI14" s="38" t="str">
        <f>IF(OR('بيانات الموظفين'!C12="",NOT(ISNUMBER('بيانات الموظفين'!G2)),AH14=0),"-",ROUND(AH14*(('بيانات الموظفين'!C12/30)/'بيانات الموظفين'!G2),2))</f>
        <v>-</v>
      </c>
      <c r="AJ14" s="39" t="str">
        <f>IF('بيانات الموظفين'!C12="","-",30-AF14-AG14*0.5)</f>
        <v>-</v>
      </c>
      <c r="AK14" s="6" t="str">
        <f>IF('بيانات الموظفين'!C12="","-",ROUND(('بيانات الموظفين'!C12/30)*AF14+(('بيانات الموظفين'!C12/30)/2)*AG14,2))</f>
        <v>-</v>
      </c>
      <c r="AL14" s="40" t="str">
        <f>IF('بيانات الموظفين'!C12="","-",ROUND('بيانات الموظفين'!C12+IF(ISNUMBER(AI14),AI14,0)-IF(ISNUMBER(AK14),AK14,0),2))</f>
        <v>-</v>
      </c>
    </row>
    <row r="15" spans="1:38" ht="25.5" customHeight="1" x14ac:dyDescent="0.25">
      <c r="A15" s="3">
        <f>'بيانات الموظفين'!B13</f>
        <v>0</v>
      </c>
      <c r="B15" s="33"/>
      <c r="C15" s="33"/>
      <c r="D15" s="33"/>
      <c r="E15" s="33"/>
      <c r="F15" s="33"/>
      <c r="G15" s="34"/>
      <c r="H15" s="33"/>
      <c r="I15" s="33"/>
      <c r="J15" s="33"/>
      <c r="K15" s="33"/>
      <c r="L15" s="33"/>
      <c r="M15" s="33"/>
      <c r="N15" s="34"/>
      <c r="O15" s="33"/>
      <c r="P15" s="33"/>
      <c r="Q15" s="33"/>
      <c r="R15" s="33"/>
      <c r="S15" s="33"/>
      <c r="T15" s="33"/>
      <c r="U15" s="34"/>
      <c r="V15" s="33"/>
      <c r="W15" s="33"/>
      <c r="X15" s="33"/>
      <c r="Y15" s="33"/>
      <c r="Z15" s="33"/>
      <c r="AA15" s="33"/>
      <c r="AB15" s="34"/>
      <c r="AC15" s="33"/>
      <c r="AD15" s="33"/>
      <c r="AE15" s="33"/>
      <c r="AF15" s="35">
        <f t="shared" si="0"/>
        <v>0</v>
      </c>
      <c r="AG15" s="36">
        <f t="shared" si="1"/>
        <v>0</v>
      </c>
      <c r="AH15" s="37">
        <f t="shared" si="2"/>
        <v>0</v>
      </c>
      <c r="AI15" s="38" t="str">
        <f>IF(OR('بيانات الموظفين'!C13="",NOT(ISNUMBER('بيانات الموظفين'!G2)),AH15=0),"-",ROUND(AH15*(('بيانات الموظفين'!C13/30)/'بيانات الموظفين'!G2),2))</f>
        <v>-</v>
      </c>
      <c r="AJ15" s="39" t="str">
        <f>IF('بيانات الموظفين'!C13="","-",30-AF15-AG15*0.5)</f>
        <v>-</v>
      </c>
      <c r="AK15" s="6" t="str">
        <f>IF('بيانات الموظفين'!C13="","-",ROUND(('بيانات الموظفين'!C13/30)*AF15+(('بيانات الموظفين'!C13/30)/2)*AG15,2))</f>
        <v>-</v>
      </c>
      <c r="AL15" s="40" t="str">
        <f>IF('بيانات الموظفين'!C13="","-",ROUND('بيانات الموظفين'!C13+IF(ISNUMBER(AI15),AI15,0)-IF(ISNUMBER(AK15),AK15,0),2))</f>
        <v>-</v>
      </c>
    </row>
    <row r="16" spans="1:38" ht="25.5" customHeight="1" x14ac:dyDescent="0.25">
      <c r="A16" s="3">
        <f>'بيانات الموظفين'!B14</f>
        <v>0</v>
      </c>
      <c r="B16" s="41"/>
      <c r="C16" s="41"/>
      <c r="D16" s="41"/>
      <c r="E16" s="41"/>
      <c r="F16" s="41"/>
      <c r="G16" s="34"/>
      <c r="H16" s="41"/>
      <c r="I16" s="41"/>
      <c r="J16" s="41"/>
      <c r="K16" s="41"/>
      <c r="L16" s="41"/>
      <c r="M16" s="41"/>
      <c r="N16" s="34"/>
      <c r="O16" s="41"/>
      <c r="P16" s="41"/>
      <c r="Q16" s="41"/>
      <c r="R16" s="41"/>
      <c r="S16" s="41"/>
      <c r="T16" s="41"/>
      <c r="U16" s="34"/>
      <c r="V16" s="41"/>
      <c r="W16" s="41"/>
      <c r="X16" s="41"/>
      <c r="Y16" s="41"/>
      <c r="Z16" s="41"/>
      <c r="AA16" s="41"/>
      <c r="AB16" s="34"/>
      <c r="AC16" s="41"/>
      <c r="AD16" s="41"/>
      <c r="AE16" s="41"/>
      <c r="AF16" s="35">
        <f t="shared" si="0"/>
        <v>0</v>
      </c>
      <c r="AG16" s="36">
        <f t="shared" si="1"/>
        <v>0</v>
      </c>
      <c r="AH16" s="37">
        <f t="shared" si="2"/>
        <v>0</v>
      </c>
      <c r="AI16" s="38" t="str">
        <f>IF(OR('بيانات الموظفين'!C14="",NOT(ISNUMBER('بيانات الموظفين'!G2)),AH16=0),"-",ROUND(AH16*(('بيانات الموظفين'!C14/30)/'بيانات الموظفين'!G2),2))</f>
        <v>-</v>
      </c>
      <c r="AJ16" s="39" t="str">
        <f>IF('بيانات الموظفين'!C14="","-",30-AF16-AG16*0.5)</f>
        <v>-</v>
      </c>
      <c r="AK16" s="6" t="str">
        <f>IF('بيانات الموظفين'!C14="","-",ROUND(('بيانات الموظفين'!C14/30)*AF16+(('بيانات الموظفين'!C14/30)/2)*AG16,2))</f>
        <v>-</v>
      </c>
      <c r="AL16" s="40" t="str">
        <f>IF('بيانات الموظفين'!C14="","-",ROUND('بيانات الموظفين'!C14+IF(ISNUMBER(AI16),AI16,0)-IF(ISNUMBER(AK16),AK16,0),2))</f>
        <v>-</v>
      </c>
    </row>
    <row r="17" spans="1:38" ht="25.5" customHeight="1" x14ac:dyDescent="0.25">
      <c r="A17" s="1" t="s">
        <v>98</v>
      </c>
      <c r="B17" s="42">
        <f t="shared" ref="B17:AE17" si="3">COUNTIF(B7:B16,"غ")+COUNTIF(B7:B16,"نصف")*0.5</f>
        <v>0</v>
      </c>
      <c r="C17" s="42">
        <f t="shared" si="3"/>
        <v>0</v>
      </c>
      <c r="D17" s="42">
        <f t="shared" si="3"/>
        <v>0</v>
      </c>
      <c r="E17" s="42">
        <f t="shared" si="3"/>
        <v>0</v>
      </c>
      <c r="F17" s="42">
        <f t="shared" si="3"/>
        <v>0</v>
      </c>
      <c r="G17" s="42">
        <f t="shared" si="3"/>
        <v>0</v>
      </c>
      <c r="H17" s="42">
        <f t="shared" si="3"/>
        <v>0</v>
      </c>
      <c r="I17" s="42">
        <f t="shared" si="3"/>
        <v>0</v>
      </c>
      <c r="J17" s="42">
        <f t="shared" si="3"/>
        <v>0</v>
      </c>
      <c r="K17" s="42">
        <f t="shared" si="3"/>
        <v>0</v>
      </c>
      <c r="L17" s="42">
        <f t="shared" si="3"/>
        <v>0</v>
      </c>
      <c r="M17" s="42">
        <f t="shared" si="3"/>
        <v>0</v>
      </c>
      <c r="N17" s="42">
        <f t="shared" si="3"/>
        <v>0</v>
      </c>
      <c r="O17" s="42">
        <f t="shared" si="3"/>
        <v>0</v>
      </c>
      <c r="P17" s="42">
        <f t="shared" si="3"/>
        <v>0</v>
      </c>
      <c r="Q17" s="42">
        <f t="shared" si="3"/>
        <v>0</v>
      </c>
      <c r="R17" s="42">
        <f t="shared" si="3"/>
        <v>0</v>
      </c>
      <c r="S17" s="42">
        <f t="shared" si="3"/>
        <v>0</v>
      </c>
      <c r="T17" s="42">
        <f t="shared" si="3"/>
        <v>0</v>
      </c>
      <c r="U17" s="42">
        <f t="shared" si="3"/>
        <v>0</v>
      </c>
      <c r="V17" s="42">
        <f t="shared" si="3"/>
        <v>0</v>
      </c>
      <c r="W17" s="42">
        <f t="shared" si="3"/>
        <v>0</v>
      </c>
      <c r="X17" s="42">
        <f t="shared" si="3"/>
        <v>0</v>
      </c>
      <c r="Y17" s="42">
        <f t="shared" si="3"/>
        <v>0</v>
      </c>
      <c r="Z17" s="42">
        <f t="shared" si="3"/>
        <v>0</v>
      </c>
      <c r="AA17" s="42">
        <f t="shared" si="3"/>
        <v>0</v>
      </c>
      <c r="AB17" s="42">
        <f t="shared" si="3"/>
        <v>0</v>
      </c>
      <c r="AC17" s="42">
        <f t="shared" si="3"/>
        <v>0</v>
      </c>
      <c r="AD17" s="42">
        <f t="shared" si="3"/>
        <v>0</v>
      </c>
      <c r="AE17" s="42">
        <f t="shared" si="3"/>
        <v>0</v>
      </c>
      <c r="AF17" s="43">
        <f>SUM(AF7:AF16)</f>
        <v>0</v>
      </c>
      <c r="AG17" s="43">
        <f>SUM(AG7:AG16)</f>
        <v>0</v>
      </c>
      <c r="AH17" s="43">
        <f>SUM(AH7:AH16)</f>
        <v>0</v>
      </c>
      <c r="AI17" s="44">
        <f>SUM(AI7:AI16)</f>
        <v>0</v>
      </c>
      <c r="AJ17" s="45"/>
      <c r="AK17" s="44">
        <f>SUM(AK7:AK16)</f>
        <v>0</v>
      </c>
      <c r="AL17" s="44">
        <f>SUM(AL7:AL16)</f>
        <v>15300000</v>
      </c>
    </row>
    <row r="18" spans="1:38" ht="9.75" customHeight="1" x14ac:dyDescent="0.25"/>
    <row r="19" spans="1:38" ht="31.5" customHeight="1" x14ac:dyDescent="0.25">
      <c r="A19" s="50" t="s">
        <v>99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</row>
    <row r="20" spans="1:38" ht="27.75" customHeight="1" x14ac:dyDescent="0.25">
      <c r="A20" s="1" t="s">
        <v>2</v>
      </c>
      <c r="B20" s="1" t="s">
        <v>3</v>
      </c>
      <c r="C20" s="1" t="s">
        <v>63</v>
      </c>
      <c r="D20" s="1" t="s">
        <v>64</v>
      </c>
      <c r="E20" s="1" t="s">
        <v>65</v>
      </c>
      <c r="F20" s="1" t="s">
        <v>66</v>
      </c>
      <c r="G20" s="1" t="s">
        <v>67</v>
      </c>
      <c r="H20" s="1" t="s">
        <v>68</v>
      </c>
      <c r="I20" s="1" t="s">
        <v>69</v>
      </c>
    </row>
    <row r="21" spans="1:38" ht="24" customHeight="1" x14ac:dyDescent="0.25">
      <c r="A21" s="2">
        <v>1</v>
      </c>
      <c r="B21" s="3" t="str">
        <f>'بيانات الموظفين'!B5</f>
        <v xml:space="preserve">أبو بكر </v>
      </c>
      <c r="C21" s="4">
        <f>IF('بيانات الموظفين'!C5="","-",'بيانات الموظفين'!C5)</f>
        <v>7000000</v>
      </c>
      <c r="D21" s="46">
        <f t="shared" ref="D21:D30" si="4">AF7</f>
        <v>0</v>
      </c>
      <c r="E21" s="47">
        <f t="shared" ref="E21:E30" si="5">AG7</f>
        <v>0</v>
      </c>
      <c r="F21" s="6">
        <f t="shared" ref="F21:F30" si="6">AK7</f>
        <v>0</v>
      </c>
      <c r="G21" s="48">
        <f t="shared" ref="G21:G30" si="7">AH7</f>
        <v>0</v>
      </c>
      <c r="H21" s="38" t="str">
        <f t="shared" ref="H21:H30" si="8">AI7</f>
        <v>-</v>
      </c>
      <c r="I21" s="40">
        <f t="shared" ref="I21:I30" si="9">AL7</f>
        <v>7000000</v>
      </c>
    </row>
    <row r="22" spans="1:38" ht="24" customHeight="1" x14ac:dyDescent="0.25">
      <c r="A22" s="8">
        <v>2</v>
      </c>
      <c r="B22" s="3" t="str">
        <f>'بيانات الموظفين'!B6</f>
        <v>هيثم صمادي</v>
      </c>
      <c r="C22" s="9">
        <f>IF('بيانات الموظفين'!C6="","-",'بيانات الموظفين'!C6)</f>
        <v>3000000</v>
      </c>
      <c r="D22" s="46">
        <f t="shared" si="4"/>
        <v>0</v>
      </c>
      <c r="E22" s="47">
        <f t="shared" si="5"/>
        <v>0</v>
      </c>
      <c r="F22" s="6">
        <f t="shared" si="6"/>
        <v>0</v>
      </c>
      <c r="G22" s="48">
        <f t="shared" si="7"/>
        <v>0</v>
      </c>
      <c r="H22" s="38" t="str">
        <f t="shared" si="8"/>
        <v>-</v>
      </c>
      <c r="I22" s="40">
        <f t="shared" si="9"/>
        <v>3000000</v>
      </c>
    </row>
    <row r="23" spans="1:38" ht="24" customHeight="1" x14ac:dyDescent="0.25">
      <c r="A23" s="2">
        <v>3</v>
      </c>
      <c r="B23" s="3" t="str">
        <f>'بيانات الموظفين'!B7</f>
        <v>حسام كبريتة</v>
      </c>
      <c r="C23" s="4">
        <f>IF('بيانات الموظفين'!C7="","-",'بيانات الموظفين'!C7)</f>
        <v>2500000</v>
      </c>
      <c r="D23" s="46">
        <f t="shared" si="4"/>
        <v>0</v>
      </c>
      <c r="E23" s="47">
        <f t="shared" si="5"/>
        <v>0</v>
      </c>
      <c r="F23" s="6">
        <f t="shared" si="6"/>
        <v>0</v>
      </c>
      <c r="G23" s="48">
        <f t="shared" si="7"/>
        <v>0</v>
      </c>
      <c r="H23" s="38" t="str">
        <f t="shared" si="8"/>
        <v>-</v>
      </c>
      <c r="I23" s="40">
        <f t="shared" si="9"/>
        <v>2500000</v>
      </c>
    </row>
    <row r="24" spans="1:38" ht="24" customHeight="1" x14ac:dyDescent="0.25">
      <c r="A24" s="8">
        <v>4</v>
      </c>
      <c r="B24" s="3" t="str">
        <f>'بيانات الموظفين'!B8</f>
        <v>انس المنسي</v>
      </c>
      <c r="C24" s="9">
        <f>IF('بيانات الموظفين'!C8="","-",'بيانات الموظفين'!C8)</f>
        <v>800000</v>
      </c>
      <c r="D24" s="46">
        <f t="shared" si="4"/>
        <v>0</v>
      </c>
      <c r="E24" s="47">
        <f t="shared" si="5"/>
        <v>0</v>
      </c>
      <c r="F24" s="6">
        <f t="shared" si="6"/>
        <v>0</v>
      </c>
      <c r="G24" s="48">
        <f t="shared" si="7"/>
        <v>0</v>
      </c>
      <c r="H24" s="38" t="str">
        <f t="shared" si="8"/>
        <v>-</v>
      </c>
      <c r="I24" s="40">
        <f t="shared" si="9"/>
        <v>800000</v>
      </c>
    </row>
    <row r="25" spans="1:38" ht="24" customHeight="1" x14ac:dyDescent="0.25">
      <c r="A25" s="2">
        <v>5</v>
      </c>
      <c r="B25" s="3" t="str">
        <f>'بيانات الموظفين'!B9</f>
        <v>عمار مجيد</v>
      </c>
      <c r="C25" s="4">
        <f>IF('بيانات الموظفين'!C9="","-",'بيانات الموظفين'!C9)</f>
        <v>2000000</v>
      </c>
      <c r="D25" s="46">
        <f t="shared" si="4"/>
        <v>0</v>
      </c>
      <c r="E25" s="47">
        <f t="shared" si="5"/>
        <v>0</v>
      </c>
      <c r="F25" s="6">
        <f t="shared" si="6"/>
        <v>0</v>
      </c>
      <c r="G25" s="48">
        <f t="shared" si="7"/>
        <v>0</v>
      </c>
      <c r="H25" s="38" t="str">
        <f t="shared" si="8"/>
        <v>-</v>
      </c>
      <c r="I25" s="40">
        <f t="shared" si="9"/>
        <v>2000000</v>
      </c>
    </row>
    <row r="26" spans="1:38" ht="24" customHeight="1" x14ac:dyDescent="0.25">
      <c r="A26" s="8">
        <v>6</v>
      </c>
      <c r="B26" s="3">
        <f>'بيانات الموظفين'!B10</f>
        <v>0</v>
      </c>
      <c r="C26" s="9" t="str">
        <f>IF('بيانات الموظفين'!C10="","-",'بيانات الموظفين'!C10)</f>
        <v>-</v>
      </c>
      <c r="D26" s="46">
        <f t="shared" si="4"/>
        <v>0</v>
      </c>
      <c r="E26" s="47">
        <f t="shared" si="5"/>
        <v>0</v>
      </c>
      <c r="F26" s="6" t="str">
        <f t="shared" si="6"/>
        <v>-</v>
      </c>
      <c r="G26" s="48">
        <f t="shared" si="7"/>
        <v>0</v>
      </c>
      <c r="H26" s="38" t="str">
        <f t="shared" si="8"/>
        <v>-</v>
      </c>
      <c r="I26" s="40" t="str">
        <f t="shared" si="9"/>
        <v>-</v>
      </c>
    </row>
    <row r="27" spans="1:38" ht="24" customHeight="1" x14ac:dyDescent="0.25">
      <c r="A27" s="2">
        <v>7</v>
      </c>
      <c r="B27" s="3">
        <f>'بيانات الموظفين'!B11</f>
        <v>0</v>
      </c>
      <c r="C27" s="4" t="str">
        <f>IF('بيانات الموظفين'!C11="","-",'بيانات الموظفين'!C11)</f>
        <v>-</v>
      </c>
      <c r="D27" s="46">
        <f t="shared" si="4"/>
        <v>0</v>
      </c>
      <c r="E27" s="47">
        <f t="shared" si="5"/>
        <v>0</v>
      </c>
      <c r="F27" s="6" t="str">
        <f t="shared" si="6"/>
        <v>-</v>
      </c>
      <c r="G27" s="48">
        <f t="shared" si="7"/>
        <v>0</v>
      </c>
      <c r="H27" s="38" t="str">
        <f t="shared" si="8"/>
        <v>-</v>
      </c>
      <c r="I27" s="40" t="str">
        <f t="shared" si="9"/>
        <v>-</v>
      </c>
    </row>
    <row r="28" spans="1:38" ht="24" customHeight="1" x14ac:dyDescent="0.25">
      <c r="A28" s="8">
        <v>8</v>
      </c>
      <c r="B28" s="3">
        <f>'بيانات الموظفين'!B12</f>
        <v>0</v>
      </c>
      <c r="C28" s="9" t="str">
        <f>IF('بيانات الموظفين'!C12="","-",'بيانات الموظفين'!C12)</f>
        <v>-</v>
      </c>
      <c r="D28" s="46">
        <f t="shared" si="4"/>
        <v>0</v>
      </c>
      <c r="E28" s="47">
        <f t="shared" si="5"/>
        <v>0</v>
      </c>
      <c r="F28" s="6" t="str">
        <f t="shared" si="6"/>
        <v>-</v>
      </c>
      <c r="G28" s="48">
        <f t="shared" si="7"/>
        <v>0</v>
      </c>
      <c r="H28" s="38" t="str">
        <f t="shared" si="8"/>
        <v>-</v>
      </c>
      <c r="I28" s="40" t="str">
        <f t="shared" si="9"/>
        <v>-</v>
      </c>
    </row>
    <row r="29" spans="1:38" ht="24" customHeight="1" x14ac:dyDescent="0.25">
      <c r="A29" s="2">
        <v>9</v>
      </c>
      <c r="B29" s="3">
        <f>'بيانات الموظفين'!B13</f>
        <v>0</v>
      </c>
      <c r="C29" s="4" t="str">
        <f>IF('بيانات الموظفين'!C13="","-",'بيانات الموظفين'!C13)</f>
        <v>-</v>
      </c>
      <c r="D29" s="46">
        <f t="shared" si="4"/>
        <v>0</v>
      </c>
      <c r="E29" s="47">
        <f t="shared" si="5"/>
        <v>0</v>
      </c>
      <c r="F29" s="6" t="str">
        <f t="shared" si="6"/>
        <v>-</v>
      </c>
      <c r="G29" s="48">
        <f t="shared" si="7"/>
        <v>0</v>
      </c>
      <c r="H29" s="38" t="str">
        <f t="shared" si="8"/>
        <v>-</v>
      </c>
      <c r="I29" s="40" t="str">
        <f t="shared" si="9"/>
        <v>-</v>
      </c>
    </row>
    <row r="30" spans="1:38" ht="24" customHeight="1" x14ac:dyDescent="0.25">
      <c r="A30" s="8">
        <v>10</v>
      </c>
      <c r="B30" s="3">
        <f>'بيانات الموظفين'!B14</f>
        <v>0</v>
      </c>
      <c r="C30" s="9" t="str">
        <f>IF('بيانات الموظفين'!C14="","-",'بيانات الموظفين'!C14)</f>
        <v>-</v>
      </c>
      <c r="D30" s="46">
        <f t="shared" si="4"/>
        <v>0</v>
      </c>
      <c r="E30" s="47">
        <f t="shared" si="5"/>
        <v>0</v>
      </c>
      <c r="F30" s="6" t="str">
        <f t="shared" si="6"/>
        <v>-</v>
      </c>
      <c r="G30" s="48">
        <f t="shared" si="7"/>
        <v>0</v>
      </c>
      <c r="H30" s="38" t="str">
        <f t="shared" si="8"/>
        <v>-</v>
      </c>
      <c r="I30" s="40" t="str">
        <f t="shared" si="9"/>
        <v>-</v>
      </c>
    </row>
    <row r="31" spans="1:38" ht="27.75" customHeight="1" x14ac:dyDescent="0.25">
      <c r="A31" s="51" t="s">
        <v>19</v>
      </c>
      <c r="B31" s="51"/>
      <c r="C31" s="11">
        <f t="shared" ref="C31:I31" si="10">SUM(C21:C30)</f>
        <v>15300000</v>
      </c>
      <c r="D31" s="49">
        <f t="shared" si="10"/>
        <v>0</v>
      </c>
      <c r="E31" s="49">
        <f t="shared" si="10"/>
        <v>0</v>
      </c>
      <c r="F31" s="12">
        <f t="shared" si="10"/>
        <v>0</v>
      </c>
      <c r="G31" s="49">
        <f t="shared" si="10"/>
        <v>0</v>
      </c>
      <c r="H31" s="12">
        <f t="shared" si="10"/>
        <v>0</v>
      </c>
      <c r="I31" s="12">
        <f t="shared" si="10"/>
        <v>15300000</v>
      </c>
    </row>
  </sheetData>
  <mergeCells count="12">
    <mergeCell ref="A19:AL19"/>
    <mergeCell ref="A31:B31"/>
    <mergeCell ref="A1:AL1"/>
    <mergeCell ref="A2:AL2"/>
    <mergeCell ref="A4:A5"/>
    <mergeCell ref="AF4:AF5"/>
    <mergeCell ref="AG4:AG5"/>
    <mergeCell ref="AH4:AH5"/>
    <mergeCell ref="AI4:AI5"/>
    <mergeCell ref="AJ4:AJ5"/>
    <mergeCell ref="AK4:AK5"/>
    <mergeCell ref="AL4:AL5"/>
  </mergeCells>
  <pageMargins left="0.75" right="0.75" top="1" bottom="1" header="0.511811023622047" footer="0.511811023622047"/>
  <pageSetup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M31"/>
  <sheetViews>
    <sheetView rightToLeft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AM1"/>
    </sheetView>
  </sheetViews>
  <sheetFormatPr defaultColWidth="8.7109375" defaultRowHeight="15" x14ac:dyDescent="0.25"/>
  <cols>
    <col min="1" max="1" width="26" customWidth="1"/>
    <col min="2" max="32" width="10" customWidth="1"/>
    <col min="33" max="39" width="15" customWidth="1"/>
  </cols>
  <sheetData>
    <row r="1" spans="1:39" ht="36" customHeight="1" x14ac:dyDescent="0.25">
      <c r="A1" s="52" t="s">
        <v>100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</row>
    <row r="2" spans="1:39" ht="18" customHeight="1" x14ac:dyDescent="0.25">
      <c r="A2" s="53" t="s">
        <v>46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</row>
    <row r="3" spans="1:39" ht="6" customHeight="1" x14ac:dyDescent="0.25"/>
    <row r="4" spans="1:39" ht="30" customHeight="1" x14ac:dyDescent="0.25">
      <c r="A4" s="54" t="s">
        <v>3</v>
      </c>
      <c r="B4" s="29" t="s">
        <v>52</v>
      </c>
      <c r="C4" s="29" t="s">
        <v>53</v>
      </c>
      <c r="D4" s="29" t="s">
        <v>47</v>
      </c>
      <c r="E4" s="30" t="s">
        <v>48</v>
      </c>
      <c r="F4" s="29" t="s">
        <v>49</v>
      </c>
      <c r="G4" s="29" t="s">
        <v>50</v>
      </c>
      <c r="H4" s="29" t="s">
        <v>51</v>
      </c>
      <c r="I4" s="29" t="s">
        <v>52</v>
      </c>
      <c r="J4" s="29" t="s">
        <v>53</v>
      </c>
      <c r="K4" s="29" t="s">
        <v>47</v>
      </c>
      <c r="L4" s="30" t="s">
        <v>48</v>
      </c>
      <c r="M4" s="29" t="s">
        <v>49</v>
      </c>
      <c r="N4" s="29" t="s">
        <v>50</v>
      </c>
      <c r="O4" s="29" t="s">
        <v>51</v>
      </c>
      <c r="P4" s="29" t="s">
        <v>52</v>
      </c>
      <c r="Q4" s="29" t="s">
        <v>53</v>
      </c>
      <c r="R4" s="29" t="s">
        <v>47</v>
      </c>
      <c r="S4" s="30" t="s">
        <v>48</v>
      </c>
      <c r="T4" s="29" t="s">
        <v>49</v>
      </c>
      <c r="U4" s="29" t="s">
        <v>50</v>
      </c>
      <c r="V4" s="29" t="s">
        <v>51</v>
      </c>
      <c r="W4" s="29" t="s">
        <v>52</v>
      </c>
      <c r="X4" s="29" t="s">
        <v>53</v>
      </c>
      <c r="Y4" s="29" t="s">
        <v>47</v>
      </c>
      <c r="Z4" s="30" t="s">
        <v>48</v>
      </c>
      <c r="AA4" s="29" t="s">
        <v>49</v>
      </c>
      <c r="AB4" s="29" t="s">
        <v>50</v>
      </c>
      <c r="AC4" s="29" t="s">
        <v>51</v>
      </c>
      <c r="AD4" s="29" t="s">
        <v>52</v>
      </c>
      <c r="AE4" s="29" t="s">
        <v>53</v>
      </c>
      <c r="AF4" s="29" t="s">
        <v>47</v>
      </c>
      <c r="AG4" s="55" t="s">
        <v>54</v>
      </c>
      <c r="AH4" s="56" t="s">
        <v>55</v>
      </c>
      <c r="AI4" s="57" t="s">
        <v>56</v>
      </c>
      <c r="AJ4" s="58" t="s">
        <v>57</v>
      </c>
      <c r="AK4" s="59" t="s">
        <v>58</v>
      </c>
      <c r="AL4" s="60" t="s">
        <v>59</v>
      </c>
      <c r="AM4" s="59" t="s">
        <v>60</v>
      </c>
    </row>
    <row r="5" spans="1:39" ht="19.5" customHeight="1" x14ac:dyDescent="0.25">
      <c r="A5" s="54"/>
      <c r="B5" s="31">
        <v>1</v>
      </c>
      <c r="C5" s="31">
        <v>2</v>
      </c>
      <c r="D5" s="31">
        <v>3</v>
      </c>
      <c r="E5" s="32">
        <v>4</v>
      </c>
      <c r="F5" s="31">
        <v>5</v>
      </c>
      <c r="G5" s="31">
        <v>6</v>
      </c>
      <c r="H5" s="31">
        <v>7</v>
      </c>
      <c r="I5" s="31">
        <v>8</v>
      </c>
      <c r="J5" s="31">
        <v>9</v>
      </c>
      <c r="K5" s="31">
        <v>10</v>
      </c>
      <c r="L5" s="32">
        <v>11</v>
      </c>
      <c r="M5" s="31">
        <v>12</v>
      </c>
      <c r="N5" s="31">
        <v>13</v>
      </c>
      <c r="O5" s="31">
        <v>14</v>
      </c>
      <c r="P5" s="31">
        <v>15</v>
      </c>
      <c r="Q5" s="31">
        <v>16</v>
      </c>
      <c r="R5" s="31">
        <v>17</v>
      </c>
      <c r="S5" s="32">
        <v>18</v>
      </c>
      <c r="T5" s="31">
        <v>19</v>
      </c>
      <c r="U5" s="31">
        <v>20</v>
      </c>
      <c r="V5" s="31">
        <v>21</v>
      </c>
      <c r="W5" s="31">
        <v>22</v>
      </c>
      <c r="X5" s="31">
        <v>23</v>
      </c>
      <c r="Y5" s="31">
        <v>24</v>
      </c>
      <c r="Z5" s="32">
        <v>25</v>
      </c>
      <c r="AA5" s="31">
        <v>26</v>
      </c>
      <c r="AB5" s="31">
        <v>27</v>
      </c>
      <c r="AC5" s="31">
        <v>28</v>
      </c>
      <c r="AD5" s="31">
        <v>29</v>
      </c>
      <c r="AE5" s="31">
        <v>30</v>
      </c>
      <c r="AF5" s="31">
        <v>31</v>
      </c>
      <c r="AG5" s="55"/>
      <c r="AH5" s="55"/>
      <c r="AI5" s="55"/>
      <c r="AJ5" s="55"/>
      <c r="AK5" s="55"/>
      <c r="AL5" s="55"/>
      <c r="AM5" s="55"/>
    </row>
    <row r="6" spans="1:39" ht="4.5" customHeight="1" x14ac:dyDescent="0.25"/>
    <row r="7" spans="1:39" ht="25.5" customHeight="1" x14ac:dyDescent="0.25">
      <c r="A7" s="3" t="str">
        <f>'بيانات الموظفين'!B5</f>
        <v xml:space="preserve">أبو بكر </v>
      </c>
      <c r="B7" s="33"/>
      <c r="C7" s="33"/>
      <c r="D7" s="33"/>
      <c r="E7" s="34"/>
      <c r="F7" s="33"/>
      <c r="G7" s="33"/>
      <c r="H7" s="33"/>
      <c r="I7" s="33"/>
      <c r="J7" s="33"/>
      <c r="K7" s="33"/>
      <c r="L7" s="34"/>
      <c r="M7" s="33"/>
      <c r="N7" s="33"/>
      <c r="O7" s="33"/>
      <c r="P7" s="33"/>
      <c r="Q7" s="33"/>
      <c r="R7" s="33"/>
      <c r="S7" s="34"/>
      <c r="T7" s="33"/>
      <c r="U7" s="33"/>
      <c r="V7" s="33"/>
      <c r="W7" s="33"/>
      <c r="X7" s="33"/>
      <c r="Y7" s="33"/>
      <c r="Z7" s="34"/>
      <c r="AA7" s="33"/>
      <c r="AB7" s="33"/>
      <c r="AC7" s="33"/>
      <c r="AD7" s="33"/>
      <c r="AE7" s="33"/>
      <c r="AF7" s="33"/>
      <c r="AG7" s="35">
        <f t="shared" ref="AG7:AG16" si="0">COUNTIF(B7:AF7,"غ")</f>
        <v>0</v>
      </c>
      <c r="AH7" s="36">
        <f t="shared" ref="AH7:AH16" si="1">COUNTIF(B7:AF7,"نصف")</f>
        <v>0</v>
      </c>
      <c r="AI7" s="37">
        <f t="shared" ref="AI7:AI16" si="2">SUMIF(B7:AF7,"&gt;"&amp;0)</f>
        <v>0</v>
      </c>
      <c r="AJ7" s="38" t="str">
        <f>IF(OR('بيانات الموظفين'!C5="",NOT(ISNUMBER('بيانات الموظفين'!G2)),AI7=0),"-",ROUND(AI7*(('بيانات الموظفين'!C5/31)/'بيانات الموظفين'!G2),2))</f>
        <v>-</v>
      </c>
      <c r="AK7" s="39">
        <f>IF('بيانات الموظفين'!C5="","-",31-AG7-AH7*0.5)</f>
        <v>31</v>
      </c>
      <c r="AL7" s="6">
        <f>IF('بيانات الموظفين'!C5="","-",ROUND(('بيانات الموظفين'!C5/31)*AG7+(('بيانات الموظفين'!C5/31)/2)*AH7,2))</f>
        <v>0</v>
      </c>
      <c r="AM7" s="40">
        <f>IF('بيانات الموظفين'!C5="","-",ROUND('بيانات الموظفين'!C5+ROUND('بيانات الموظفين'!C5/30,2)+IF(ISNUMBER(AJ7),AJ7,0)-IF(ISNUMBER(AL7),AL7,0),2))</f>
        <v>7233333.3300000001</v>
      </c>
    </row>
    <row r="8" spans="1:39" ht="25.5" customHeight="1" x14ac:dyDescent="0.25">
      <c r="A8" s="3" t="str">
        <f>'بيانات الموظفين'!B6</f>
        <v>هيثم صمادي</v>
      </c>
      <c r="B8" s="41"/>
      <c r="C8" s="41"/>
      <c r="D8" s="41"/>
      <c r="E8" s="34"/>
      <c r="F8" s="41"/>
      <c r="G8" s="41"/>
      <c r="H8" s="41"/>
      <c r="I8" s="41"/>
      <c r="J8" s="41"/>
      <c r="K8" s="41"/>
      <c r="L8" s="34"/>
      <c r="M8" s="41"/>
      <c r="N8" s="41"/>
      <c r="O8" s="41"/>
      <c r="P8" s="41"/>
      <c r="Q8" s="41"/>
      <c r="R8" s="41"/>
      <c r="S8" s="34"/>
      <c r="T8" s="41"/>
      <c r="U8" s="41"/>
      <c r="V8" s="41"/>
      <c r="W8" s="41"/>
      <c r="X8" s="41"/>
      <c r="Y8" s="41"/>
      <c r="Z8" s="34"/>
      <c r="AA8" s="41"/>
      <c r="AB8" s="41"/>
      <c r="AC8" s="41"/>
      <c r="AD8" s="41"/>
      <c r="AE8" s="41"/>
      <c r="AF8" s="41"/>
      <c r="AG8" s="35">
        <f t="shared" si="0"/>
        <v>0</v>
      </c>
      <c r="AH8" s="36">
        <f t="shared" si="1"/>
        <v>0</v>
      </c>
      <c r="AI8" s="37">
        <f t="shared" si="2"/>
        <v>0</v>
      </c>
      <c r="AJ8" s="38" t="str">
        <f>IF(OR('بيانات الموظفين'!C6="",NOT(ISNUMBER('بيانات الموظفين'!G2)),AI8=0),"-",ROUND(AI8*(('بيانات الموظفين'!C6/31)/'بيانات الموظفين'!G2),2))</f>
        <v>-</v>
      </c>
      <c r="AK8" s="39">
        <f>IF('بيانات الموظفين'!C6="","-",31-AG8-AH8*0.5)</f>
        <v>31</v>
      </c>
      <c r="AL8" s="6">
        <f>IF('بيانات الموظفين'!C6="","-",ROUND(('بيانات الموظفين'!C6/31)*AG8+(('بيانات الموظفين'!C6/31)/2)*AH8,2))</f>
        <v>0</v>
      </c>
      <c r="AM8" s="40">
        <f>IF('بيانات الموظفين'!C6="","-",ROUND('بيانات الموظفين'!C6+ROUND('بيانات الموظفين'!C6/30,2)+IF(ISNUMBER(AJ8),AJ8,0)-IF(ISNUMBER(AL8),AL8,0),2))</f>
        <v>3100000</v>
      </c>
    </row>
    <row r="9" spans="1:39" ht="25.5" customHeight="1" x14ac:dyDescent="0.25">
      <c r="A9" s="3" t="str">
        <f>'بيانات الموظفين'!B7</f>
        <v>حسام كبريتة</v>
      </c>
      <c r="B9" s="33"/>
      <c r="C9" s="33"/>
      <c r="D9" s="33"/>
      <c r="E9" s="34"/>
      <c r="F9" s="33"/>
      <c r="G9" s="33"/>
      <c r="H9" s="33"/>
      <c r="I9" s="33"/>
      <c r="J9" s="33"/>
      <c r="K9" s="33"/>
      <c r="L9" s="34"/>
      <c r="M9" s="33"/>
      <c r="N9" s="33"/>
      <c r="O9" s="33"/>
      <c r="P9" s="33"/>
      <c r="Q9" s="33"/>
      <c r="R9" s="33"/>
      <c r="S9" s="34"/>
      <c r="T9" s="33"/>
      <c r="U9" s="33"/>
      <c r="V9" s="33"/>
      <c r="W9" s="33"/>
      <c r="X9" s="33"/>
      <c r="Y9" s="33"/>
      <c r="Z9" s="34"/>
      <c r="AA9" s="33"/>
      <c r="AB9" s="33"/>
      <c r="AC9" s="33"/>
      <c r="AD9" s="33"/>
      <c r="AE9" s="33"/>
      <c r="AF9" s="33"/>
      <c r="AG9" s="35">
        <f t="shared" si="0"/>
        <v>0</v>
      </c>
      <c r="AH9" s="36">
        <f t="shared" si="1"/>
        <v>0</v>
      </c>
      <c r="AI9" s="37">
        <f t="shared" si="2"/>
        <v>0</v>
      </c>
      <c r="AJ9" s="38" t="str">
        <f>IF(OR('بيانات الموظفين'!C7="",NOT(ISNUMBER('بيانات الموظفين'!G2)),AI9=0),"-",ROUND(AI9*(('بيانات الموظفين'!C7/31)/'بيانات الموظفين'!G2),2))</f>
        <v>-</v>
      </c>
      <c r="AK9" s="39">
        <f>IF('بيانات الموظفين'!C7="","-",31-AG9-AH9*0.5)</f>
        <v>31</v>
      </c>
      <c r="AL9" s="6">
        <f>IF('بيانات الموظفين'!C7="","-",ROUND(('بيانات الموظفين'!C7/31)*AG9+(('بيانات الموظفين'!C7/31)/2)*AH9,2))</f>
        <v>0</v>
      </c>
      <c r="AM9" s="40">
        <f>IF('بيانات الموظفين'!C7="","-",ROUND('بيانات الموظفين'!C7+ROUND('بيانات الموظفين'!C7/30,2)+IF(ISNUMBER(AJ9),AJ9,0)-IF(ISNUMBER(AL9),AL9,0),2))</f>
        <v>2583333.33</v>
      </c>
    </row>
    <row r="10" spans="1:39" ht="25.5" customHeight="1" x14ac:dyDescent="0.25">
      <c r="A10" s="3" t="str">
        <f>'بيانات الموظفين'!B8</f>
        <v>انس المنسي</v>
      </c>
      <c r="B10" s="41"/>
      <c r="C10" s="41"/>
      <c r="D10" s="41"/>
      <c r="E10" s="34"/>
      <c r="F10" s="41"/>
      <c r="G10" s="41"/>
      <c r="H10" s="41"/>
      <c r="I10" s="41"/>
      <c r="J10" s="41"/>
      <c r="K10" s="41"/>
      <c r="L10" s="34"/>
      <c r="M10" s="41"/>
      <c r="N10" s="41"/>
      <c r="O10" s="41"/>
      <c r="P10" s="41"/>
      <c r="Q10" s="41"/>
      <c r="R10" s="41"/>
      <c r="S10" s="34"/>
      <c r="T10" s="41"/>
      <c r="U10" s="41"/>
      <c r="V10" s="41"/>
      <c r="W10" s="41"/>
      <c r="X10" s="41"/>
      <c r="Y10" s="41"/>
      <c r="Z10" s="34"/>
      <c r="AA10" s="41"/>
      <c r="AB10" s="41"/>
      <c r="AC10" s="41"/>
      <c r="AD10" s="41"/>
      <c r="AE10" s="41"/>
      <c r="AF10" s="41"/>
      <c r="AG10" s="35">
        <f t="shared" si="0"/>
        <v>0</v>
      </c>
      <c r="AH10" s="36">
        <f t="shared" si="1"/>
        <v>0</v>
      </c>
      <c r="AI10" s="37">
        <f t="shared" si="2"/>
        <v>0</v>
      </c>
      <c r="AJ10" s="38" t="str">
        <f>IF(OR('بيانات الموظفين'!C8="",NOT(ISNUMBER('بيانات الموظفين'!G2)),AI10=0),"-",ROUND(AI10*(('بيانات الموظفين'!C8/31)/'بيانات الموظفين'!G2),2))</f>
        <v>-</v>
      </c>
      <c r="AK10" s="39">
        <f>IF('بيانات الموظفين'!C8="","-",31-AG10-AH10*0.5)</f>
        <v>31</v>
      </c>
      <c r="AL10" s="6">
        <f>IF('بيانات الموظفين'!C8="","-",ROUND(('بيانات الموظفين'!C8/31)*AG10+(('بيانات الموظفين'!C8/31)/2)*AH10,2))</f>
        <v>0</v>
      </c>
      <c r="AM10" s="40">
        <f>IF('بيانات الموظفين'!C8="","-",ROUND('بيانات الموظفين'!C8+ROUND('بيانات الموظفين'!C8/30,2)+IF(ISNUMBER(AJ10),AJ10,0)-IF(ISNUMBER(AL10),AL10,0),2))</f>
        <v>826666.67</v>
      </c>
    </row>
    <row r="11" spans="1:39" ht="25.5" customHeight="1" x14ac:dyDescent="0.25">
      <c r="A11" s="3" t="str">
        <f>'بيانات الموظفين'!B9</f>
        <v>عمار مجيد</v>
      </c>
      <c r="B11" s="33"/>
      <c r="C11" s="33"/>
      <c r="D11" s="33"/>
      <c r="E11" s="34"/>
      <c r="F11" s="33"/>
      <c r="G11" s="33"/>
      <c r="H11" s="33"/>
      <c r="I11" s="33"/>
      <c r="J11" s="33"/>
      <c r="K11" s="33"/>
      <c r="L11" s="34"/>
      <c r="M11" s="33"/>
      <c r="N11" s="33"/>
      <c r="O11" s="33"/>
      <c r="P11" s="33"/>
      <c r="Q11" s="33"/>
      <c r="R11" s="33"/>
      <c r="S11" s="34"/>
      <c r="T11" s="33"/>
      <c r="U11" s="33"/>
      <c r="V11" s="33"/>
      <c r="W11" s="33"/>
      <c r="X11" s="33"/>
      <c r="Y11" s="33"/>
      <c r="Z11" s="34"/>
      <c r="AA11" s="33"/>
      <c r="AB11" s="33"/>
      <c r="AC11" s="33"/>
      <c r="AD11" s="33"/>
      <c r="AE11" s="33"/>
      <c r="AF11" s="33"/>
      <c r="AG11" s="35">
        <f t="shared" si="0"/>
        <v>0</v>
      </c>
      <c r="AH11" s="36">
        <f t="shared" si="1"/>
        <v>0</v>
      </c>
      <c r="AI11" s="37">
        <f t="shared" si="2"/>
        <v>0</v>
      </c>
      <c r="AJ11" s="38" t="str">
        <f>IF(OR('بيانات الموظفين'!C9="",NOT(ISNUMBER('بيانات الموظفين'!G2)),AI11=0),"-",ROUND(AI11*(('بيانات الموظفين'!C9/31)/'بيانات الموظفين'!G2),2))</f>
        <v>-</v>
      </c>
      <c r="AK11" s="39">
        <f>IF('بيانات الموظفين'!C9="","-",31-AG11-AH11*0.5)</f>
        <v>31</v>
      </c>
      <c r="AL11" s="6">
        <f>IF('بيانات الموظفين'!C9="","-",ROUND(('بيانات الموظفين'!C9/31)*AG11+(('بيانات الموظفين'!C9/31)/2)*AH11,2))</f>
        <v>0</v>
      </c>
      <c r="AM11" s="40">
        <f>IF('بيانات الموظفين'!C9="","-",ROUND('بيانات الموظفين'!C9+ROUND('بيانات الموظفين'!C9/30,2)+IF(ISNUMBER(AJ11),AJ11,0)-IF(ISNUMBER(AL11),AL11,0),2))</f>
        <v>2066666.67</v>
      </c>
    </row>
    <row r="12" spans="1:39" ht="25.5" customHeight="1" x14ac:dyDescent="0.25">
      <c r="A12" s="3">
        <f>'بيانات الموظفين'!B10</f>
        <v>0</v>
      </c>
      <c r="B12" s="41"/>
      <c r="C12" s="41"/>
      <c r="D12" s="41"/>
      <c r="E12" s="34"/>
      <c r="F12" s="41"/>
      <c r="G12" s="41"/>
      <c r="H12" s="41"/>
      <c r="I12" s="41"/>
      <c r="J12" s="41"/>
      <c r="K12" s="41"/>
      <c r="L12" s="34"/>
      <c r="M12" s="41"/>
      <c r="N12" s="41"/>
      <c r="O12" s="41"/>
      <c r="P12" s="41"/>
      <c r="Q12" s="41"/>
      <c r="R12" s="41"/>
      <c r="S12" s="34"/>
      <c r="T12" s="41"/>
      <c r="U12" s="41"/>
      <c r="V12" s="41"/>
      <c r="W12" s="41"/>
      <c r="X12" s="41"/>
      <c r="Y12" s="41"/>
      <c r="Z12" s="34"/>
      <c r="AA12" s="41"/>
      <c r="AB12" s="41"/>
      <c r="AC12" s="41"/>
      <c r="AD12" s="41"/>
      <c r="AE12" s="41"/>
      <c r="AF12" s="41"/>
      <c r="AG12" s="35">
        <f t="shared" si="0"/>
        <v>0</v>
      </c>
      <c r="AH12" s="36">
        <f t="shared" si="1"/>
        <v>0</v>
      </c>
      <c r="AI12" s="37">
        <f t="shared" si="2"/>
        <v>0</v>
      </c>
      <c r="AJ12" s="38" t="str">
        <f>IF(OR('بيانات الموظفين'!C10="",NOT(ISNUMBER('بيانات الموظفين'!G2)),AI12=0),"-",ROUND(AI12*(('بيانات الموظفين'!C10/31)/'بيانات الموظفين'!G2),2))</f>
        <v>-</v>
      </c>
      <c r="AK12" s="39" t="str">
        <f>IF('بيانات الموظفين'!C10="","-",31-AG12-AH12*0.5)</f>
        <v>-</v>
      </c>
      <c r="AL12" s="6" t="str">
        <f>IF('بيانات الموظفين'!C10="","-",ROUND(('بيانات الموظفين'!C10/31)*AG12+(('بيانات الموظفين'!C10/31)/2)*AH12,2))</f>
        <v>-</v>
      </c>
      <c r="AM12" s="40" t="str">
        <f>IF('بيانات الموظفين'!C10="","-",ROUND('بيانات الموظفين'!C10+ROUND('بيانات الموظفين'!C10/30,2)+IF(ISNUMBER(AJ12),AJ12,0)-IF(ISNUMBER(AL12),AL12,0),2))</f>
        <v>-</v>
      </c>
    </row>
    <row r="13" spans="1:39" ht="25.5" customHeight="1" x14ac:dyDescent="0.25">
      <c r="A13" s="3">
        <f>'بيانات الموظفين'!B11</f>
        <v>0</v>
      </c>
      <c r="B13" s="33"/>
      <c r="C13" s="33"/>
      <c r="D13" s="33"/>
      <c r="E13" s="34"/>
      <c r="F13" s="33"/>
      <c r="G13" s="33"/>
      <c r="H13" s="33"/>
      <c r="I13" s="33"/>
      <c r="J13" s="33"/>
      <c r="K13" s="33"/>
      <c r="L13" s="34"/>
      <c r="M13" s="33"/>
      <c r="N13" s="33"/>
      <c r="O13" s="33"/>
      <c r="P13" s="33"/>
      <c r="Q13" s="33"/>
      <c r="R13" s="33"/>
      <c r="S13" s="34"/>
      <c r="T13" s="33"/>
      <c r="U13" s="33"/>
      <c r="V13" s="33"/>
      <c r="W13" s="33"/>
      <c r="X13" s="33"/>
      <c r="Y13" s="33"/>
      <c r="Z13" s="34"/>
      <c r="AA13" s="33"/>
      <c r="AB13" s="33"/>
      <c r="AC13" s="33"/>
      <c r="AD13" s="33"/>
      <c r="AE13" s="33"/>
      <c r="AF13" s="33"/>
      <c r="AG13" s="35">
        <f t="shared" si="0"/>
        <v>0</v>
      </c>
      <c r="AH13" s="36">
        <f t="shared" si="1"/>
        <v>0</v>
      </c>
      <c r="AI13" s="37">
        <f t="shared" si="2"/>
        <v>0</v>
      </c>
      <c r="AJ13" s="38" t="str">
        <f>IF(OR('بيانات الموظفين'!C11="",NOT(ISNUMBER('بيانات الموظفين'!G2)),AI13=0),"-",ROUND(AI13*(('بيانات الموظفين'!C11/31)/'بيانات الموظفين'!G2),2))</f>
        <v>-</v>
      </c>
      <c r="AK13" s="39" t="str">
        <f>IF('بيانات الموظفين'!C11="","-",31-AG13-AH13*0.5)</f>
        <v>-</v>
      </c>
      <c r="AL13" s="6" t="str">
        <f>IF('بيانات الموظفين'!C11="","-",ROUND(('بيانات الموظفين'!C11/31)*AG13+(('بيانات الموظفين'!C11/31)/2)*AH13,2))</f>
        <v>-</v>
      </c>
      <c r="AM13" s="40" t="str">
        <f>IF('بيانات الموظفين'!C11="","-",ROUND('بيانات الموظفين'!C11+ROUND('بيانات الموظفين'!C11/30,2)+IF(ISNUMBER(AJ13),AJ13,0)-IF(ISNUMBER(AL13),AL13,0),2))</f>
        <v>-</v>
      </c>
    </row>
    <row r="14" spans="1:39" ht="25.5" customHeight="1" x14ac:dyDescent="0.25">
      <c r="A14" s="3">
        <f>'بيانات الموظفين'!B12</f>
        <v>0</v>
      </c>
      <c r="B14" s="41"/>
      <c r="C14" s="41"/>
      <c r="D14" s="41"/>
      <c r="E14" s="34"/>
      <c r="F14" s="41"/>
      <c r="G14" s="41"/>
      <c r="H14" s="41"/>
      <c r="I14" s="41"/>
      <c r="J14" s="41"/>
      <c r="K14" s="41"/>
      <c r="L14" s="34"/>
      <c r="M14" s="41"/>
      <c r="N14" s="41"/>
      <c r="O14" s="41"/>
      <c r="P14" s="41"/>
      <c r="Q14" s="41"/>
      <c r="R14" s="41"/>
      <c r="S14" s="34"/>
      <c r="T14" s="41"/>
      <c r="U14" s="41"/>
      <c r="V14" s="41"/>
      <c r="W14" s="41"/>
      <c r="X14" s="41"/>
      <c r="Y14" s="41"/>
      <c r="Z14" s="34"/>
      <c r="AA14" s="41"/>
      <c r="AB14" s="41"/>
      <c r="AC14" s="41"/>
      <c r="AD14" s="41"/>
      <c r="AE14" s="41"/>
      <c r="AF14" s="41"/>
      <c r="AG14" s="35">
        <f t="shared" si="0"/>
        <v>0</v>
      </c>
      <c r="AH14" s="36">
        <f t="shared" si="1"/>
        <v>0</v>
      </c>
      <c r="AI14" s="37">
        <f t="shared" si="2"/>
        <v>0</v>
      </c>
      <c r="AJ14" s="38" t="str">
        <f>IF(OR('بيانات الموظفين'!C12="",NOT(ISNUMBER('بيانات الموظفين'!G2)),AI14=0),"-",ROUND(AI14*(('بيانات الموظفين'!C12/31)/'بيانات الموظفين'!G2),2))</f>
        <v>-</v>
      </c>
      <c r="AK14" s="39" t="str">
        <f>IF('بيانات الموظفين'!C12="","-",31-AG14-AH14*0.5)</f>
        <v>-</v>
      </c>
      <c r="AL14" s="6" t="str">
        <f>IF('بيانات الموظفين'!C12="","-",ROUND(('بيانات الموظفين'!C12/31)*AG14+(('بيانات الموظفين'!C12/31)/2)*AH14,2))</f>
        <v>-</v>
      </c>
      <c r="AM14" s="40" t="str">
        <f>IF('بيانات الموظفين'!C12="","-",ROUND('بيانات الموظفين'!C12+ROUND('بيانات الموظفين'!C12/30,2)+IF(ISNUMBER(AJ14),AJ14,0)-IF(ISNUMBER(AL14),AL14,0),2))</f>
        <v>-</v>
      </c>
    </row>
    <row r="15" spans="1:39" ht="25.5" customHeight="1" x14ac:dyDescent="0.25">
      <c r="A15" s="3">
        <f>'بيانات الموظفين'!B13</f>
        <v>0</v>
      </c>
      <c r="B15" s="33"/>
      <c r="C15" s="33"/>
      <c r="D15" s="33"/>
      <c r="E15" s="34"/>
      <c r="F15" s="33"/>
      <c r="G15" s="33"/>
      <c r="H15" s="33"/>
      <c r="I15" s="33"/>
      <c r="J15" s="33"/>
      <c r="K15" s="33"/>
      <c r="L15" s="34"/>
      <c r="M15" s="33"/>
      <c r="N15" s="33"/>
      <c r="O15" s="33"/>
      <c r="P15" s="33"/>
      <c r="Q15" s="33"/>
      <c r="R15" s="33"/>
      <c r="S15" s="34"/>
      <c r="T15" s="33"/>
      <c r="U15" s="33"/>
      <c r="V15" s="33"/>
      <c r="W15" s="33"/>
      <c r="X15" s="33"/>
      <c r="Y15" s="33"/>
      <c r="Z15" s="34"/>
      <c r="AA15" s="33"/>
      <c r="AB15" s="33"/>
      <c r="AC15" s="33"/>
      <c r="AD15" s="33"/>
      <c r="AE15" s="33"/>
      <c r="AF15" s="33"/>
      <c r="AG15" s="35">
        <f t="shared" si="0"/>
        <v>0</v>
      </c>
      <c r="AH15" s="36">
        <f t="shared" si="1"/>
        <v>0</v>
      </c>
      <c r="AI15" s="37">
        <f t="shared" si="2"/>
        <v>0</v>
      </c>
      <c r="AJ15" s="38" t="str">
        <f>IF(OR('بيانات الموظفين'!C13="",NOT(ISNUMBER('بيانات الموظفين'!G2)),AI15=0),"-",ROUND(AI15*(('بيانات الموظفين'!C13/31)/'بيانات الموظفين'!G2),2))</f>
        <v>-</v>
      </c>
      <c r="AK15" s="39" t="str">
        <f>IF('بيانات الموظفين'!C13="","-",31-AG15-AH15*0.5)</f>
        <v>-</v>
      </c>
      <c r="AL15" s="6" t="str">
        <f>IF('بيانات الموظفين'!C13="","-",ROUND(('بيانات الموظفين'!C13/31)*AG15+(('بيانات الموظفين'!C13/31)/2)*AH15,2))</f>
        <v>-</v>
      </c>
      <c r="AM15" s="40" t="str">
        <f>IF('بيانات الموظفين'!C13="","-",ROUND('بيانات الموظفين'!C13+ROUND('بيانات الموظفين'!C13/30,2)+IF(ISNUMBER(AJ15),AJ15,0)-IF(ISNUMBER(AL15),AL15,0),2))</f>
        <v>-</v>
      </c>
    </row>
    <row r="16" spans="1:39" ht="25.5" customHeight="1" x14ac:dyDescent="0.25">
      <c r="A16" s="3">
        <f>'بيانات الموظفين'!B14</f>
        <v>0</v>
      </c>
      <c r="B16" s="41"/>
      <c r="C16" s="41"/>
      <c r="D16" s="41"/>
      <c r="E16" s="34"/>
      <c r="F16" s="41"/>
      <c r="G16" s="41"/>
      <c r="H16" s="41"/>
      <c r="I16" s="41"/>
      <c r="J16" s="41"/>
      <c r="K16" s="41"/>
      <c r="L16" s="34"/>
      <c r="M16" s="41"/>
      <c r="N16" s="41"/>
      <c r="O16" s="41"/>
      <c r="P16" s="41"/>
      <c r="Q16" s="41"/>
      <c r="R16" s="41"/>
      <c r="S16" s="34"/>
      <c r="T16" s="41"/>
      <c r="U16" s="41"/>
      <c r="V16" s="41"/>
      <c r="W16" s="41"/>
      <c r="X16" s="41"/>
      <c r="Y16" s="41"/>
      <c r="Z16" s="34"/>
      <c r="AA16" s="41"/>
      <c r="AB16" s="41"/>
      <c r="AC16" s="41"/>
      <c r="AD16" s="41"/>
      <c r="AE16" s="41"/>
      <c r="AF16" s="41"/>
      <c r="AG16" s="35">
        <f t="shared" si="0"/>
        <v>0</v>
      </c>
      <c r="AH16" s="36">
        <f t="shared" si="1"/>
        <v>0</v>
      </c>
      <c r="AI16" s="37">
        <f t="shared" si="2"/>
        <v>0</v>
      </c>
      <c r="AJ16" s="38" t="str">
        <f>IF(OR('بيانات الموظفين'!C14="",NOT(ISNUMBER('بيانات الموظفين'!G2)),AI16=0),"-",ROUND(AI16*(('بيانات الموظفين'!C14/31)/'بيانات الموظفين'!G2),2))</f>
        <v>-</v>
      </c>
      <c r="AK16" s="39" t="str">
        <f>IF('بيانات الموظفين'!C14="","-",31-AG16-AH16*0.5)</f>
        <v>-</v>
      </c>
      <c r="AL16" s="6" t="str">
        <f>IF('بيانات الموظفين'!C14="","-",ROUND(('بيانات الموظفين'!C14/31)*AG16+(('بيانات الموظفين'!C14/31)/2)*AH16,2))</f>
        <v>-</v>
      </c>
      <c r="AM16" s="40" t="str">
        <f>IF('بيانات الموظفين'!C14="","-",ROUND('بيانات الموظفين'!C14+ROUND('بيانات الموظفين'!C14/30,2)+IF(ISNUMBER(AJ16),AJ16,0)-IF(ISNUMBER(AL16),AL16,0),2))</f>
        <v>-</v>
      </c>
    </row>
    <row r="17" spans="1:39" ht="25.5" customHeight="1" x14ac:dyDescent="0.25">
      <c r="A17" s="1" t="s">
        <v>101</v>
      </c>
      <c r="B17" s="42">
        <f t="shared" ref="B17:AF17" si="3">COUNTIF(B7:B16,"غ")+COUNTIF(B7:B16,"نصف")*0.5</f>
        <v>0</v>
      </c>
      <c r="C17" s="42">
        <f t="shared" si="3"/>
        <v>0</v>
      </c>
      <c r="D17" s="42">
        <f t="shared" si="3"/>
        <v>0</v>
      </c>
      <c r="E17" s="42">
        <f t="shared" si="3"/>
        <v>0</v>
      </c>
      <c r="F17" s="42">
        <f t="shared" si="3"/>
        <v>0</v>
      </c>
      <c r="G17" s="42">
        <f t="shared" si="3"/>
        <v>0</v>
      </c>
      <c r="H17" s="42">
        <f t="shared" si="3"/>
        <v>0</v>
      </c>
      <c r="I17" s="42">
        <f t="shared" si="3"/>
        <v>0</v>
      </c>
      <c r="J17" s="42">
        <f t="shared" si="3"/>
        <v>0</v>
      </c>
      <c r="K17" s="42">
        <f t="shared" si="3"/>
        <v>0</v>
      </c>
      <c r="L17" s="42">
        <f t="shared" si="3"/>
        <v>0</v>
      </c>
      <c r="M17" s="42">
        <f t="shared" si="3"/>
        <v>0</v>
      </c>
      <c r="N17" s="42">
        <f t="shared" si="3"/>
        <v>0</v>
      </c>
      <c r="O17" s="42">
        <f t="shared" si="3"/>
        <v>0</v>
      </c>
      <c r="P17" s="42">
        <f t="shared" si="3"/>
        <v>0</v>
      </c>
      <c r="Q17" s="42">
        <f t="shared" si="3"/>
        <v>0</v>
      </c>
      <c r="R17" s="42">
        <f t="shared" si="3"/>
        <v>0</v>
      </c>
      <c r="S17" s="42">
        <f t="shared" si="3"/>
        <v>0</v>
      </c>
      <c r="T17" s="42">
        <f t="shared" si="3"/>
        <v>0</v>
      </c>
      <c r="U17" s="42">
        <f t="shared" si="3"/>
        <v>0</v>
      </c>
      <c r="V17" s="42">
        <f t="shared" si="3"/>
        <v>0</v>
      </c>
      <c r="W17" s="42">
        <f t="shared" si="3"/>
        <v>0</v>
      </c>
      <c r="X17" s="42">
        <f t="shared" si="3"/>
        <v>0</v>
      </c>
      <c r="Y17" s="42">
        <f t="shared" si="3"/>
        <v>0</v>
      </c>
      <c r="Z17" s="42">
        <f t="shared" si="3"/>
        <v>0</v>
      </c>
      <c r="AA17" s="42">
        <f t="shared" si="3"/>
        <v>0</v>
      </c>
      <c r="AB17" s="42">
        <f t="shared" si="3"/>
        <v>0</v>
      </c>
      <c r="AC17" s="42">
        <f t="shared" si="3"/>
        <v>0</v>
      </c>
      <c r="AD17" s="42">
        <f t="shared" si="3"/>
        <v>0</v>
      </c>
      <c r="AE17" s="42">
        <f t="shared" si="3"/>
        <v>0</v>
      </c>
      <c r="AF17" s="42">
        <f t="shared" si="3"/>
        <v>0</v>
      </c>
      <c r="AG17" s="43">
        <f>SUM(AG7:AG16)</f>
        <v>0</v>
      </c>
      <c r="AH17" s="43">
        <f>SUM(AH7:AH16)</f>
        <v>0</v>
      </c>
      <c r="AI17" s="43">
        <f>SUM(AI7:AI16)</f>
        <v>0</v>
      </c>
      <c r="AJ17" s="44">
        <f>SUM(AJ7:AJ16)</f>
        <v>0</v>
      </c>
      <c r="AK17" s="45"/>
      <c r="AL17" s="44">
        <f>SUM(AL7:AL16)</f>
        <v>0</v>
      </c>
      <c r="AM17" s="44">
        <f>SUM(AM7:AM16)</f>
        <v>15810000</v>
      </c>
    </row>
    <row r="18" spans="1:39" ht="9.75" customHeight="1" x14ac:dyDescent="0.25"/>
    <row r="19" spans="1:39" ht="31.5" customHeight="1" x14ac:dyDescent="0.25">
      <c r="A19" s="50" t="s">
        <v>102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</row>
    <row r="20" spans="1:39" ht="27.75" customHeight="1" x14ac:dyDescent="0.25">
      <c r="A20" s="1" t="s">
        <v>2</v>
      </c>
      <c r="B20" s="1" t="s">
        <v>3</v>
      </c>
      <c r="C20" s="1" t="s">
        <v>63</v>
      </c>
      <c r="D20" s="1" t="s">
        <v>64</v>
      </c>
      <c r="E20" s="1" t="s">
        <v>65</v>
      </c>
      <c r="F20" s="1" t="s">
        <v>66</v>
      </c>
      <c r="G20" s="1" t="s">
        <v>67</v>
      </c>
      <c r="H20" s="1" t="s">
        <v>68</v>
      </c>
      <c r="I20" s="1" t="s">
        <v>69</v>
      </c>
    </row>
    <row r="21" spans="1:39" ht="24" customHeight="1" x14ac:dyDescent="0.25">
      <c r="A21" s="2">
        <v>1</v>
      </c>
      <c r="B21" s="3" t="str">
        <f>'بيانات الموظفين'!B5</f>
        <v xml:space="preserve">أبو بكر </v>
      </c>
      <c r="C21" s="4">
        <f>IF('بيانات الموظفين'!C5="","-",'بيانات الموظفين'!C5)</f>
        <v>7000000</v>
      </c>
      <c r="D21" s="46">
        <f t="shared" ref="D21:D30" si="4">AG7</f>
        <v>0</v>
      </c>
      <c r="E21" s="47">
        <f t="shared" ref="E21:E30" si="5">AH7</f>
        <v>0</v>
      </c>
      <c r="F21" s="6">
        <f t="shared" ref="F21:F30" si="6">AL7</f>
        <v>0</v>
      </c>
      <c r="G21" s="48">
        <f t="shared" ref="G21:G30" si="7">AI7</f>
        <v>0</v>
      </c>
      <c r="H21" s="38" t="str">
        <f t="shared" ref="H21:H30" si="8">AJ7</f>
        <v>-</v>
      </c>
      <c r="I21" s="40">
        <f t="shared" ref="I21:I30" si="9">AM7</f>
        <v>7233333.3300000001</v>
      </c>
    </row>
    <row r="22" spans="1:39" ht="24" customHeight="1" x14ac:dyDescent="0.25">
      <c r="A22" s="8">
        <v>2</v>
      </c>
      <c r="B22" s="3" t="str">
        <f>'بيانات الموظفين'!B6</f>
        <v>هيثم صمادي</v>
      </c>
      <c r="C22" s="9">
        <f>IF('بيانات الموظفين'!C6="","-",'بيانات الموظفين'!C6)</f>
        <v>3000000</v>
      </c>
      <c r="D22" s="46">
        <f t="shared" si="4"/>
        <v>0</v>
      </c>
      <c r="E22" s="47">
        <f t="shared" si="5"/>
        <v>0</v>
      </c>
      <c r="F22" s="6">
        <f t="shared" si="6"/>
        <v>0</v>
      </c>
      <c r="G22" s="48">
        <f t="shared" si="7"/>
        <v>0</v>
      </c>
      <c r="H22" s="38" t="str">
        <f t="shared" si="8"/>
        <v>-</v>
      </c>
      <c r="I22" s="40">
        <f t="shared" si="9"/>
        <v>3100000</v>
      </c>
    </row>
    <row r="23" spans="1:39" ht="24" customHeight="1" x14ac:dyDescent="0.25">
      <c r="A23" s="2">
        <v>3</v>
      </c>
      <c r="B23" s="3" t="str">
        <f>'بيانات الموظفين'!B7</f>
        <v>حسام كبريتة</v>
      </c>
      <c r="C23" s="4">
        <f>IF('بيانات الموظفين'!C7="","-",'بيانات الموظفين'!C7)</f>
        <v>2500000</v>
      </c>
      <c r="D23" s="46">
        <f t="shared" si="4"/>
        <v>0</v>
      </c>
      <c r="E23" s="47">
        <f t="shared" si="5"/>
        <v>0</v>
      </c>
      <c r="F23" s="6">
        <f t="shared" si="6"/>
        <v>0</v>
      </c>
      <c r="G23" s="48">
        <f t="shared" si="7"/>
        <v>0</v>
      </c>
      <c r="H23" s="38" t="str">
        <f t="shared" si="8"/>
        <v>-</v>
      </c>
      <c r="I23" s="40">
        <f t="shared" si="9"/>
        <v>2583333.33</v>
      </c>
    </row>
    <row r="24" spans="1:39" ht="24" customHeight="1" x14ac:dyDescent="0.25">
      <c r="A24" s="8">
        <v>4</v>
      </c>
      <c r="B24" s="3" t="str">
        <f>'بيانات الموظفين'!B8</f>
        <v>انس المنسي</v>
      </c>
      <c r="C24" s="9">
        <f>IF('بيانات الموظفين'!C8="","-",'بيانات الموظفين'!C8)</f>
        <v>800000</v>
      </c>
      <c r="D24" s="46">
        <f t="shared" si="4"/>
        <v>0</v>
      </c>
      <c r="E24" s="47">
        <f t="shared" si="5"/>
        <v>0</v>
      </c>
      <c r="F24" s="6">
        <f t="shared" si="6"/>
        <v>0</v>
      </c>
      <c r="G24" s="48">
        <f t="shared" si="7"/>
        <v>0</v>
      </c>
      <c r="H24" s="38" t="str">
        <f t="shared" si="8"/>
        <v>-</v>
      </c>
      <c r="I24" s="40">
        <f t="shared" si="9"/>
        <v>826666.67</v>
      </c>
    </row>
    <row r="25" spans="1:39" ht="24" customHeight="1" x14ac:dyDescent="0.25">
      <c r="A25" s="2">
        <v>5</v>
      </c>
      <c r="B25" s="3" t="str">
        <f>'بيانات الموظفين'!B9</f>
        <v>عمار مجيد</v>
      </c>
      <c r="C25" s="4">
        <f>IF('بيانات الموظفين'!C9="","-",'بيانات الموظفين'!C9)</f>
        <v>2000000</v>
      </c>
      <c r="D25" s="46">
        <f t="shared" si="4"/>
        <v>0</v>
      </c>
      <c r="E25" s="47">
        <f t="shared" si="5"/>
        <v>0</v>
      </c>
      <c r="F25" s="6">
        <f t="shared" si="6"/>
        <v>0</v>
      </c>
      <c r="G25" s="48">
        <f t="shared" si="7"/>
        <v>0</v>
      </c>
      <c r="H25" s="38" t="str">
        <f t="shared" si="8"/>
        <v>-</v>
      </c>
      <c r="I25" s="40">
        <f t="shared" si="9"/>
        <v>2066666.67</v>
      </c>
    </row>
    <row r="26" spans="1:39" ht="24" customHeight="1" x14ac:dyDescent="0.25">
      <c r="A26" s="8">
        <v>6</v>
      </c>
      <c r="B26" s="3">
        <f>'بيانات الموظفين'!B10</f>
        <v>0</v>
      </c>
      <c r="C26" s="9" t="str">
        <f>IF('بيانات الموظفين'!C10="","-",'بيانات الموظفين'!C10)</f>
        <v>-</v>
      </c>
      <c r="D26" s="46">
        <f t="shared" si="4"/>
        <v>0</v>
      </c>
      <c r="E26" s="47">
        <f t="shared" si="5"/>
        <v>0</v>
      </c>
      <c r="F26" s="6" t="str">
        <f t="shared" si="6"/>
        <v>-</v>
      </c>
      <c r="G26" s="48">
        <f t="shared" si="7"/>
        <v>0</v>
      </c>
      <c r="H26" s="38" t="str">
        <f t="shared" si="8"/>
        <v>-</v>
      </c>
      <c r="I26" s="40" t="str">
        <f t="shared" si="9"/>
        <v>-</v>
      </c>
    </row>
    <row r="27" spans="1:39" ht="24" customHeight="1" x14ac:dyDescent="0.25">
      <c r="A27" s="2">
        <v>7</v>
      </c>
      <c r="B27" s="3">
        <f>'بيانات الموظفين'!B11</f>
        <v>0</v>
      </c>
      <c r="C27" s="4" t="str">
        <f>IF('بيانات الموظفين'!C11="","-",'بيانات الموظفين'!C11)</f>
        <v>-</v>
      </c>
      <c r="D27" s="46">
        <f t="shared" si="4"/>
        <v>0</v>
      </c>
      <c r="E27" s="47">
        <f t="shared" si="5"/>
        <v>0</v>
      </c>
      <c r="F27" s="6" t="str">
        <f t="shared" si="6"/>
        <v>-</v>
      </c>
      <c r="G27" s="48">
        <f t="shared" si="7"/>
        <v>0</v>
      </c>
      <c r="H27" s="38" t="str">
        <f t="shared" si="8"/>
        <v>-</v>
      </c>
      <c r="I27" s="40" t="str">
        <f t="shared" si="9"/>
        <v>-</v>
      </c>
    </row>
    <row r="28" spans="1:39" ht="24" customHeight="1" x14ac:dyDescent="0.25">
      <c r="A28" s="8">
        <v>8</v>
      </c>
      <c r="B28" s="3">
        <f>'بيانات الموظفين'!B12</f>
        <v>0</v>
      </c>
      <c r="C28" s="9" t="str">
        <f>IF('بيانات الموظفين'!C12="","-",'بيانات الموظفين'!C12)</f>
        <v>-</v>
      </c>
      <c r="D28" s="46">
        <f t="shared" si="4"/>
        <v>0</v>
      </c>
      <c r="E28" s="47">
        <f t="shared" si="5"/>
        <v>0</v>
      </c>
      <c r="F28" s="6" t="str">
        <f t="shared" si="6"/>
        <v>-</v>
      </c>
      <c r="G28" s="48">
        <f t="shared" si="7"/>
        <v>0</v>
      </c>
      <c r="H28" s="38" t="str">
        <f t="shared" si="8"/>
        <v>-</v>
      </c>
      <c r="I28" s="40" t="str">
        <f t="shared" si="9"/>
        <v>-</v>
      </c>
    </row>
    <row r="29" spans="1:39" ht="24" customHeight="1" x14ac:dyDescent="0.25">
      <c r="A29" s="2">
        <v>9</v>
      </c>
      <c r="B29" s="3">
        <f>'بيانات الموظفين'!B13</f>
        <v>0</v>
      </c>
      <c r="C29" s="4" t="str">
        <f>IF('بيانات الموظفين'!C13="","-",'بيانات الموظفين'!C13)</f>
        <v>-</v>
      </c>
      <c r="D29" s="46">
        <f t="shared" si="4"/>
        <v>0</v>
      </c>
      <c r="E29" s="47">
        <f t="shared" si="5"/>
        <v>0</v>
      </c>
      <c r="F29" s="6" t="str">
        <f t="shared" si="6"/>
        <v>-</v>
      </c>
      <c r="G29" s="48">
        <f t="shared" si="7"/>
        <v>0</v>
      </c>
      <c r="H29" s="38" t="str">
        <f t="shared" si="8"/>
        <v>-</v>
      </c>
      <c r="I29" s="40" t="str">
        <f t="shared" si="9"/>
        <v>-</v>
      </c>
    </row>
    <row r="30" spans="1:39" ht="24" customHeight="1" x14ac:dyDescent="0.25">
      <c r="A30" s="8">
        <v>10</v>
      </c>
      <c r="B30" s="3">
        <f>'بيانات الموظفين'!B14</f>
        <v>0</v>
      </c>
      <c r="C30" s="9" t="str">
        <f>IF('بيانات الموظفين'!C14="","-",'بيانات الموظفين'!C14)</f>
        <v>-</v>
      </c>
      <c r="D30" s="46">
        <f t="shared" si="4"/>
        <v>0</v>
      </c>
      <c r="E30" s="47">
        <f t="shared" si="5"/>
        <v>0</v>
      </c>
      <c r="F30" s="6" t="str">
        <f t="shared" si="6"/>
        <v>-</v>
      </c>
      <c r="G30" s="48">
        <f t="shared" si="7"/>
        <v>0</v>
      </c>
      <c r="H30" s="38" t="str">
        <f t="shared" si="8"/>
        <v>-</v>
      </c>
      <c r="I30" s="40" t="str">
        <f t="shared" si="9"/>
        <v>-</v>
      </c>
    </row>
    <row r="31" spans="1:39" ht="27.75" customHeight="1" x14ac:dyDescent="0.25">
      <c r="A31" s="51" t="s">
        <v>19</v>
      </c>
      <c r="B31" s="51"/>
      <c r="C31" s="11">
        <f t="shared" ref="C31:I31" si="10">SUM(C21:C30)</f>
        <v>15300000</v>
      </c>
      <c r="D31" s="49">
        <f t="shared" si="10"/>
        <v>0</v>
      </c>
      <c r="E31" s="49">
        <f t="shared" si="10"/>
        <v>0</v>
      </c>
      <c r="F31" s="12">
        <f t="shared" si="10"/>
        <v>0</v>
      </c>
      <c r="G31" s="49">
        <f t="shared" si="10"/>
        <v>0</v>
      </c>
      <c r="H31" s="12">
        <f t="shared" si="10"/>
        <v>0</v>
      </c>
      <c r="I31" s="12">
        <f t="shared" si="10"/>
        <v>15810000</v>
      </c>
    </row>
  </sheetData>
  <mergeCells count="12">
    <mergeCell ref="A19:AM19"/>
    <mergeCell ref="A31:B31"/>
    <mergeCell ref="A1:AM1"/>
    <mergeCell ref="A2:AM2"/>
    <mergeCell ref="A4:A5"/>
    <mergeCell ref="AG4:AG5"/>
    <mergeCell ref="AH4:AH5"/>
    <mergeCell ref="AI4:AI5"/>
    <mergeCell ref="AJ4:AJ5"/>
    <mergeCell ref="AK4:AK5"/>
    <mergeCell ref="AL4:AL5"/>
    <mergeCell ref="AM4:AM5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14</vt:i4>
      </vt:variant>
      <vt:variant>
        <vt:lpstr>النطاقات المسماة</vt:lpstr>
      </vt:variant>
      <vt:variant>
        <vt:i4>12</vt:i4>
      </vt:variant>
    </vt:vector>
  </HeadingPairs>
  <TitlesOfParts>
    <vt:vector size="26" baseType="lpstr">
      <vt:lpstr>الملخص السنوي</vt:lpstr>
      <vt:lpstr>بيانات الموظفين</vt:lpstr>
      <vt:lpstr>يناير</vt:lpstr>
      <vt:lpstr>فبراير</vt:lpstr>
      <vt:lpstr>مارس</vt:lpstr>
      <vt:lpstr>أبريل</vt:lpstr>
      <vt:lpstr>مايو</vt:lpstr>
      <vt:lpstr>يونيو</vt:lpstr>
      <vt:lpstr>يوليو</vt:lpstr>
      <vt:lpstr>أغسطس</vt:lpstr>
      <vt:lpstr>سبتمبر</vt:lpstr>
      <vt:lpstr>أكتوبر</vt:lpstr>
      <vt:lpstr>نوفمبر</vt:lpstr>
      <vt:lpstr>ديسمبر</vt:lpstr>
      <vt:lpstr>أبريل!Print_Titles</vt:lpstr>
      <vt:lpstr>أغسطس!Print_Titles</vt:lpstr>
      <vt:lpstr>أكتوبر!Print_Titles</vt:lpstr>
      <vt:lpstr>ديسمبر!Print_Titles</vt:lpstr>
      <vt:lpstr>سبتمبر!Print_Titles</vt:lpstr>
      <vt:lpstr>فبراير!Print_Titles</vt:lpstr>
      <vt:lpstr>مارس!Print_Titles</vt:lpstr>
      <vt:lpstr>مايو!Print_Titles</vt:lpstr>
      <vt:lpstr>نوفمبر!Print_Titles</vt:lpstr>
      <vt:lpstr>يناير!Print_Titles</vt:lpstr>
      <vt:lpstr>يوليو!Print_Titles</vt:lpstr>
      <vt:lpstr>يونيو!Print_Titles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2026-06-24T07:19:53Z</dcterms:created>
  <dcterms:modified xsi:type="dcterms:W3CDTF">2026-06-28T14:51:20Z</dcterms:modified>
  <dc:language>en-US</dc:language>
</cp:coreProperties>
</file>
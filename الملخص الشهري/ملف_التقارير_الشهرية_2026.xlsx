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esktop\ملفات خاصة بالمعمل ووظائفه\الملخص الشهري\"/>
    </mc:Choice>
  </mc:AlternateContent>
  <xr:revisionPtr revIDLastSave="0" documentId="13_ncr:1_{23C4E865-F4C0-45AD-A1A1-A76A7E6529C2}" xr6:coauthVersionLast="47" xr6:coauthVersionMax="47" xr10:uidLastSave="{00000000-0000-0000-0000-000000000000}"/>
  <bookViews>
    <workbookView xWindow="-120" yWindow="-120" windowWidth="20730" windowHeight="11160" tabRatio="500" firstSheet="3" activeTab="11" xr2:uid="{00000000-000D-0000-FFFF-FFFF00000000}"/>
  </bookViews>
  <sheets>
    <sheet name="لوحة التحكم" sheetId="1" r:id="rId1"/>
    <sheet name="01-يناير" sheetId="2" r:id="rId2"/>
    <sheet name="02-فبراير" sheetId="3" r:id="rId3"/>
    <sheet name="03-مارس" sheetId="4" r:id="rId4"/>
    <sheet name="04-أبريل" sheetId="5" r:id="rId5"/>
    <sheet name="05-مايو" sheetId="6" r:id="rId6"/>
    <sheet name="06-يونيو" sheetId="7" r:id="rId7"/>
    <sheet name="07-يوليو" sheetId="8" r:id="rId8"/>
    <sheet name="08-أغسطس" sheetId="9" r:id="rId9"/>
    <sheet name="09-سبتمبر" sheetId="10" r:id="rId10"/>
    <sheet name="10-أكتوبر" sheetId="11" r:id="rId11"/>
    <sheet name="11-نوفمبر" sheetId="12" r:id="rId12"/>
    <sheet name="12-ديسمبر" sheetId="13" r:id="rId13"/>
    <sheet name="المقارنة" sheetId="14" r:id="rId14"/>
    <sheet name="دليل الاستخدام" sheetId="15" r:id="rId15"/>
  </sheets>
  <definedNames>
    <definedName name="_xlnm.Print_Area" localSheetId="1">'01-يناير'!$A$1:$E$48</definedName>
    <definedName name="_xlnm.Print_Area" localSheetId="2">'02-فبراير'!$A$1:$E$48</definedName>
    <definedName name="_xlnm.Print_Area" localSheetId="3">'03-مارس'!$A$1:$E$48</definedName>
    <definedName name="_xlnm.Print_Area" localSheetId="4">'04-أبريل'!$A$1:$E$48</definedName>
    <definedName name="_xlnm.Print_Area" localSheetId="5">'05-مايو'!$A$1:$E$48</definedName>
    <definedName name="_xlnm.Print_Area" localSheetId="6">'06-يونيو'!$A$1:$E$48</definedName>
    <definedName name="_xlnm.Print_Area" localSheetId="7">'07-يوليو'!$A$1:$E$48</definedName>
    <definedName name="_xlnm.Print_Area" localSheetId="8">'08-أغسطس'!$A$1:$E$48</definedName>
    <definedName name="_xlnm.Print_Area" localSheetId="9">'09-سبتمبر'!$A$1:$E$48</definedName>
    <definedName name="_xlnm.Print_Area" localSheetId="10">'10-أكتوبر'!$A$1:$E$48</definedName>
    <definedName name="_xlnm.Print_Area" localSheetId="11">'11-نوفمبر'!$A$1:$E$48</definedName>
    <definedName name="_xlnm.Print_Area" localSheetId="12">'12-ديسمبر'!$A$1:$E$48</definedName>
    <definedName name="_xlnm.Print_Area" localSheetId="13">المقارنة!$A$1:$N$84</definedName>
    <definedName name="_xlnm.Print_Area" localSheetId="14">'دليل الاستخدام'!$A$1:$B$20</definedName>
    <definedName name="_xlnm.Print_Area" localSheetId="0">'لوحة التحكم'!$A$1:$H$36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9" i="14" l="1"/>
  <c r="L9" i="14"/>
  <c r="K9" i="14"/>
  <c r="J9" i="14"/>
  <c r="I9" i="14"/>
  <c r="H9" i="14"/>
  <c r="G9" i="14"/>
  <c r="F9" i="14"/>
  <c r="E9" i="14"/>
  <c r="D9" i="14"/>
  <c r="C9" i="14"/>
  <c r="B9" i="14"/>
  <c r="N9" i="14" s="1"/>
  <c r="M8" i="14"/>
  <c r="L8" i="14"/>
  <c r="K8" i="14"/>
  <c r="J8" i="14"/>
  <c r="I8" i="14"/>
  <c r="H8" i="14"/>
  <c r="G8" i="14"/>
  <c r="F8" i="14"/>
  <c r="E8" i="14"/>
  <c r="D8" i="14"/>
  <c r="C8" i="14"/>
  <c r="B8" i="14"/>
  <c r="N8" i="14" s="1"/>
  <c r="M7" i="14"/>
  <c r="M40" i="14" s="1"/>
  <c r="L7" i="14"/>
  <c r="L40" i="14" s="1"/>
  <c r="K7" i="14"/>
  <c r="K40" i="14" s="1"/>
  <c r="J7" i="14"/>
  <c r="J40" i="14" s="1"/>
  <c r="I7" i="14"/>
  <c r="I40" i="14" s="1"/>
  <c r="H7" i="14"/>
  <c r="H40" i="14" s="1"/>
  <c r="G7" i="14"/>
  <c r="G40" i="14" s="1"/>
  <c r="F7" i="14"/>
  <c r="F40" i="14" s="1"/>
  <c r="E7" i="14"/>
  <c r="E40" i="14" s="1"/>
  <c r="D7" i="14"/>
  <c r="D40" i="14" s="1"/>
  <c r="C7" i="14"/>
  <c r="C40" i="14" s="1"/>
  <c r="B7" i="14"/>
  <c r="B40" i="14" s="1"/>
  <c r="C16" i="13"/>
  <c r="B16" i="13"/>
  <c r="H14" i="13"/>
  <c r="H12" i="13"/>
  <c r="H10" i="13"/>
  <c r="B9" i="13"/>
  <c r="C9" i="13" s="1"/>
  <c r="B37" i="13" s="1"/>
  <c r="C7" i="13"/>
  <c r="B28" i="13" s="1"/>
  <c r="H5" i="13"/>
  <c r="H8" i="13" s="1"/>
  <c r="B2" i="13"/>
  <c r="M6" i="14" s="1"/>
  <c r="C16" i="12"/>
  <c r="B16" i="12"/>
  <c r="D15" i="12"/>
  <c r="H14" i="12"/>
  <c r="D14" i="12"/>
  <c r="D16" i="12" s="1"/>
  <c r="D13" i="12"/>
  <c r="L26" i="14" s="1"/>
  <c r="H12" i="12"/>
  <c r="H11" i="12"/>
  <c r="H10" i="12"/>
  <c r="B9" i="12"/>
  <c r="C9" i="12" s="1"/>
  <c r="B37" i="12" s="1"/>
  <c r="C8" i="12"/>
  <c r="B32" i="12" s="1"/>
  <c r="C7" i="12"/>
  <c r="B28" i="12" s="1"/>
  <c r="C6" i="12"/>
  <c r="B26" i="12" s="1"/>
  <c r="H5" i="12"/>
  <c r="B2" i="12"/>
  <c r="L6" i="14" s="1"/>
  <c r="C16" i="11"/>
  <c r="B16" i="11"/>
  <c r="H14" i="11"/>
  <c r="H12" i="11"/>
  <c r="H10" i="11"/>
  <c r="B9" i="11"/>
  <c r="H5" i="11"/>
  <c r="H8" i="11" s="1"/>
  <c r="B2" i="11"/>
  <c r="K6" i="14" s="1"/>
  <c r="C16" i="10"/>
  <c r="B16" i="10"/>
  <c r="H14" i="10"/>
  <c r="D14" i="10"/>
  <c r="D13" i="10"/>
  <c r="J26" i="14" s="1"/>
  <c r="H12" i="10"/>
  <c r="H11" i="10"/>
  <c r="H10" i="10"/>
  <c r="B9" i="10"/>
  <c r="C9" i="10" s="1"/>
  <c r="B37" i="10" s="1"/>
  <c r="C8" i="10"/>
  <c r="B32" i="10" s="1"/>
  <c r="C7" i="10"/>
  <c r="B28" i="10" s="1"/>
  <c r="C6" i="10"/>
  <c r="B26" i="10" s="1"/>
  <c r="H5" i="10"/>
  <c r="H8" i="10" s="1"/>
  <c r="B2" i="10"/>
  <c r="J6" i="14" s="1"/>
  <c r="C16" i="9"/>
  <c r="B16" i="9"/>
  <c r="H14" i="9"/>
  <c r="H12" i="9"/>
  <c r="H10" i="9"/>
  <c r="B9" i="9"/>
  <c r="H5" i="9"/>
  <c r="H7" i="9" s="1"/>
  <c r="B2" i="9"/>
  <c r="I6" i="14" s="1"/>
  <c r="C16" i="8"/>
  <c r="B16" i="8"/>
  <c r="H14" i="8"/>
  <c r="H12" i="8"/>
  <c r="H10" i="8"/>
  <c r="C9" i="8"/>
  <c r="B37" i="8" s="1"/>
  <c r="B9" i="8"/>
  <c r="C8" i="8"/>
  <c r="B32" i="8" s="1"/>
  <c r="H5" i="8"/>
  <c r="H8" i="8" s="1"/>
  <c r="B2" i="8"/>
  <c r="H6" i="14" s="1"/>
  <c r="C16" i="7"/>
  <c r="B16" i="7"/>
  <c r="H14" i="7"/>
  <c r="H12" i="7"/>
  <c r="H10" i="7"/>
  <c r="B9" i="7"/>
  <c r="H5" i="7"/>
  <c r="H8" i="7" s="1"/>
  <c r="B2" i="7"/>
  <c r="G6" i="14" s="1"/>
  <c r="C16" i="6"/>
  <c r="B16" i="6"/>
  <c r="H14" i="6"/>
  <c r="H12" i="6"/>
  <c r="H10" i="6"/>
  <c r="B9" i="6"/>
  <c r="H8" i="6"/>
  <c r="H5" i="6"/>
  <c r="B2" i="6"/>
  <c r="H11" i="6" s="1"/>
  <c r="C16" i="5"/>
  <c r="B16" i="5"/>
  <c r="H14" i="5"/>
  <c r="H12" i="5"/>
  <c r="H10" i="5"/>
  <c r="B9" i="5"/>
  <c r="H5" i="5"/>
  <c r="B2" i="5"/>
  <c r="E6" i="14" s="1"/>
  <c r="C16" i="4"/>
  <c r="B16" i="4"/>
  <c r="H14" i="4"/>
  <c r="H12" i="4"/>
  <c r="H10" i="4"/>
  <c r="H9" i="4"/>
  <c r="B9" i="4"/>
  <c r="H5" i="4"/>
  <c r="H8" i="4" s="1"/>
  <c r="B2" i="4"/>
  <c r="D6" i="14" s="1"/>
  <c r="C16" i="3"/>
  <c r="B16" i="3"/>
  <c r="H14" i="3"/>
  <c r="H12" i="3"/>
  <c r="H10" i="3"/>
  <c r="H9" i="3"/>
  <c r="B9" i="3"/>
  <c r="H8" i="3"/>
  <c r="H5" i="3"/>
  <c r="B2" i="3"/>
  <c r="C6" i="14" s="1"/>
  <c r="C45" i="2"/>
  <c r="C44" i="2"/>
  <c r="C43" i="2"/>
  <c r="C42" i="2"/>
  <c r="C41" i="2"/>
  <c r="C37" i="2"/>
  <c r="C36" i="2"/>
  <c r="C35" i="2"/>
  <c r="C34" i="2"/>
  <c r="C33" i="2"/>
  <c r="B33" i="2"/>
  <c r="B19" i="14" s="1"/>
  <c r="C32" i="2"/>
  <c r="C31" i="2"/>
  <c r="B31" i="2"/>
  <c r="B18" i="14" s="1"/>
  <c r="C30" i="2"/>
  <c r="B30" i="2"/>
  <c r="B17" i="14" s="1"/>
  <c r="C29" i="2"/>
  <c r="B29" i="2"/>
  <c r="B16" i="14" s="1"/>
  <c r="C28" i="2"/>
  <c r="C27" i="2"/>
  <c r="B27" i="2"/>
  <c r="B15" i="14" s="1"/>
  <c r="C26" i="2"/>
  <c r="C16" i="2"/>
  <c r="B16" i="2"/>
  <c r="H14" i="2"/>
  <c r="D14" i="2"/>
  <c r="H12" i="2"/>
  <c r="H10" i="2"/>
  <c r="B9" i="2"/>
  <c r="C9" i="2" s="1"/>
  <c r="B37" i="2" s="1"/>
  <c r="H8" i="2"/>
  <c r="H5" i="2"/>
  <c r="H4" i="2"/>
  <c r="H3" i="2"/>
  <c r="B36" i="2" s="1"/>
  <c r="H2" i="2"/>
  <c r="B2" i="2"/>
  <c r="B6" i="14" s="1"/>
  <c r="G10" i="1"/>
  <c r="K4" i="1"/>
  <c r="D13" i="8" l="1"/>
  <c r="H26" i="14" s="1"/>
  <c r="C6" i="8"/>
  <c r="B26" i="8" s="1"/>
  <c r="D15" i="8"/>
  <c r="H9" i="7"/>
  <c r="H7" i="7"/>
  <c r="C9" i="7"/>
  <c r="B37" i="7" s="1"/>
  <c r="G14" i="14" s="1"/>
  <c r="C7" i="5"/>
  <c r="B28" i="5" s="1"/>
  <c r="H11" i="5"/>
  <c r="D14" i="5"/>
  <c r="C9" i="5"/>
  <c r="B37" i="5" s="1"/>
  <c r="E14" i="14" s="1"/>
  <c r="H7" i="5"/>
  <c r="C9" i="4"/>
  <c r="B37" i="4" s="1"/>
  <c r="D14" i="14" s="1"/>
  <c r="D13" i="4"/>
  <c r="D26" i="14" s="1"/>
  <c r="C6" i="4"/>
  <c r="B26" i="4" s="1"/>
  <c r="C26" i="5" s="1"/>
  <c r="C8" i="4"/>
  <c r="B32" i="4" s="1"/>
  <c r="B41" i="4" s="1"/>
  <c r="D15" i="4"/>
  <c r="C9" i="3"/>
  <c r="B37" i="3" s="1"/>
  <c r="H7" i="3"/>
  <c r="H11" i="2"/>
  <c r="H7" i="2"/>
  <c r="C7" i="2"/>
  <c r="B28" i="2" s="1"/>
  <c r="C28" i="3" s="1"/>
  <c r="H11" i="11"/>
  <c r="C7" i="11"/>
  <c r="B28" i="11" s="1"/>
  <c r="C9" i="11"/>
  <c r="B37" i="11" s="1"/>
  <c r="D37" i="11" s="1"/>
  <c r="B14" i="14"/>
  <c r="C37" i="3"/>
  <c r="D37" i="3" s="1"/>
  <c r="D37" i="2"/>
  <c r="E37" i="2"/>
  <c r="B12" i="14"/>
  <c r="E28" i="2"/>
  <c r="D11" i="14"/>
  <c r="F12" i="1" s="1"/>
  <c r="C32" i="5"/>
  <c r="E12" i="14"/>
  <c r="C28" i="6"/>
  <c r="B22" i="14"/>
  <c r="C36" i="3"/>
  <c r="D36" i="2"/>
  <c r="E36" i="2"/>
  <c r="C14" i="14"/>
  <c r="C37" i="4"/>
  <c r="E37" i="4" s="1"/>
  <c r="E37" i="3"/>
  <c r="C6" i="2"/>
  <c r="B26" i="2" s="1"/>
  <c r="C8" i="2"/>
  <c r="B32" i="2" s="1"/>
  <c r="H9" i="2"/>
  <c r="H13" i="2" s="1"/>
  <c r="D13" i="2"/>
  <c r="D15" i="2"/>
  <c r="D16" i="2" s="1"/>
  <c r="B27" i="14" s="1"/>
  <c r="D27" i="2"/>
  <c r="D29" i="2"/>
  <c r="D30" i="2"/>
  <c r="D31" i="2"/>
  <c r="D33" i="2"/>
  <c r="B42" i="2"/>
  <c r="H2" i="3"/>
  <c r="C27" i="3"/>
  <c r="C29" i="3"/>
  <c r="C30" i="3"/>
  <c r="C31" i="3"/>
  <c r="C33" i="3"/>
  <c r="C7" i="4"/>
  <c r="B28" i="4" s="1"/>
  <c r="H11" i="4"/>
  <c r="D14" i="4"/>
  <c r="D16" i="4" s="1"/>
  <c r="D27" i="14" s="1"/>
  <c r="H2" i="5"/>
  <c r="D14" i="6"/>
  <c r="C37" i="8"/>
  <c r="E37" i="8" s="1"/>
  <c r="C22" i="2"/>
  <c r="E27" i="2"/>
  <c r="E29" i="2"/>
  <c r="E30" i="2"/>
  <c r="E31" i="2"/>
  <c r="E33" i="2"/>
  <c r="B31" i="14" s="1"/>
  <c r="B35" i="2"/>
  <c r="C6" i="3"/>
  <c r="B26" i="3" s="1"/>
  <c r="C8" i="3"/>
  <c r="B32" i="3" s="1"/>
  <c r="D13" i="3"/>
  <c r="D15" i="3"/>
  <c r="H2" i="4"/>
  <c r="H7" i="4"/>
  <c r="C37" i="5"/>
  <c r="C7" i="6"/>
  <c r="B28" i="6" s="1"/>
  <c r="H11" i="14"/>
  <c r="F16" i="1" s="1"/>
  <c r="C26" i="9"/>
  <c r="B39" i="14"/>
  <c r="C22" i="3"/>
  <c r="H3" i="4" s="1"/>
  <c r="D17" i="4"/>
  <c r="H9" i="5"/>
  <c r="H8" i="5"/>
  <c r="H13" i="5" s="1"/>
  <c r="D37" i="5"/>
  <c r="H13" i="14"/>
  <c r="C32" i="9"/>
  <c r="B41" i="8"/>
  <c r="C7" i="3"/>
  <c r="B28" i="3" s="1"/>
  <c r="H11" i="3"/>
  <c r="H13" i="3" s="1"/>
  <c r="D14" i="3"/>
  <c r="C22" i="4"/>
  <c r="F6" i="14"/>
  <c r="C22" i="6"/>
  <c r="H2" i="7"/>
  <c r="D15" i="6"/>
  <c r="D13" i="6"/>
  <c r="C8" i="6"/>
  <c r="B32" i="6" s="1"/>
  <c r="C6" i="6"/>
  <c r="B26" i="6" s="1"/>
  <c r="H7" i="6"/>
  <c r="C9" i="6"/>
  <c r="B37" i="6" s="1"/>
  <c r="H3" i="5"/>
  <c r="C22" i="5"/>
  <c r="H9" i="6"/>
  <c r="C7" i="8"/>
  <c r="B28" i="8" s="1"/>
  <c r="H11" i="8"/>
  <c r="D14" i="8"/>
  <c r="D16" i="8" s="1"/>
  <c r="H27" i="14" s="1"/>
  <c r="H2" i="9"/>
  <c r="J13" i="14"/>
  <c r="B31" i="1" s="1"/>
  <c r="B41" i="10"/>
  <c r="C32" i="11"/>
  <c r="K12" i="14"/>
  <c r="C28" i="12"/>
  <c r="D28" i="11"/>
  <c r="C6" i="7"/>
  <c r="B26" i="7" s="1"/>
  <c r="C8" i="7"/>
  <c r="B32" i="7" s="1"/>
  <c r="D13" i="7"/>
  <c r="D15" i="7"/>
  <c r="H2" i="8"/>
  <c r="H7" i="8"/>
  <c r="H14" i="14"/>
  <c r="C37" i="9"/>
  <c r="J14" i="14"/>
  <c r="C37" i="11"/>
  <c r="K14" i="14"/>
  <c r="E37" i="11"/>
  <c r="L14" i="14"/>
  <c r="C37" i="13"/>
  <c r="C22" i="7"/>
  <c r="H9" i="8"/>
  <c r="J11" i="14"/>
  <c r="F18" i="1" s="1"/>
  <c r="C26" i="11"/>
  <c r="L11" i="14"/>
  <c r="F20" i="1" s="1"/>
  <c r="C26" i="13"/>
  <c r="L27" i="14"/>
  <c r="D17" i="12"/>
  <c r="C6" i="5"/>
  <c r="B26" i="5" s="1"/>
  <c r="C8" i="5"/>
  <c r="B32" i="5" s="1"/>
  <c r="D13" i="5"/>
  <c r="D15" i="5"/>
  <c r="H2" i="6"/>
  <c r="C7" i="7"/>
  <c r="B28" i="7" s="1"/>
  <c r="H11" i="7"/>
  <c r="H13" i="7" s="1"/>
  <c r="D14" i="7"/>
  <c r="C22" i="8"/>
  <c r="H3" i="9" s="1"/>
  <c r="J12" i="14"/>
  <c r="C28" i="11"/>
  <c r="E28" i="11" s="1"/>
  <c r="L12" i="14"/>
  <c r="E28" i="12"/>
  <c r="C28" i="13"/>
  <c r="D28" i="12"/>
  <c r="C6" i="9"/>
  <c r="B26" i="9" s="1"/>
  <c r="C8" i="9"/>
  <c r="B32" i="9" s="1"/>
  <c r="H9" i="9"/>
  <c r="D13" i="9"/>
  <c r="D15" i="9"/>
  <c r="H2" i="10"/>
  <c r="H7" i="10"/>
  <c r="D14" i="11"/>
  <c r="H8" i="12"/>
  <c r="H6" i="12"/>
  <c r="L13" i="14"/>
  <c r="B41" i="12"/>
  <c r="C32" i="13"/>
  <c r="H8" i="9"/>
  <c r="H13" i="9" s="1"/>
  <c r="C22" i="9"/>
  <c r="H9" i="10"/>
  <c r="D15" i="10"/>
  <c r="D16" i="10" s="1"/>
  <c r="H2" i="11"/>
  <c r="H7" i="11"/>
  <c r="H13" i="11" s="1"/>
  <c r="H2" i="12"/>
  <c r="M12" i="14"/>
  <c r="E28" i="13"/>
  <c r="D28" i="13"/>
  <c r="C7" i="9"/>
  <c r="B28" i="9" s="1"/>
  <c r="H11" i="9"/>
  <c r="D14" i="9"/>
  <c r="C22" i="10"/>
  <c r="H3" i="10" s="1"/>
  <c r="A3" i="11"/>
  <c r="C6" i="11"/>
  <c r="B26" i="11" s="1"/>
  <c r="C8" i="11"/>
  <c r="B32" i="11" s="1"/>
  <c r="H9" i="11"/>
  <c r="D13" i="11"/>
  <c r="D15" i="11"/>
  <c r="A3" i="12"/>
  <c r="M14" i="14"/>
  <c r="E37" i="13"/>
  <c r="D37" i="13"/>
  <c r="C9" i="9"/>
  <c r="B37" i="9" s="1"/>
  <c r="H6" i="11"/>
  <c r="C22" i="11"/>
  <c r="H3" i="11" s="1"/>
  <c r="H7" i="12"/>
  <c r="H13" i="12" s="1"/>
  <c r="H9" i="12"/>
  <c r="H11" i="13"/>
  <c r="D14" i="13"/>
  <c r="F43" i="14"/>
  <c r="L43" i="14" s="1"/>
  <c r="B43" i="14"/>
  <c r="J43" i="14" s="1"/>
  <c r="N7" i="14"/>
  <c r="H2" i="13"/>
  <c r="H7" i="13"/>
  <c r="H13" i="13" s="1"/>
  <c r="H3" i="12"/>
  <c r="C22" i="12"/>
  <c r="A3" i="13"/>
  <c r="C6" i="13"/>
  <c r="B26" i="13" s="1"/>
  <c r="C8" i="13"/>
  <c r="B32" i="13" s="1"/>
  <c r="H9" i="13"/>
  <c r="D13" i="13"/>
  <c r="D15" i="13"/>
  <c r="H3" i="13"/>
  <c r="H6" i="13"/>
  <c r="C22" i="13"/>
  <c r="D17" i="8" l="1"/>
  <c r="D16" i="7"/>
  <c r="G27" i="14" s="1"/>
  <c r="D37" i="8"/>
  <c r="H3" i="8"/>
  <c r="H3" i="6"/>
  <c r="C37" i="6"/>
  <c r="D16" i="5"/>
  <c r="E27" i="14" s="1"/>
  <c r="E37" i="5"/>
  <c r="H13" i="4"/>
  <c r="D13" i="14"/>
  <c r="H6" i="4"/>
  <c r="D37" i="14" s="1"/>
  <c r="H3" i="3"/>
  <c r="D37" i="4"/>
  <c r="D16" i="3"/>
  <c r="C27" i="14" s="1"/>
  <c r="D28" i="2"/>
  <c r="C37" i="12"/>
  <c r="D37" i="12" s="1"/>
  <c r="J27" i="14"/>
  <c r="D17" i="10"/>
  <c r="C38" i="14"/>
  <c r="A3" i="3"/>
  <c r="E11" i="1"/>
  <c r="B34" i="6"/>
  <c r="B33" i="6"/>
  <c r="B31" i="6"/>
  <c r="B30" i="6"/>
  <c r="B29" i="6"/>
  <c r="B27" i="6"/>
  <c r="B36" i="6"/>
  <c r="B35" i="6"/>
  <c r="H4" i="6"/>
  <c r="E38" i="14"/>
  <c r="E13" i="1"/>
  <c r="A3" i="5"/>
  <c r="B36" i="11"/>
  <c r="B35" i="11"/>
  <c r="B34" i="11"/>
  <c r="B33" i="11"/>
  <c r="B31" i="11"/>
  <c r="B30" i="11"/>
  <c r="B29" i="11"/>
  <c r="B27" i="11"/>
  <c r="H4" i="11"/>
  <c r="B38" i="14"/>
  <c r="E10" i="1"/>
  <c r="A3" i="2"/>
  <c r="H6" i="2"/>
  <c r="I38" i="14"/>
  <c r="E17" i="1"/>
  <c r="A3" i="9"/>
  <c r="H6" i="9"/>
  <c r="G38" i="14"/>
  <c r="E15" i="1"/>
  <c r="J24" i="14"/>
  <c r="B44" i="10"/>
  <c r="B43" i="10"/>
  <c r="L37" i="14"/>
  <c r="D2" i="12"/>
  <c r="D20" i="1"/>
  <c r="I13" i="14"/>
  <c r="B47" i="14" s="1"/>
  <c r="B41" i="9"/>
  <c r="E32" i="9"/>
  <c r="I32" i="14" s="1"/>
  <c r="C32" i="10"/>
  <c r="D32" i="9"/>
  <c r="G12" i="14"/>
  <c r="C28" i="8"/>
  <c r="E28" i="8" s="1"/>
  <c r="D28" i="7"/>
  <c r="E13" i="14"/>
  <c r="C32" i="6"/>
  <c r="D32" i="6" s="1"/>
  <c r="D32" i="5"/>
  <c r="B41" i="5"/>
  <c r="E32" i="5"/>
  <c r="E32" i="14" s="1"/>
  <c r="E37" i="12"/>
  <c r="G11" i="14"/>
  <c r="F15" i="1" s="1"/>
  <c r="C26" i="8"/>
  <c r="J34" i="14"/>
  <c r="C41" i="11"/>
  <c r="E24" i="14"/>
  <c r="B43" i="5"/>
  <c r="B44" i="5"/>
  <c r="F11" i="14"/>
  <c r="F14" i="1" s="1"/>
  <c r="C26" i="7"/>
  <c r="E26" i="7" s="1"/>
  <c r="G30" i="14" s="1"/>
  <c r="D24" i="14"/>
  <c r="B44" i="4"/>
  <c r="B43" i="4"/>
  <c r="C24" i="14"/>
  <c r="B44" i="3"/>
  <c r="B43" i="3"/>
  <c r="D38" i="14"/>
  <c r="A3" i="4"/>
  <c r="E12" i="1"/>
  <c r="C13" i="14"/>
  <c r="B41" i="3"/>
  <c r="C32" i="4"/>
  <c r="B24" i="14"/>
  <c r="B44" i="2"/>
  <c r="B43" i="2"/>
  <c r="B27" i="1"/>
  <c r="B11" i="14"/>
  <c r="E26" i="2"/>
  <c r="B30" i="14" s="1"/>
  <c r="C26" i="3"/>
  <c r="E26" i="3" s="1"/>
  <c r="C30" i="14" s="1"/>
  <c r="D26" i="2"/>
  <c r="B28" i="1"/>
  <c r="D34" i="14"/>
  <c r="C41" i="5"/>
  <c r="B41" i="13"/>
  <c r="E32" i="13"/>
  <c r="M32" i="14" s="1"/>
  <c r="D32" i="13"/>
  <c r="M13" i="14"/>
  <c r="E26" i="13"/>
  <c r="M30" i="14" s="1"/>
  <c r="M11" i="14"/>
  <c r="F21" i="1" s="1"/>
  <c r="D26" i="13"/>
  <c r="L38" i="14"/>
  <c r="E20" i="1"/>
  <c r="I14" i="14"/>
  <c r="C37" i="10"/>
  <c r="D37" i="9"/>
  <c r="E37" i="9"/>
  <c r="K13" i="14"/>
  <c r="C32" i="12"/>
  <c r="B41" i="11"/>
  <c r="E32" i="11"/>
  <c r="K32" i="14" s="1"/>
  <c r="D32" i="11"/>
  <c r="I12" i="14"/>
  <c r="B46" i="14" s="1"/>
  <c r="C28" i="10"/>
  <c r="I11" i="14"/>
  <c r="F17" i="1" s="1"/>
  <c r="E26" i="9"/>
  <c r="I30" i="14" s="1"/>
  <c r="C26" i="10"/>
  <c r="D26" i="9"/>
  <c r="E11" i="14"/>
  <c r="F13" i="1" s="1"/>
  <c r="C26" i="6"/>
  <c r="E26" i="6" s="1"/>
  <c r="F30" i="14" s="1"/>
  <c r="D26" i="5"/>
  <c r="E26" i="5"/>
  <c r="E30" i="14" s="1"/>
  <c r="G24" i="14"/>
  <c r="B44" i="7"/>
  <c r="B43" i="7"/>
  <c r="H12" i="14"/>
  <c r="C28" i="9"/>
  <c r="D28" i="9" s="1"/>
  <c r="D28" i="8"/>
  <c r="B36" i="5"/>
  <c r="B35" i="5"/>
  <c r="B34" i="5"/>
  <c r="B30" i="5"/>
  <c r="B33" i="5"/>
  <c r="B31" i="5"/>
  <c r="B29" i="5"/>
  <c r="B27" i="5"/>
  <c r="H4" i="5"/>
  <c r="F13" i="14"/>
  <c r="B41" i="6"/>
  <c r="C32" i="7"/>
  <c r="E32" i="7" s="1"/>
  <c r="G32" i="14" s="1"/>
  <c r="F24" i="14"/>
  <c r="F33" i="14" s="1"/>
  <c r="B44" i="6"/>
  <c r="B43" i="6"/>
  <c r="D12" i="1"/>
  <c r="D2" i="4"/>
  <c r="C12" i="14"/>
  <c r="E28" i="3"/>
  <c r="C28" i="4"/>
  <c r="E28" i="4" s="1"/>
  <c r="D28" i="3"/>
  <c r="B34" i="3"/>
  <c r="B33" i="3"/>
  <c r="B31" i="3"/>
  <c r="B30" i="3"/>
  <c r="B29" i="3"/>
  <c r="B27" i="3"/>
  <c r="H4" i="3"/>
  <c r="B36" i="3"/>
  <c r="B35" i="3"/>
  <c r="H6" i="3"/>
  <c r="F12" i="14"/>
  <c r="E28" i="6"/>
  <c r="C28" i="7"/>
  <c r="E28" i="7" s="1"/>
  <c r="D28" i="6"/>
  <c r="C11" i="14"/>
  <c r="F11" i="1" s="1"/>
  <c r="C26" i="4"/>
  <c r="D26" i="3"/>
  <c r="B26" i="14"/>
  <c r="D17" i="2"/>
  <c r="B36" i="13"/>
  <c r="B35" i="13"/>
  <c r="B34" i="13"/>
  <c r="B33" i="13"/>
  <c r="B31" i="13"/>
  <c r="B30" i="13"/>
  <c r="B29" i="13"/>
  <c r="B27" i="13"/>
  <c r="H4" i="13"/>
  <c r="B34" i="12"/>
  <c r="B33" i="12"/>
  <c r="B31" i="12"/>
  <c r="B30" i="12"/>
  <c r="B36" i="12"/>
  <c r="B35" i="12"/>
  <c r="H4" i="12"/>
  <c r="B27" i="12"/>
  <c r="B29" i="12"/>
  <c r="M38" i="14"/>
  <c r="E21" i="1"/>
  <c r="M24" i="14"/>
  <c r="M33" i="14" s="1"/>
  <c r="B44" i="13"/>
  <c r="B43" i="13"/>
  <c r="K24" i="14"/>
  <c r="K33" i="14" s="1"/>
  <c r="B44" i="11"/>
  <c r="B43" i="11"/>
  <c r="B27" i="10"/>
  <c r="H4" i="10"/>
  <c r="B29" i="10" s="1"/>
  <c r="B27" i="9"/>
  <c r="H4" i="9"/>
  <c r="B29" i="9" s="1"/>
  <c r="L34" i="14"/>
  <c r="C41" i="13"/>
  <c r="D16" i="11"/>
  <c r="K27" i="14" s="1"/>
  <c r="I26" i="14"/>
  <c r="B54" i="14" s="1"/>
  <c r="D17" i="9"/>
  <c r="L28" i="14"/>
  <c r="B45" i="12"/>
  <c r="H28" i="14"/>
  <c r="B45" i="8"/>
  <c r="H3" i="7"/>
  <c r="A3" i="7" s="1"/>
  <c r="G26" i="14"/>
  <c r="D17" i="7"/>
  <c r="F14" i="14"/>
  <c r="N14" i="14" s="1"/>
  <c r="C37" i="7"/>
  <c r="D37" i="6"/>
  <c r="E37" i="6"/>
  <c r="F26" i="14"/>
  <c r="B36" i="4"/>
  <c r="B35" i="4"/>
  <c r="B34" i="4"/>
  <c r="B33" i="4"/>
  <c r="B31" i="4"/>
  <c r="B30" i="4"/>
  <c r="B29" i="4"/>
  <c r="B27" i="4"/>
  <c r="H4" i="4"/>
  <c r="B21" i="14"/>
  <c r="C35" i="3"/>
  <c r="D35" i="2"/>
  <c r="E35" i="2"/>
  <c r="D16" i="6"/>
  <c r="F27" i="14" s="1"/>
  <c r="B35" i="14"/>
  <c r="C42" i="3"/>
  <c r="D42" i="2"/>
  <c r="B34" i="2"/>
  <c r="D47" i="14"/>
  <c r="D46" i="14"/>
  <c r="D45" i="14"/>
  <c r="D55" i="14"/>
  <c r="D54" i="14"/>
  <c r="D53" i="14"/>
  <c r="M26" i="14"/>
  <c r="D16" i="13"/>
  <c r="M27" i="14" s="1"/>
  <c r="K11" i="14"/>
  <c r="F19" i="1" s="1"/>
  <c r="E26" i="11"/>
  <c r="K30" i="14" s="1"/>
  <c r="D26" i="11"/>
  <c r="C26" i="12"/>
  <c r="K38" i="14"/>
  <c r="E19" i="1"/>
  <c r="M37" i="14"/>
  <c r="D2" i="13"/>
  <c r="D21" i="1"/>
  <c r="L24" i="14"/>
  <c r="L33" i="14" s="1"/>
  <c r="B44" i="12"/>
  <c r="B43" i="12"/>
  <c r="K37" i="14"/>
  <c r="D2" i="11"/>
  <c r="D19" i="1"/>
  <c r="K26" i="14"/>
  <c r="D17" i="11"/>
  <c r="D16" i="9"/>
  <c r="I27" i="14" s="1"/>
  <c r="B55" i="14" s="1"/>
  <c r="I24" i="14"/>
  <c r="B44" i="9"/>
  <c r="B43" i="9"/>
  <c r="H13" i="10"/>
  <c r="H24" i="14"/>
  <c r="B44" i="8"/>
  <c r="B43" i="8"/>
  <c r="E26" i="14"/>
  <c r="D17" i="5"/>
  <c r="H13" i="8"/>
  <c r="B22" i="1" s="1"/>
  <c r="G13" i="14"/>
  <c r="C32" i="8"/>
  <c r="B41" i="7"/>
  <c r="H13" i="6"/>
  <c r="H34" i="14"/>
  <c r="C41" i="9"/>
  <c r="H6" i="5"/>
  <c r="D28" i="14"/>
  <c r="B45" i="4"/>
  <c r="C26" i="14"/>
  <c r="D12" i="14"/>
  <c r="C28" i="5"/>
  <c r="B13" i="14"/>
  <c r="B41" i="2"/>
  <c r="E32" i="2"/>
  <c r="B32" i="14" s="1"/>
  <c r="C32" i="3"/>
  <c r="E32" i="3" s="1"/>
  <c r="C32" i="14" s="1"/>
  <c r="D32" i="2"/>
  <c r="H4" i="8" l="1"/>
  <c r="B29" i="8" s="1"/>
  <c r="B27" i="8"/>
  <c r="H33" i="14"/>
  <c r="N12" i="14"/>
  <c r="D32" i="7"/>
  <c r="E32" i="6"/>
  <c r="F32" i="14" s="1"/>
  <c r="D17" i="3"/>
  <c r="N13" i="14"/>
  <c r="F46" i="14"/>
  <c r="H46" i="14"/>
  <c r="F47" i="14"/>
  <c r="H47" i="14"/>
  <c r="H55" i="14"/>
  <c r="F55" i="14"/>
  <c r="J16" i="14"/>
  <c r="C29" i="11"/>
  <c r="B30" i="10"/>
  <c r="H54" i="14"/>
  <c r="F54" i="14"/>
  <c r="I16" i="14"/>
  <c r="C29" i="10"/>
  <c r="D29" i="10" s="1"/>
  <c r="C45" i="5"/>
  <c r="N11" i="14"/>
  <c r="F10" i="1"/>
  <c r="C34" i="14"/>
  <c r="C41" i="4"/>
  <c r="D41" i="4" s="1"/>
  <c r="C33" i="14"/>
  <c r="D26" i="6"/>
  <c r="E25" i="14"/>
  <c r="C44" i="6"/>
  <c r="E26" i="8"/>
  <c r="H30" i="14" s="1"/>
  <c r="D26" i="8"/>
  <c r="E34" i="14"/>
  <c r="C41" i="6"/>
  <c r="D41" i="5"/>
  <c r="E43" i="10"/>
  <c r="C43" i="11"/>
  <c r="K18" i="14"/>
  <c r="C31" i="12"/>
  <c r="D31" i="12" s="1"/>
  <c r="K22" i="14"/>
  <c r="C36" i="12"/>
  <c r="D36" i="12" s="1"/>
  <c r="H6" i="6"/>
  <c r="F15" i="14"/>
  <c r="C27" i="7"/>
  <c r="F19" i="14"/>
  <c r="C33" i="7"/>
  <c r="D20" i="14"/>
  <c r="H12" i="1" s="1"/>
  <c r="C34" i="5"/>
  <c r="C45" i="9"/>
  <c r="D44" i="13"/>
  <c r="M25" i="14"/>
  <c r="L22" i="14"/>
  <c r="C36" i="13"/>
  <c r="E36" i="13" s="1"/>
  <c r="E16" i="14"/>
  <c r="C29" i="6"/>
  <c r="D28" i="10"/>
  <c r="E28" i="10"/>
  <c r="E28" i="14"/>
  <c r="B45" i="5"/>
  <c r="L25" i="14"/>
  <c r="C44" i="13"/>
  <c r="D17" i="13"/>
  <c r="G28" i="14"/>
  <c r="B45" i="7"/>
  <c r="I15" i="14"/>
  <c r="C27" i="10"/>
  <c r="D27" i="10" s="1"/>
  <c r="K25" i="14"/>
  <c r="C44" i="12"/>
  <c r="D44" i="12" s="1"/>
  <c r="L15" i="14"/>
  <c r="C27" i="13"/>
  <c r="L17" i="14"/>
  <c r="C30" i="13"/>
  <c r="D30" i="13" s="1"/>
  <c r="B42" i="12"/>
  <c r="M18" i="14"/>
  <c r="M22" i="14"/>
  <c r="D36" i="13"/>
  <c r="C37" i="14"/>
  <c r="D2" i="3"/>
  <c r="D11" i="1"/>
  <c r="C15" i="14"/>
  <c r="E27" i="3"/>
  <c r="C27" i="4"/>
  <c r="E27" i="4" s="1"/>
  <c r="D27" i="3"/>
  <c r="C19" i="14"/>
  <c r="E33" i="3"/>
  <c r="C31" i="14" s="1"/>
  <c r="C33" i="4"/>
  <c r="E33" i="4" s="1"/>
  <c r="D31" i="14" s="1"/>
  <c r="D33" i="3"/>
  <c r="E18" i="14"/>
  <c r="C31" i="6"/>
  <c r="E31" i="6" s="1"/>
  <c r="E21" i="14"/>
  <c r="C35" i="6"/>
  <c r="E35" i="6" s="1"/>
  <c r="G33" i="14"/>
  <c r="E28" i="9"/>
  <c r="K34" i="14"/>
  <c r="C41" i="12"/>
  <c r="D41" i="12" s="1"/>
  <c r="D41" i="11"/>
  <c r="D32" i="3"/>
  <c r="B32" i="1"/>
  <c r="C43" i="5"/>
  <c r="E43" i="5" s="1"/>
  <c r="C43" i="6"/>
  <c r="E32" i="10"/>
  <c r="J32" i="14" s="1"/>
  <c r="D32" i="10"/>
  <c r="J25" i="14"/>
  <c r="C44" i="11"/>
  <c r="D44" i="11" s="1"/>
  <c r="D44" i="10"/>
  <c r="B45" i="14"/>
  <c r="K15" i="14"/>
  <c r="C27" i="12"/>
  <c r="E27" i="12" s="1"/>
  <c r="K19" i="14"/>
  <c r="C33" i="12"/>
  <c r="F16" i="14"/>
  <c r="E29" i="6"/>
  <c r="C29" i="7"/>
  <c r="D29" i="6"/>
  <c r="F20" i="14"/>
  <c r="H14" i="1" s="1"/>
  <c r="C34" i="7"/>
  <c r="D34" i="6"/>
  <c r="H38" i="14"/>
  <c r="E16" i="1"/>
  <c r="A3" i="8"/>
  <c r="I25" i="14"/>
  <c r="C44" i="10"/>
  <c r="C43" i="13"/>
  <c r="D43" i="13" s="1"/>
  <c r="E26" i="12"/>
  <c r="L30" i="14" s="1"/>
  <c r="D26" i="12"/>
  <c r="D16" i="14"/>
  <c r="C29" i="5"/>
  <c r="D29" i="5" s="1"/>
  <c r="I28" i="14"/>
  <c r="B56" i="14" s="1"/>
  <c r="B45" i="9"/>
  <c r="L16" i="14"/>
  <c r="C29" i="13"/>
  <c r="D29" i="13" s="1"/>
  <c r="M17" i="14"/>
  <c r="E30" i="13"/>
  <c r="B42" i="13"/>
  <c r="E20" i="14"/>
  <c r="H13" i="1" s="1"/>
  <c r="C34" i="6"/>
  <c r="D34" i="5"/>
  <c r="E26" i="10"/>
  <c r="J30" i="14" s="1"/>
  <c r="D26" i="10"/>
  <c r="M34" i="14"/>
  <c r="D41" i="13"/>
  <c r="C28" i="14"/>
  <c r="B45" i="3"/>
  <c r="G34" i="14"/>
  <c r="C41" i="8"/>
  <c r="D41" i="8" s="1"/>
  <c r="I33" i="14"/>
  <c r="B20" i="14"/>
  <c r="H10" i="1" s="1"/>
  <c r="C34" i="3"/>
  <c r="D34" i="3" s="1"/>
  <c r="D34" i="2"/>
  <c r="D17" i="14"/>
  <c r="B42" i="4"/>
  <c r="C30" i="5"/>
  <c r="E30" i="5" s="1"/>
  <c r="D28" i="4"/>
  <c r="E37" i="14"/>
  <c r="D2" i="5"/>
  <c r="D13" i="1"/>
  <c r="F38" i="14"/>
  <c r="E14" i="1"/>
  <c r="A3" i="6"/>
  <c r="E32" i="8"/>
  <c r="H32" i="14" s="1"/>
  <c r="D32" i="8"/>
  <c r="J38" i="14"/>
  <c r="A3" i="10"/>
  <c r="E18" i="1"/>
  <c r="D18" i="14"/>
  <c r="C31" i="5"/>
  <c r="D31" i="5" s="1"/>
  <c r="D22" i="14"/>
  <c r="C36" i="5"/>
  <c r="E36" i="5" s="1"/>
  <c r="C45" i="13"/>
  <c r="B35" i="9"/>
  <c r="J15" i="14"/>
  <c r="E27" i="10"/>
  <c r="C27" i="11"/>
  <c r="D27" i="11" s="1"/>
  <c r="L18" i="14"/>
  <c r="C31" i="13"/>
  <c r="E31" i="13" s="1"/>
  <c r="M15" i="14"/>
  <c r="E27" i="13"/>
  <c r="D27" i="13"/>
  <c r="M19" i="14"/>
  <c r="E26" i="4"/>
  <c r="D30" i="14" s="1"/>
  <c r="D26" i="4"/>
  <c r="C21" i="14"/>
  <c r="E35" i="3"/>
  <c r="C35" i="4"/>
  <c r="E35" i="4" s="1"/>
  <c r="D35" i="3"/>
  <c r="C16" i="14"/>
  <c r="E29" i="3"/>
  <c r="C29" i="4"/>
  <c r="E29" i="4" s="1"/>
  <c r="D29" i="3"/>
  <c r="C20" i="14"/>
  <c r="H11" i="1" s="1"/>
  <c r="C34" i="4"/>
  <c r="D34" i="4" s="1"/>
  <c r="E43" i="6"/>
  <c r="C43" i="7"/>
  <c r="D43" i="6"/>
  <c r="E19" i="14"/>
  <c r="C33" i="6"/>
  <c r="E33" i="6" s="1"/>
  <c r="F31" i="14" s="1"/>
  <c r="E22" i="14"/>
  <c r="C36" i="6"/>
  <c r="H15" i="14"/>
  <c r="C27" i="9"/>
  <c r="D27" i="9" s="1"/>
  <c r="D32" i="12"/>
  <c r="E32" i="12"/>
  <c r="L32" i="14" s="1"/>
  <c r="D37" i="10"/>
  <c r="E37" i="10"/>
  <c r="E43" i="2"/>
  <c r="C43" i="3"/>
  <c r="D43" i="3" s="1"/>
  <c r="D43" i="2"/>
  <c r="E32" i="4"/>
  <c r="D32" i="14" s="1"/>
  <c r="D32" i="4"/>
  <c r="E43" i="3"/>
  <c r="C43" i="4"/>
  <c r="E43" i="4" s="1"/>
  <c r="D25" i="14"/>
  <c r="C44" i="5"/>
  <c r="D44" i="5" s="1"/>
  <c r="E33" i="14"/>
  <c r="D26" i="7"/>
  <c r="J33" i="14"/>
  <c r="D32" i="1"/>
  <c r="D31" i="1"/>
  <c r="I37" i="14"/>
  <c r="D2" i="9"/>
  <c r="D17" i="1"/>
  <c r="B37" i="14"/>
  <c r="D10" i="1"/>
  <c r="D2" i="2"/>
  <c r="K16" i="14"/>
  <c r="E29" i="11"/>
  <c r="D29" i="11"/>
  <c r="C29" i="12"/>
  <c r="D29" i="12" s="1"/>
  <c r="K20" i="14"/>
  <c r="H19" i="1" s="1"/>
  <c r="C34" i="12"/>
  <c r="D34" i="12" s="1"/>
  <c r="F21" i="14"/>
  <c r="C35" i="7"/>
  <c r="D35" i="6"/>
  <c r="F17" i="14"/>
  <c r="C30" i="7"/>
  <c r="B42" i="6"/>
  <c r="H6" i="8"/>
  <c r="J28" i="14"/>
  <c r="B45" i="10"/>
  <c r="H25" i="14"/>
  <c r="C44" i="9"/>
  <c r="D44" i="9" s="1"/>
  <c r="C43" i="12"/>
  <c r="D43" i="12" s="1"/>
  <c r="D43" i="11"/>
  <c r="E43" i="11"/>
  <c r="L20" i="14"/>
  <c r="H20" i="1" s="1"/>
  <c r="C34" i="13"/>
  <c r="M21" i="14"/>
  <c r="C18" i="14"/>
  <c r="E31" i="3"/>
  <c r="C31" i="4"/>
  <c r="D31" i="4" s="1"/>
  <c r="D31" i="3"/>
  <c r="F34" i="14"/>
  <c r="C41" i="7"/>
  <c r="D41" i="7" s="1"/>
  <c r="D41" i="6"/>
  <c r="G25" i="14"/>
  <c r="C44" i="8"/>
  <c r="D44" i="8" s="1"/>
  <c r="D28" i="5"/>
  <c r="E28" i="5"/>
  <c r="D21" i="14"/>
  <c r="C35" i="5"/>
  <c r="D35" i="5" s="1"/>
  <c r="D35" i="4"/>
  <c r="B34" i="14"/>
  <c r="C41" i="3"/>
  <c r="D41" i="3" s="1"/>
  <c r="D41" i="2"/>
  <c r="C43" i="9"/>
  <c r="D43" i="9" s="1"/>
  <c r="C43" i="10"/>
  <c r="D43" i="10" s="1"/>
  <c r="K28" i="14"/>
  <c r="B45" i="11"/>
  <c r="D15" i="14"/>
  <c r="C27" i="5"/>
  <c r="E27" i="5" s="1"/>
  <c r="D27" i="4"/>
  <c r="D19" i="14"/>
  <c r="C33" i="5"/>
  <c r="D33" i="5" s="1"/>
  <c r="D33" i="4"/>
  <c r="D17" i="6"/>
  <c r="E37" i="7"/>
  <c r="D37" i="7"/>
  <c r="B34" i="7"/>
  <c r="B33" i="7"/>
  <c r="B31" i="7"/>
  <c r="B30" i="7"/>
  <c r="B29" i="7"/>
  <c r="B27" i="7"/>
  <c r="H4" i="7"/>
  <c r="B36" i="7"/>
  <c r="B35" i="7"/>
  <c r="H6" i="7"/>
  <c r="B30" i="9"/>
  <c r="B35" i="10"/>
  <c r="L21" i="14"/>
  <c r="C35" i="13"/>
  <c r="D35" i="13" s="1"/>
  <c r="L19" i="14"/>
  <c r="E33" i="12"/>
  <c r="L31" i="14" s="1"/>
  <c r="C33" i="13"/>
  <c r="E33" i="13" s="1"/>
  <c r="M31" i="14" s="1"/>
  <c r="D33" i="12"/>
  <c r="M16" i="14"/>
  <c r="E29" i="13"/>
  <c r="M20" i="14"/>
  <c r="H21" i="1" s="1"/>
  <c r="D34" i="13"/>
  <c r="B28" i="14"/>
  <c r="B45" i="2"/>
  <c r="C22" i="14"/>
  <c r="C36" i="4"/>
  <c r="E36" i="4" s="1"/>
  <c r="E36" i="3"/>
  <c r="D36" i="3"/>
  <c r="C17" i="14"/>
  <c r="E30" i="3"/>
  <c r="C30" i="4"/>
  <c r="D30" i="4" s="1"/>
  <c r="B42" i="3"/>
  <c r="D30" i="3"/>
  <c r="F25" i="14"/>
  <c r="C44" i="7"/>
  <c r="D44" i="7" s="1"/>
  <c r="D44" i="6"/>
  <c r="E15" i="14"/>
  <c r="C27" i="6"/>
  <c r="E27" i="6" s="1"/>
  <c r="E17" i="14"/>
  <c r="C30" i="6"/>
  <c r="D30" i="6" s="1"/>
  <c r="B42" i="5"/>
  <c r="E43" i="7"/>
  <c r="C43" i="8"/>
  <c r="E43" i="8" s="1"/>
  <c r="D43" i="7"/>
  <c r="H16" i="14"/>
  <c r="C29" i="9"/>
  <c r="D29" i="9" s="1"/>
  <c r="B30" i="8"/>
  <c r="B25" i="14"/>
  <c r="C44" i="3"/>
  <c r="D44" i="3" s="1"/>
  <c r="D44" i="2"/>
  <c r="C25" i="14"/>
  <c r="C44" i="4"/>
  <c r="D44" i="4" s="1"/>
  <c r="D33" i="14"/>
  <c r="I34" i="14"/>
  <c r="C41" i="10"/>
  <c r="D41" i="10" s="1"/>
  <c r="D41" i="9"/>
  <c r="B53" i="14"/>
  <c r="H6" i="10"/>
  <c r="K17" i="14"/>
  <c r="C30" i="12"/>
  <c r="D30" i="12" s="1"/>
  <c r="B42" i="11"/>
  <c r="C35" i="12"/>
  <c r="E35" i="12" s="1"/>
  <c r="K21" i="14"/>
  <c r="F22" i="14"/>
  <c r="C36" i="7"/>
  <c r="D36" i="6"/>
  <c r="E36" i="6"/>
  <c r="F18" i="14"/>
  <c r="C31" i="7"/>
  <c r="E27" i="11" l="1"/>
  <c r="E43" i="9"/>
  <c r="B35" i="8"/>
  <c r="N34" i="14"/>
  <c r="D30" i="5"/>
  <c r="D27" i="5"/>
  <c r="D43" i="5"/>
  <c r="E35" i="5"/>
  <c r="D36" i="5"/>
  <c r="E31" i="12"/>
  <c r="D31" i="13"/>
  <c r="D27" i="12"/>
  <c r="G17" i="14"/>
  <c r="C30" i="8"/>
  <c r="D30" i="8" s="1"/>
  <c r="E30" i="7"/>
  <c r="B42" i="7"/>
  <c r="D30" i="7"/>
  <c r="F32" i="1"/>
  <c r="F31" i="1"/>
  <c r="D56" i="14"/>
  <c r="H56" i="14" s="1"/>
  <c r="E33" i="5"/>
  <c r="E31" i="14" s="1"/>
  <c r="E31" i="4"/>
  <c r="M35" i="14"/>
  <c r="E29" i="10"/>
  <c r="D31" i="6"/>
  <c r="L39" i="14"/>
  <c r="G20" i="1"/>
  <c r="I17" i="14"/>
  <c r="B48" i="14" s="1"/>
  <c r="C30" i="10"/>
  <c r="D30" i="10" s="1"/>
  <c r="B42" i="9"/>
  <c r="B31" i="9"/>
  <c r="G18" i="14"/>
  <c r="C31" i="8"/>
  <c r="E31" i="7"/>
  <c r="D31" i="7"/>
  <c r="D43" i="8"/>
  <c r="H37" i="14"/>
  <c r="D2" i="8"/>
  <c r="D16" i="1"/>
  <c r="E30" i="6"/>
  <c r="D33" i="13"/>
  <c r="D35" i="14"/>
  <c r="C42" i="5"/>
  <c r="E29" i="12"/>
  <c r="D29" i="4"/>
  <c r="E43" i="12"/>
  <c r="D43" i="4"/>
  <c r="C39" i="14"/>
  <c r="G11" i="1"/>
  <c r="E27" i="9"/>
  <c r="M28" i="14"/>
  <c r="B45" i="13"/>
  <c r="C45" i="6"/>
  <c r="D45" i="5"/>
  <c r="E45" i="5"/>
  <c r="E29" i="5"/>
  <c r="E36" i="12"/>
  <c r="D33" i="6"/>
  <c r="D27" i="6"/>
  <c r="F37" i="14"/>
  <c r="D14" i="1"/>
  <c r="D2" i="6"/>
  <c r="E29" i="9"/>
  <c r="J17" i="14"/>
  <c r="D48" i="14" s="1"/>
  <c r="C30" i="11"/>
  <c r="B42" i="10"/>
  <c r="B31" i="10"/>
  <c r="G22" i="14"/>
  <c r="C36" i="8"/>
  <c r="E36" i="7"/>
  <c r="D36" i="7"/>
  <c r="E35" i="13"/>
  <c r="E30" i="4"/>
  <c r="L35" i="14"/>
  <c r="C42" i="13"/>
  <c r="D42" i="13" s="1"/>
  <c r="H17" i="14"/>
  <c r="C30" i="9"/>
  <c r="D30" i="9" s="1"/>
  <c r="E30" i="8"/>
  <c r="B42" i="8"/>
  <c r="B31" i="8"/>
  <c r="D35" i="12"/>
  <c r="E43" i="13"/>
  <c r="G37" i="14"/>
  <c r="D2" i="7"/>
  <c r="D15" i="1"/>
  <c r="G15" i="14"/>
  <c r="C27" i="8"/>
  <c r="E27" i="7"/>
  <c r="D27" i="7"/>
  <c r="G19" i="14"/>
  <c r="C33" i="8"/>
  <c r="E33" i="7"/>
  <c r="G31" i="14" s="1"/>
  <c r="D33" i="7"/>
  <c r="F28" i="14"/>
  <c r="B45" i="6"/>
  <c r="D39" i="14"/>
  <c r="G12" i="1"/>
  <c r="I21" i="14"/>
  <c r="B51" i="14" s="1"/>
  <c r="C35" i="10"/>
  <c r="E35" i="10" s="1"/>
  <c r="D36" i="4"/>
  <c r="C45" i="4"/>
  <c r="K39" i="14"/>
  <c r="G19" i="1"/>
  <c r="E31" i="5"/>
  <c r="E30" i="12"/>
  <c r="E35" i="14"/>
  <c r="C42" i="6"/>
  <c r="D42" i="6" s="1"/>
  <c r="D42" i="5"/>
  <c r="J21" i="14"/>
  <c r="D51" i="14" s="1"/>
  <c r="C35" i="11"/>
  <c r="D35" i="10"/>
  <c r="M39" i="14"/>
  <c r="G21" i="1"/>
  <c r="F39" i="14"/>
  <c r="G14" i="1"/>
  <c r="K35" i="14"/>
  <c r="C42" i="12"/>
  <c r="D42" i="12" s="1"/>
  <c r="J37" i="14"/>
  <c r="B25" i="1" s="1"/>
  <c r="D2" i="10"/>
  <c r="D18" i="1"/>
  <c r="H53" i="14"/>
  <c r="F53" i="14"/>
  <c r="C35" i="14"/>
  <c r="C42" i="4"/>
  <c r="D42" i="4" s="1"/>
  <c r="D42" i="3"/>
  <c r="E45" i="2"/>
  <c r="C45" i="3"/>
  <c r="E45" i="3" s="1"/>
  <c r="D45" i="2"/>
  <c r="G21" i="14"/>
  <c r="C35" i="8"/>
  <c r="E35" i="7"/>
  <c r="D35" i="7"/>
  <c r="G16" i="14"/>
  <c r="C29" i="8"/>
  <c r="E29" i="7"/>
  <c r="D29" i="7"/>
  <c r="G20" i="14"/>
  <c r="H15" i="1" s="1"/>
  <c r="C34" i="8"/>
  <c r="D34" i="7"/>
  <c r="C45" i="12"/>
  <c r="D45" i="11"/>
  <c r="E45" i="10"/>
  <c r="C45" i="11"/>
  <c r="E45" i="11" s="1"/>
  <c r="F35" i="14"/>
  <c r="C42" i="7"/>
  <c r="E39" i="14"/>
  <c r="G13" i="1"/>
  <c r="E45" i="9"/>
  <c r="C45" i="10"/>
  <c r="D45" i="10" s="1"/>
  <c r="D45" i="9"/>
  <c r="F45" i="14"/>
  <c r="H45" i="14"/>
  <c r="C45" i="8"/>
  <c r="N17" i="14" l="1"/>
  <c r="H21" i="14"/>
  <c r="N21" i="14" s="1"/>
  <c r="C35" i="9"/>
  <c r="F56" i="14"/>
  <c r="G39" i="14"/>
  <c r="G15" i="1"/>
  <c r="H18" i="14"/>
  <c r="C31" i="9"/>
  <c r="D31" i="9" s="1"/>
  <c r="E31" i="8"/>
  <c r="D31" i="8"/>
  <c r="B33" i="8"/>
  <c r="E30" i="11"/>
  <c r="D30" i="11"/>
  <c r="D45" i="3"/>
  <c r="J18" i="14"/>
  <c r="C31" i="11"/>
  <c r="B33" i="10"/>
  <c r="E30" i="10"/>
  <c r="I18" i="14"/>
  <c r="C31" i="10"/>
  <c r="D31" i="10" s="1"/>
  <c r="B33" i="9"/>
  <c r="E30" i="9"/>
  <c r="D29" i="8"/>
  <c r="E29" i="8"/>
  <c r="E35" i="11"/>
  <c r="D35" i="11"/>
  <c r="H35" i="14"/>
  <c r="C42" i="9"/>
  <c r="D42" i="9" s="1"/>
  <c r="E45" i="13"/>
  <c r="D45" i="13"/>
  <c r="F48" i="14"/>
  <c r="H48" i="14"/>
  <c r="E45" i="4"/>
  <c r="D45" i="4"/>
  <c r="D35" i="8"/>
  <c r="E35" i="8"/>
  <c r="D45" i="8"/>
  <c r="E45" i="8"/>
  <c r="D45" i="12"/>
  <c r="E45" i="12"/>
  <c r="H51" i="14"/>
  <c r="F51" i="14"/>
  <c r="E45" i="6"/>
  <c r="C45" i="7"/>
  <c r="D45" i="6"/>
  <c r="D27" i="8"/>
  <c r="E27" i="8"/>
  <c r="J35" i="14"/>
  <c r="C42" i="11"/>
  <c r="D42" i="11" s="1"/>
  <c r="I35" i="14"/>
  <c r="C42" i="10"/>
  <c r="D42" i="10" s="1"/>
  <c r="G35" i="14"/>
  <c r="C42" i="8"/>
  <c r="D42" i="8" s="1"/>
  <c r="D42" i="7"/>
  <c r="D35" i="9" l="1"/>
  <c r="E35" i="9"/>
  <c r="E31" i="10"/>
  <c r="E31" i="9"/>
  <c r="J19" i="14"/>
  <c r="C33" i="11"/>
  <c r="B34" i="10"/>
  <c r="B36" i="10"/>
  <c r="H19" i="14"/>
  <c r="C33" i="9"/>
  <c r="E33" i="9" s="1"/>
  <c r="I31" i="14" s="1"/>
  <c r="E33" i="8"/>
  <c r="H31" i="14" s="1"/>
  <c r="D33" i="8"/>
  <c r="B36" i="8"/>
  <c r="B34" i="8"/>
  <c r="N18" i="14"/>
  <c r="E45" i="7"/>
  <c r="D45" i="7"/>
  <c r="I19" i="14"/>
  <c r="C33" i="10"/>
  <c r="E33" i="10" s="1"/>
  <c r="J31" i="14" s="1"/>
  <c r="B36" i="9"/>
  <c r="B34" i="9"/>
  <c r="D31" i="11"/>
  <c r="E31" i="11"/>
  <c r="D33" i="9" l="1"/>
  <c r="J22" i="14"/>
  <c r="C36" i="11"/>
  <c r="I20" i="14"/>
  <c r="C34" i="10"/>
  <c r="D34" i="10" s="1"/>
  <c r="J20" i="14"/>
  <c r="C34" i="11"/>
  <c r="D34" i="11" s="1"/>
  <c r="J39" i="14"/>
  <c r="G18" i="1"/>
  <c r="D28" i="1"/>
  <c r="D27" i="1"/>
  <c r="D49" i="14"/>
  <c r="I22" i="14"/>
  <c r="B52" i="14" s="1"/>
  <c r="C36" i="10"/>
  <c r="E36" i="10" s="1"/>
  <c r="I39" i="14"/>
  <c r="G17" i="1"/>
  <c r="B49" i="14"/>
  <c r="H20" i="14"/>
  <c r="H16" i="1" s="1"/>
  <c r="C34" i="9"/>
  <c r="D34" i="9" s="1"/>
  <c r="D34" i="8"/>
  <c r="D33" i="10"/>
  <c r="H22" i="14"/>
  <c r="C36" i="9"/>
  <c r="D36" i="9" s="1"/>
  <c r="D36" i="8"/>
  <c r="E36" i="8"/>
  <c r="H39" i="14"/>
  <c r="G16" i="1"/>
  <c r="N19" i="14"/>
  <c r="E33" i="11"/>
  <c r="K31" i="14" s="1"/>
  <c r="D33" i="11"/>
  <c r="H18" i="1" l="1"/>
  <c r="F27" i="1"/>
  <c r="F28" i="1"/>
  <c r="D50" i="14"/>
  <c r="D36" i="10"/>
  <c r="N20" i="14"/>
  <c r="E36" i="9"/>
  <c r="E36" i="11"/>
  <c r="D36" i="11"/>
  <c r="F49" i="14"/>
  <c r="H49" i="14"/>
  <c r="H17" i="1"/>
  <c r="B50" i="14"/>
  <c r="D52" i="14"/>
  <c r="H52" i="14" s="1"/>
  <c r="N22" i="14"/>
  <c r="F50" i="14" l="1"/>
  <c r="F52" i="14"/>
</calcChain>
</file>

<file path=xl/sharedStrings.xml><?xml version="1.0" encoding="utf-8"?>
<sst xmlns="http://schemas.openxmlformats.org/spreadsheetml/2006/main" count="1077" uniqueCount="177">
  <si>
    <t>لوحة التحكم — الأرباح الحقيقية بالدولار 2026</t>
  </si>
  <si>
    <t>الخلايا الصفراء بخط أزرق = خلايا إدخال، وكل ما عداها معادلات. كل المبالغ في التقارير بالدولار الأمريكي.</t>
  </si>
  <si>
    <t>الإعدادات</t>
  </si>
  <si>
    <t>رقم الشهر المعروض</t>
  </si>
  <si>
    <t>الشهر المعروض في الملخص</t>
  </si>
  <si>
    <t>آخر شهر متوفر</t>
  </si>
  <si>
    <t>اتركه «آخر شهر متوفر» ليتبع آخر شهر أُدخلت مبيعاته، أو اختر شهرًا بعينه</t>
  </si>
  <si>
    <t>أول شهر لبيانات المستودع (رقم)</t>
  </si>
  <si>
    <t>6 = حزيران؛ قبله لا تُطلب بيانات مستودع ولا يُحسب ربح حقيقي</t>
  </si>
  <si>
    <t>سعر الصرف الشهري (ل.س مقابل 1$) وحالة كل شهر — أدخل سعر كل شهر</t>
  </si>
  <si>
    <t>الشهر</t>
  </si>
  <si>
    <t>سعر الصرف</t>
  </si>
  <si>
    <t>حالة الشهر</t>
  </si>
  <si>
    <t>تنبيهات</t>
  </si>
  <si>
    <t>المبيعات $</t>
  </si>
  <si>
    <t>الربح الحقيقي $</t>
  </si>
  <si>
    <t>هامش الربح</t>
  </si>
  <si>
    <t>يناير</t>
  </si>
  <si>
    <t>فبراير</t>
  </si>
  <si>
    <t>مارس</t>
  </si>
  <si>
    <t>أبريل</t>
  </si>
  <si>
    <t>مايو</t>
  </si>
  <si>
    <t>يونيو</t>
  </si>
  <si>
    <t>يوليو</t>
  </si>
  <si>
    <t>أغسطس</t>
  </si>
  <si>
    <t>سبتمبر</t>
  </si>
  <si>
    <t>أكتوبر</t>
  </si>
  <si>
    <t>نوفمبر</t>
  </si>
  <si>
    <t>ديسمبر</t>
  </si>
  <si>
    <t>ملخص الشهر المعروض</t>
  </si>
  <si>
    <t>المبيعات</t>
  </si>
  <si>
    <t>الربح الحقيقي التشغيلي</t>
  </si>
  <si>
    <t>هامش الربح الحقيقي</t>
  </si>
  <si>
    <t>المصاريف</t>
  </si>
  <si>
    <t>قيمة المخزون</t>
  </si>
  <si>
    <t>صافي المركز المالي</t>
  </si>
  <si>
    <t>الربح الحقيقي التشغيلي = المبيعات − تكلفة المبيعات − المصاريف، وتكلفة المبيعات = مخزون أول الشهر + المشتريات − مخزون آخر الشهر (من ملف المستودع). أثر تغير الصرف على مخزون الليرة يظهر في سطر مستقل داخل صفحة كل شهر وفي المقارنة.</t>
  </si>
  <si>
    <t>تقرير شهر يناير 2026 — الأرباح الحقيقية بالدولار الأمريكي</t>
  </si>
  <si>
    <t>خلايا مساعدة (خارج الطباعة)</t>
  </si>
  <si>
    <t>سعر الصرف المعتمد (ل.س مقابل 1$) — من لوحة التحكم</t>
  </si>
  <si>
    <t>سعر صرف الشهر السابق</t>
  </si>
  <si>
    <t>الربح الحقيقي جاهز؟ (1/0)</t>
  </si>
  <si>
    <t>مدخلات الشهر (أدخل بالليرة السورية من برنامج المحاسبة) — الخلايا الصفراء</t>
  </si>
  <si>
    <t>أثر الصرف على مخزون الليرة ($)</t>
  </si>
  <si>
    <t>البيان</t>
  </si>
  <si>
    <t>المبلغ (ل.س)</t>
  </si>
  <si>
    <t>المعادل ($)</t>
  </si>
  <si>
    <t>ملاحظة</t>
  </si>
  <si>
    <t>فيه بيانات؟ (1/0)</t>
  </si>
  <si>
    <t>إجمالي مبيعات الشهر</t>
  </si>
  <si>
    <t>المشتريات</t>
  </si>
  <si>
    <t>مشتريات الشهر (مواد وبضاعة)</t>
  </si>
  <si>
    <t>تنبيه: سعر الصرف ناقص</t>
  </si>
  <si>
    <t>مصاريف التشغيل والرواتب...</t>
  </si>
  <si>
    <t>تنبيه: مدخلات ناقصة</t>
  </si>
  <si>
    <t>الربح التقديري (مبيعات − مشتريات − مصاريف)</t>
  </si>
  <si>
    <t>للمرجع فقط — لا يأخذ المخزون بالحسبان</t>
  </si>
  <si>
    <t>تنبيه: بيانات المستودع ناقصة</t>
  </si>
  <si>
    <t>تنبيه: صف شهر آخر</t>
  </si>
  <si>
    <t>الصندوق والديون بالعملتين</t>
  </si>
  <si>
    <t>تنبيه: سعر صرف مختلف</t>
  </si>
  <si>
    <t>ليرة سورية</t>
  </si>
  <si>
    <t>دولار أمريكي</t>
  </si>
  <si>
    <t>الإجمالي ($)</t>
  </si>
  <si>
    <t>تنبيه: أخطاء بالمستودع</t>
  </si>
  <si>
    <t>الصندوق (كاش فعلي)</t>
  </si>
  <si>
    <t>مجموع التنبيهات</t>
  </si>
  <si>
    <t>ديون لنا (مستحقة لنا)</t>
  </si>
  <si>
    <t>أول شهر لبيانات المستودع</t>
  </si>
  <si>
    <t>ديون علينا</t>
  </si>
  <si>
    <t>رقم هذا الشهر</t>
  </si>
  <si>
    <t>صافي الدين (لنا − علينا)</t>
  </si>
  <si>
    <t>صافي المركز المالي (صندوق + ديون لنا − ديون علينا)</t>
  </si>
  <si>
    <t>بيانات المستودع — الصق صفًّا واحدًا كـ «قيم» من ورقة «تصدير للتقارير» في ملف المستودع</t>
  </si>
  <si>
    <t>رقم الشهر</t>
  </si>
  <si>
    <t>سعر صرف المستودع</t>
  </si>
  <si>
    <t>مخزون مسعّر بالدولار ($)</t>
  </si>
  <si>
    <t>مخزون مسعّر بالليرة (ل.س)</t>
  </si>
  <si>
    <t>أصناف بها أخطاء</t>
  </si>
  <si>
    <t>قيمة المخزون الكلية بالدولار (بسعر الشراء وسعر صرف الشهر)</t>
  </si>
  <si>
    <t>المسعّر بالدولار + (المسعّر بالليرة ÷ سعر الصرف)</t>
  </si>
  <si>
    <t>التقرير الشهري بالدولار الأمريكي</t>
  </si>
  <si>
    <t>هذا الشهر ($)</t>
  </si>
  <si>
    <t>الشهر السابق ($)</t>
  </si>
  <si>
    <t>التغير ($)</t>
  </si>
  <si>
    <t>التغير %</t>
  </si>
  <si>
    <t>مخزون أول الشهر (= مخزون آخر الشهر السابق)</t>
  </si>
  <si>
    <t>(+) المشتريات</t>
  </si>
  <si>
    <t>(−) مخزون آخر الشهر (بعد عزل أثر الصرف)</t>
  </si>
  <si>
    <t>(=) تكلفة المبيعات</t>
  </si>
  <si>
    <t>مجمل الربح (المبيعات − التكلفة)</t>
  </si>
  <si>
    <t>(−) المصاريف</t>
  </si>
  <si>
    <t>(=) الربح الحقيقي التشغيلي</t>
  </si>
  <si>
    <t>هامش الربح الحقيقي %</t>
  </si>
  <si>
    <t>أثر تغير الصرف على مخزون الليرة</t>
  </si>
  <si>
    <t>صافي الربح بعد أثر الصرف</t>
  </si>
  <si>
    <t>للمرجع: الربح التقديري (مبيعات − مشتريات − مصاريف)</t>
  </si>
  <si>
    <t>مؤشرات إضافية</t>
  </si>
  <si>
    <t>المؤشر</t>
  </si>
  <si>
    <t>هذا الشهر</t>
  </si>
  <si>
    <t>الشهر السابق</t>
  </si>
  <si>
    <t>التغير</t>
  </si>
  <si>
    <t>نسبة المصاريف من المبيعات %</t>
  </si>
  <si>
    <t>نسبة تكلفة المبيعات من المبيعات %</t>
  </si>
  <si>
    <t>قيمة المخزون الكلية ($)</t>
  </si>
  <si>
    <t>نسبة المخزون المسعّر بالليرة %</t>
  </si>
  <si>
    <t>صافي المركز المالي ($)</t>
  </si>
  <si>
    <t>طريقة الحساب: تكلفة المبيعات = مخزون أول الشهر + المشتريات − مخزون آخر الشهر. مخزون آخر الشهر مُعدَّل بعزل أثر تغير سعر الصرف على الأصناف المسعّرة بالليرة، فيبقى الربح التشغيلي نظيفًا من أثر الصرف، ويظهر الأثر في سطر مستقل.</t>
  </si>
  <si>
    <t>تقرير شهر فبراير 2026 — الأرباح الحقيقية بالدولار الأمريكي</t>
  </si>
  <si>
    <t>تقرير شهر مارس 2026 — الأرباح الحقيقية بالدولار الأمريكي</t>
  </si>
  <si>
    <t>تقرير شهر أبريل 2026 — الأرباح الحقيقية بالدولار الأمريكي</t>
  </si>
  <si>
    <t>تقرير شهر مايو 2026 — الأرباح الحقيقية بالدولار الأمريكي</t>
  </si>
  <si>
    <t>تقرير شهر يونيو 2026 — الأرباح الحقيقية بالدولار الأمريكي</t>
  </si>
  <si>
    <t>تقرير شهر يوليو 2026 — الأرباح الحقيقية بالدولار الأمريكي</t>
  </si>
  <si>
    <t>تقرير شهر أغسطس 2026 — الأرباح الحقيقية بالدولار الأمريكي</t>
  </si>
  <si>
    <t>تقرير شهر سبتمبر 2026 — الأرباح الحقيقية بالدولار الأمريكي</t>
  </si>
  <si>
    <t>تقرير شهر أكتوبر 2026 — الأرباح الحقيقية بالدولار الأمريكي</t>
  </si>
  <si>
    <t>تقرير شهر نوفمبر 2026 — الأرباح الحقيقية بالدولار الأمريكي</t>
  </si>
  <si>
    <t>تقرير شهر ديسمبر 2026 — الأرباح الحقيقية بالدولار الأمريكي</t>
  </si>
  <si>
    <t>المقارنة الشاملة بين الأشهر — كل المبالغ بالدولار الأمريكي (ما لم يُذكر غير ذلك)</t>
  </si>
  <si>
    <t>الأشهر التي لا تظهر أرقامها تنقصها بيانات أو سعر صرف — راجع لوحة التحكم.</t>
  </si>
  <si>
    <t>الإجمالي</t>
  </si>
  <si>
    <t>سعر الصرف (ل.س لكل 1$)</t>
  </si>
  <si>
    <t>المبيعات (مليون ل.س)</t>
  </si>
  <si>
    <t>المشتريات (مليون ل.س)</t>
  </si>
  <si>
    <t>المصاريف (مليون ل.س)</t>
  </si>
  <si>
    <t>بالدولار الأمريكي — الأرباح</t>
  </si>
  <si>
    <t>المشتريات $</t>
  </si>
  <si>
    <t>المصاريف $</t>
  </si>
  <si>
    <t>الربح التقديري $ (مبيعات−مشتريات−مصاريف)</t>
  </si>
  <si>
    <t>مخزون أول الشهر $</t>
  </si>
  <si>
    <t>مخزون آخر الشهر (معدّل) $</t>
  </si>
  <si>
    <t>تكلفة المبيعات $</t>
  </si>
  <si>
    <t>مجمل الربح $</t>
  </si>
  <si>
    <t>الربح الحقيقي التشغيلي $</t>
  </si>
  <si>
    <t>أثر تغير الصرف على المخزون $</t>
  </si>
  <si>
    <t>صافي الربح بعد أثر الصرف $</t>
  </si>
  <si>
    <t>المخزون والمركز المالي</t>
  </si>
  <si>
    <t>قيمة المخزون الكلية $</t>
  </si>
  <si>
    <t>الصندوق (إجمالي بالدولار) $</t>
  </si>
  <si>
    <t>صافي الديون (لنا − علينا) $</t>
  </si>
  <si>
    <t>صافي المركز المالي $</t>
  </si>
  <si>
    <t>النمو والنسب</t>
  </si>
  <si>
    <t>نمو المبيعات % عن الشهر السابق</t>
  </si>
  <si>
    <t>تغير الربح الحقيقي % عن الشهر السابق</t>
  </si>
  <si>
    <t>تغير المصاريف % عن الشهر السابق</t>
  </si>
  <si>
    <t>تغير قيمة المخزون % عن الشهر السابق</t>
  </si>
  <si>
    <t>حالة البيانات</t>
  </si>
  <si>
    <t>عدد التنبيهات</t>
  </si>
  <si>
    <t>مساعد: مبيعات الأشهر التي لها ربح حقيقي</t>
  </si>
  <si>
    <t>مساعد: رقم الشهر إن وُجدت مبيعاته</t>
  </si>
  <si>
    <t>مقارنة شهرين من اختيارك (اختر من القائمة)</t>
  </si>
  <si>
    <t>الشهر الأول</t>
  </si>
  <si>
    <t>الشهر الثاني</t>
  </si>
  <si>
    <t>رقم1</t>
  </si>
  <si>
    <t>رقم2</t>
  </si>
  <si>
    <t>الفرق</t>
  </si>
  <si>
    <t>الفرق %</t>
  </si>
  <si>
    <t>الرسوم البيانية</t>
  </si>
  <si>
    <t>دليل الاستخدام</t>
  </si>
  <si>
    <t>الإجراء الشهري</t>
  </si>
  <si>
    <t>1) في ملف المستودع: الصق تصدير الأصناف في ورقة الشهر، وأدخل سعر الصرف، وصحّح الأخطاء حتى يظهر ✓ في الخلية K1.</t>
  </si>
  <si>
    <t>2) في ملف المستودع افتح ورقة «تصدير للتقارير» وانسخ صف الشهر (الخلايا الخمس A:E).</t>
  </si>
  <si>
    <t>3) في هذا الملف افتح صفحة الشهر، حدد الخلايا A21:E21 والصق «كقيم» (Ctrl+Alt+V ثم V) كي لا تُنشأ روابط بين الملفين.</t>
  </si>
  <si>
    <t>4) في صفحة الشهر أدخل المبيعات والمشتريات والمصاريف والصندوق والديون بالليرة والدولار (الخلايا الصفراء).</t>
  </si>
  <si>
    <t>5) في «لوحة التحكم» أدخل سعر صرف الشهر. راجع الشريط الملوّن في أعلى صفحة الشهر: أخضر ✓ = مكتمل، أحمر ⚠ = تنبيه يحتاج معالجة.</t>
  </si>
  <si>
    <t>6) اطبع صفحة الشهر مباشرة (A4 عمودي، ورقة واحدة) واطبع «المقارنة» عند الحاجة (A4 أفقي).</t>
  </si>
  <si>
    <t>كيف يُحسب الربح الحقيقي</t>
  </si>
  <si>
    <t>• تكلفة المبيعات = مخزون أول الشهر + مشتريات الشهر − مخزون آخر الشهر. المخزون بسعر الشراء بالدولار من ملف المستودع.</t>
  </si>
  <si>
    <t>• الربح الحقيقي التشغيلي = المبيعات − تكلفة المبيعات − المصاريف. كل المبالغ بالليرة تُقسم على سعر صرف الشهر.</t>
  </si>
  <si>
    <t>• الأصناف المسعّرة بالليرة تتغير قيمتها بالدولار عند تغير الصرف دون أي بيع أو شراء. هذا الأثر يُعزل في سطر «أثر تغير الصرف» ولا يدخل في الربح التشغيلي، ويظهر «صافي الربح بعد أثر الصرف» لمن يريد الصورة الكاملة.</t>
  </si>
  <si>
    <t>• الربح الحقيقي يحتاج مخزون الشهر والشهر السابق وسعر صرف الشهرين؛ لذلك يبدأ من تموز (أول بيانات مستودع في حزيران). الأشهر قبل ذلك تعرض ربحًا تقديريًا فقط (مبيعات − مشتريات − مصاريف).</t>
  </si>
  <si>
    <t>ملاحظات مهمة</t>
  </si>
  <si>
    <t>• دقة الربح الحقيقي من دقة ملف المستودع: الأصناف التي لها كمية وبلا سعر شراء تُهمَل قيمتها، فيقل المخزون ويزيد الربح ظاهريًا. لذلك يظهر تنبيه عند وجود أخطاء في المستودع.</t>
  </si>
  <si>
    <t>• سعر الصرف الشهري واحد لكل شهر (يُفضّل المتوسط). يُعتمد من لوحة التحكم في هذا الملف، ويُقارَن بسعر المستودع الملصوق وينبّه عند الاختلاف.</t>
  </si>
  <si>
    <t>• أشهر كانون الثاني–أيار: أدخل أسعار صرفها في لوحة التحكم لتظهر قيمها بالدولار.</t>
  </si>
  <si>
    <t>• جرد المستودع والأرشيف وتقرير السيولة وكل ما يعتمد عليها حُذفت من هذا الملف، وبقيت بيانات الصندوق والديون في صفحة كل شهر.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</si>
</sst>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numFmt numFmtId="165" formatCode="\$#,##0;[Red]&quot;($&quot;#,##0\);\-"/>
    <numFmt numFmtId="166" formatCode="0.0%;[Red]\-0.0%;\-"/>
    <numFmt numFmtId="167" formatCode="#,##0.##;;\—"/>
    <numFmt numFmtId="168" formatCode="#,##0;[Red]\(#,##0\);\-"/>
    <numFmt numFmtId="169" formatCode="#,##0.0,,;[Red]\-#,##0.0,,;\-"/>
  </numFmts>
  <fonts count="10" x14ac:knownFonts="1">
    <font>
      <sz val="11"/>
      <color theme="1"/>
      <name val="Calibri"/>
      <family val="2"/>
      <charset val="1"/>
    </font>
    <font>
      <b/>
      <sz val="15"/>
      <color rgb="FFFFFFFF"/>
      <name val="Arial"/>
      <charset val="1"/>
    </font>
    <font>
      <sz val="8"/>
      <color rgb="FF808080"/>
      <name val="Arial"/>
      <charset val="1"/>
    </font>
    <font>
      <b/>
      <sz val="10"/>
      <name val="Arial"/>
      <charset val="1"/>
    </font>
    <font>
      <b/>
      <sz val="10"/>
      <color rgb="FF0000FF"/>
      <name val="Arial"/>
      <charset val="1"/>
    </font>
    <font>
      <b/>
      <sz val="10"/>
      <color rgb="FFFFFFFF"/>
      <name val="Arial"/>
      <charset val="1"/>
    </font>
    <font>
      <sz val="10"/>
      <color rgb="FF008000"/>
      <name val="Arial"/>
      <charset val="1"/>
    </font>
    <font>
      <b/>
      <sz val="16"/>
      <color rgb="FF1F4E5F"/>
      <name val="Arial"/>
      <charset val="1"/>
    </font>
    <font>
      <sz val="10"/>
      <name val="Arial"/>
      <charset val="1"/>
    </font>
    <font>
      <sz val="8"/>
      <name val="Arial"/>
      <charset val="1"/>
    </font>
  </fonts>
  <fills count="8">
    <fill>
      <patternFill patternType="none"/>
    </fill>
    <fill>
      <patternFill patternType="gray125"/>
    </fill>
    <fill>
      <patternFill patternType="solid">
        <fgColor rgb="FF1F4E5F"/>
        <bgColor rgb="FF333333"/>
      </patternFill>
    </fill>
    <fill>
      <patternFill patternType="solid">
        <fgColor rgb="FFD9EAF0"/>
        <bgColor rgb="FFE2EFDA"/>
      </patternFill>
    </fill>
    <fill>
      <patternFill patternType="solid">
        <fgColor rgb="FFFFFF99"/>
        <bgColor rgb="FFFFE699"/>
      </patternFill>
    </fill>
    <fill>
      <patternFill patternType="solid">
        <fgColor rgb="FF2E7D8C"/>
        <bgColor rgb="FF4F81BD"/>
      </patternFill>
    </fill>
    <fill>
      <patternFill patternType="solid">
        <fgColor rgb="FFF3F9FB"/>
        <bgColor rgb="FFFFFFFF"/>
      </patternFill>
    </fill>
    <fill>
      <patternFill patternType="solid">
        <fgColor rgb="FFE2EFDA"/>
        <bgColor rgb="FFD9EAF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2">
    <xf numFmtId="0" fontId="0" fillId="0" borderId="0"/>
    <xf numFmtId="0" fontId="8" fillId="0" borderId="0"/>
  </cellStyleXfs>
  <cellXfs count="56">
    <xf numFmtId="0" fontId="0" fillId="0" borderId="0" xfId="0"/>
    <xf numFmtId="0" fontId="5" fillId="2" borderId="0" xfId="0" applyFont="1" applyFill="1" applyAlignment="1">
      <alignment horizontal="right" vertical="center" wrapText="1"/>
    </xf>
    <xf numFmtId="0" fontId="3" fillId="7" borderId="1" xfId="0" applyFont="1" applyFill="1" applyBorder="1" applyAlignment="1">
      <alignment horizontal="right" vertical="center" wrapText="1"/>
    </xf>
    <xf numFmtId="0" fontId="2" fillId="0" borderId="1" xfId="0" applyFont="1" applyBorder="1" applyAlignment="1">
      <alignment horizontal="right" vertical="center" wrapText="1"/>
    </xf>
    <xf numFmtId="0" fontId="5"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6" borderId="0" xfId="0" applyFont="1" applyFill="1" applyAlignment="1">
      <alignment horizontal="center" vertical="center" wrapText="1"/>
    </xf>
    <xf numFmtId="166" fontId="7" fillId="6" borderId="0" xfId="0" applyNumberFormat="1" applyFont="1" applyFill="1" applyAlignment="1">
      <alignment horizontal="center" vertical="center" wrapText="1"/>
    </xf>
    <xf numFmtId="165" fontId="7" fillId="6" borderId="0" xfId="0" applyNumberFormat="1" applyFont="1" applyFill="1" applyAlignment="1">
      <alignment horizontal="center" vertical="center" wrapText="1"/>
    </xf>
    <xf numFmtId="0" fontId="3" fillId="6" borderId="0" xfId="0" applyFont="1" applyFill="1" applyAlignment="1">
      <alignment horizontal="center" vertical="center" wrapText="1"/>
    </xf>
    <xf numFmtId="0" fontId="3" fillId="0" borderId="2" xfId="0" applyFont="1" applyBorder="1" applyAlignment="1">
      <alignment horizontal="center" vertical="center" wrapText="1"/>
    </xf>
    <xf numFmtId="0" fontId="2" fillId="0" borderId="0" xfId="0" applyFont="1" applyAlignment="1">
      <alignment horizontal="right" vertical="center" wrapText="1"/>
    </xf>
    <xf numFmtId="0" fontId="3" fillId="3" borderId="0" xfId="0" applyFont="1" applyFill="1" applyAlignment="1">
      <alignment horizontal="right" vertical="center" wrapText="1"/>
    </xf>
    <xf numFmtId="0" fontId="2" fillId="0" borderId="0" xfId="0" applyFont="1"/>
    <xf numFmtId="0" fontId="1" fillId="2" borderId="0" xfId="0" applyFont="1" applyFill="1" applyAlignment="1">
      <alignment horizontal="center" vertical="center" wrapText="1"/>
    </xf>
    <xf numFmtId="0" fontId="2" fillId="0" borderId="0" xfId="0" applyFont="1"/>
    <xf numFmtId="0" fontId="3" fillId="3" borderId="0" xfId="0" applyFont="1" applyFill="1" applyAlignment="1">
      <alignment horizontal="right" vertical="center" wrapText="1"/>
    </xf>
    <xf numFmtId="0" fontId="3" fillId="0" borderId="1" xfId="0" applyFont="1" applyBorder="1" applyAlignment="1">
      <alignment horizontal="right" vertical="center" wrapText="1"/>
    </xf>
    <xf numFmtId="0" fontId="4" fillId="4" borderId="1" xfId="0" applyFont="1" applyFill="1" applyBorder="1" applyAlignment="1">
      <alignment horizontal="center" vertical="center" wrapText="1"/>
    </xf>
    <xf numFmtId="0" fontId="2" fillId="0" borderId="0" xfId="0" applyFont="1" applyAlignment="1">
      <alignment horizontal="right" vertical="center" wrapText="1"/>
    </xf>
    <xf numFmtId="1" fontId="4" fillId="4" borderId="1" xfId="0" applyNumberFormat="1" applyFont="1" applyFill="1" applyBorder="1" applyAlignment="1">
      <alignment horizontal="center" vertical="center" wrapText="1"/>
    </xf>
    <xf numFmtId="0" fontId="5" fillId="5" borderId="1" xfId="0" applyFont="1" applyFill="1" applyBorder="1" applyAlignment="1">
      <alignment horizontal="center" vertical="center" wrapText="1"/>
    </xf>
    <xf numFmtId="164" fontId="4" fillId="4"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1" fontId="6" fillId="0" borderId="1" xfId="0" applyNumberFormat="1" applyFont="1" applyBorder="1" applyAlignment="1">
      <alignment horizontal="center" vertical="center" wrapText="1"/>
    </xf>
    <xf numFmtId="165" fontId="6" fillId="0" borderId="1" xfId="0" applyNumberFormat="1" applyFont="1" applyBorder="1" applyAlignment="1">
      <alignment horizontal="center" vertical="center" wrapText="1"/>
    </xf>
    <xf numFmtId="166" fontId="6" fillId="0" borderId="1" xfId="0" applyNumberFormat="1" applyFont="1" applyBorder="1" applyAlignment="1">
      <alignment horizontal="center" vertical="center" wrapText="1"/>
    </xf>
    <xf numFmtId="167" fontId="6"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2" fillId="0" borderId="0" xfId="0" applyFont="1" applyAlignment="1">
      <alignment horizontal="center" vertical="center" wrapText="1"/>
    </xf>
    <xf numFmtId="168" fontId="4" fillId="4" borderId="1" xfId="0" applyNumberFormat="1" applyFont="1" applyFill="1" applyBorder="1" applyAlignment="1">
      <alignment horizontal="center" vertical="center" wrapText="1"/>
    </xf>
    <xf numFmtId="165" fontId="8" fillId="0" borderId="1" xfId="0" applyNumberFormat="1" applyFont="1" applyBorder="1" applyAlignment="1">
      <alignment horizontal="center" vertical="center" wrapText="1"/>
    </xf>
    <xf numFmtId="168" fontId="8" fillId="0" borderId="1" xfId="0" applyNumberFormat="1" applyFont="1" applyBorder="1" applyAlignment="1">
      <alignment horizontal="center" vertical="center" wrapText="1"/>
    </xf>
    <xf numFmtId="0" fontId="8" fillId="0" borderId="1" xfId="0" applyFont="1" applyBorder="1" applyAlignment="1">
      <alignment horizontal="right" vertical="center" wrapText="1"/>
    </xf>
    <xf numFmtId="1" fontId="2" fillId="0" borderId="0" xfId="0" applyNumberFormat="1" applyFont="1" applyAlignment="1">
      <alignment horizontal="center" vertical="center" wrapText="1"/>
    </xf>
    <xf numFmtId="0" fontId="3" fillId="7" borderId="1" xfId="0" applyFont="1" applyFill="1" applyBorder="1" applyAlignment="1">
      <alignment horizontal="right" vertical="center" wrapText="1"/>
    </xf>
    <xf numFmtId="0" fontId="8" fillId="7" borderId="1" xfId="0" applyFont="1" applyFill="1" applyBorder="1" applyAlignment="1">
      <alignment horizontal="right" vertical="center" wrapText="1"/>
    </xf>
    <xf numFmtId="165" fontId="3" fillId="7" borderId="1" xfId="0" applyNumberFormat="1" applyFont="1" applyFill="1" applyBorder="1" applyAlignment="1">
      <alignment horizontal="center" vertical="center" wrapText="1"/>
    </xf>
    <xf numFmtId="166" fontId="8" fillId="0" borderId="1" xfId="0" applyNumberFormat="1" applyFont="1" applyBorder="1" applyAlignment="1">
      <alignment horizontal="center" vertical="center" wrapText="1"/>
    </xf>
    <xf numFmtId="165" fontId="8" fillId="7" borderId="1" xfId="0" applyNumberFormat="1" applyFont="1" applyFill="1" applyBorder="1" applyAlignment="1">
      <alignment horizontal="center" vertical="center" wrapText="1"/>
    </xf>
    <xf numFmtId="166" fontId="8" fillId="7" borderId="1" xfId="0" applyNumberFormat="1" applyFont="1" applyFill="1" applyBorder="1" applyAlignment="1">
      <alignment horizontal="center" vertical="center" wrapText="1"/>
    </xf>
    <xf numFmtId="167" fontId="2" fillId="0" borderId="0" xfId="0" applyNumberFormat="1" applyFont="1" applyAlignment="1">
      <alignment horizontal="center" vertical="center" wrapText="1"/>
    </xf>
    <xf numFmtId="167" fontId="8"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169" fontId="8" fillId="0" borderId="1" xfId="0" applyNumberFormat="1" applyFont="1" applyBorder="1" applyAlignment="1">
      <alignment horizontal="center" vertical="center" wrapText="1"/>
    </xf>
    <xf numFmtId="169" fontId="3" fillId="0" borderId="1"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166" fontId="3"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1" fontId="8" fillId="0" borderId="1" xfId="0" applyNumberFormat="1" applyFont="1" applyBorder="1" applyAlignment="1">
      <alignment horizontal="center" vertical="center" wrapText="1"/>
    </xf>
    <xf numFmtId="165" fontId="2" fillId="0" borderId="1" xfId="0" applyNumberFormat="1" applyFont="1" applyBorder="1" applyAlignment="1">
      <alignment horizontal="center" vertical="center" wrapText="1"/>
    </xf>
    <xf numFmtId="1" fontId="2" fillId="0" borderId="1" xfId="0" applyNumberFormat="1" applyFont="1" applyBorder="1" applyAlignment="1">
      <alignment horizontal="center" vertical="center" wrapText="1"/>
    </xf>
    <xf numFmtId="0" fontId="8" fillId="0" borderId="0" xfId="0" applyFont="1" applyAlignment="1">
      <alignment horizontal="right" vertical="center" wrapText="1"/>
    </xf>
    <xf numFmtId="0" fontId="4" fillId="4" borderId="1" xfId="0" applyFont="1" applyFill="1" applyBorder="1" applyAlignment="1">
      <alignment horizontal="center" vertical="center" wrapText="1"/>
    </xf>
    <xf numFmtId="165" fontId="8" fillId="0" borderId="1" xfId="0" applyNumberFormat="1" applyFont="1" applyBorder="1" applyAlignment="1">
      <alignment horizontal="center" vertical="center" wrapText="1"/>
    </xf>
    <xf numFmtId="166" fontId="8" fillId="0" borderId="1" xfId="0" applyNumberFormat="1" applyFont="1" applyBorder="1" applyAlignment="1">
      <alignment horizontal="center" vertical="center" wrapText="1"/>
    </xf>
  </cellXfs>
  <cellStyles count="2">
    <cellStyle name="عادي" xfId="0" builtinId="0"/>
    <cellStyle name="عادي 2" xfId="1" xr:uid="{C8AE6D9F-2C05-45C5-A77F-E0ED72F6121B}"/>
  </cellStyles>
  <dxfs count="80">
    <dxf>
      <fill>
        <patternFill>
          <bgColor rgb="FFC6EFCE"/>
        </patternFill>
      </fill>
    </dxf>
    <dxf>
      <fill>
        <patternFill>
          <bgColor rgb="FFF8CBAD"/>
        </patternFill>
      </fill>
    </dxf>
    <dxf>
      <fill>
        <patternFill>
          <bgColor rgb="FFF8CBAD"/>
        </patternFill>
      </fill>
    </dxf>
    <dxf>
      <fill>
        <patternFill>
          <bgColor rgb="FFC6EFCE"/>
        </patternFill>
      </fill>
    </dxf>
    <dxf>
      <fill>
        <patternFill>
          <bgColor rgb="FFF8CBAD"/>
        </patternFill>
      </fill>
    </dxf>
    <dxf>
      <fill>
        <patternFill>
          <bgColor rgb="FFFFE699"/>
        </patternFill>
      </fill>
    </dxf>
    <dxf>
      <font>
        <b/>
        <color rgb="FF006100"/>
      </font>
      <fill>
        <patternFill>
          <bgColor rgb="FFC6EFCE"/>
        </patternFill>
      </fill>
    </dxf>
    <dxf>
      <font>
        <b/>
        <color rgb="FF9C0006"/>
      </font>
      <fill>
        <patternFill>
          <bgColor rgb="FFF8CBAD"/>
        </patternFill>
      </fill>
    </dxf>
    <dxf>
      <fill>
        <patternFill>
          <bgColor rgb="FFF8CBAD"/>
        </patternFill>
      </fill>
    </dxf>
    <dxf>
      <fill>
        <patternFill>
          <bgColor rgb="FFC6EFCE"/>
        </patternFill>
      </fill>
    </dxf>
    <dxf>
      <fill>
        <patternFill>
          <bgColor rgb="FFF8CBAD"/>
        </patternFill>
      </fill>
    </dxf>
    <dxf>
      <fill>
        <patternFill>
          <bgColor rgb="FFFFE699"/>
        </patternFill>
      </fill>
    </dxf>
    <dxf>
      <font>
        <b/>
        <color rgb="FF006100"/>
      </font>
      <fill>
        <patternFill>
          <bgColor rgb="FFC6EFCE"/>
        </patternFill>
      </fill>
    </dxf>
    <dxf>
      <font>
        <b/>
        <color rgb="FF9C0006"/>
      </font>
      <fill>
        <patternFill>
          <bgColor rgb="FFF8CBAD"/>
        </patternFill>
      </fill>
    </dxf>
    <dxf>
      <fill>
        <patternFill>
          <bgColor rgb="FFF8CBAD"/>
        </patternFill>
      </fill>
    </dxf>
    <dxf>
      <fill>
        <patternFill>
          <bgColor rgb="FFC6EFCE"/>
        </patternFill>
      </fill>
    </dxf>
    <dxf>
      <fill>
        <patternFill>
          <bgColor rgb="FFF8CBAD"/>
        </patternFill>
      </fill>
    </dxf>
    <dxf>
      <fill>
        <patternFill>
          <bgColor rgb="FFFFE699"/>
        </patternFill>
      </fill>
    </dxf>
    <dxf>
      <font>
        <b/>
        <color rgb="FF006100"/>
      </font>
      <fill>
        <patternFill>
          <bgColor rgb="FFC6EFCE"/>
        </patternFill>
      </fill>
    </dxf>
    <dxf>
      <font>
        <b/>
        <color rgb="FF9C0006"/>
      </font>
      <fill>
        <patternFill>
          <bgColor rgb="FFF8CBAD"/>
        </patternFill>
      </fill>
    </dxf>
    <dxf>
      <fill>
        <patternFill>
          <bgColor rgb="FFF8CBAD"/>
        </patternFill>
      </fill>
    </dxf>
    <dxf>
      <fill>
        <patternFill>
          <bgColor rgb="FFC6EFCE"/>
        </patternFill>
      </fill>
    </dxf>
    <dxf>
      <fill>
        <patternFill>
          <bgColor rgb="FFF8CBAD"/>
        </patternFill>
      </fill>
    </dxf>
    <dxf>
      <fill>
        <patternFill>
          <bgColor rgb="FFFFE699"/>
        </patternFill>
      </fill>
    </dxf>
    <dxf>
      <font>
        <b/>
        <color rgb="FF006100"/>
      </font>
      <fill>
        <patternFill>
          <bgColor rgb="FFC6EFCE"/>
        </patternFill>
      </fill>
    </dxf>
    <dxf>
      <font>
        <b/>
        <color rgb="FF9C0006"/>
      </font>
      <fill>
        <patternFill>
          <bgColor rgb="FFF8CBAD"/>
        </patternFill>
      </fill>
    </dxf>
    <dxf>
      <fill>
        <patternFill>
          <bgColor rgb="FFF8CBAD"/>
        </patternFill>
      </fill>
    </dxf>
    <dxf>
      <fill>
        <patternFill>
          <bgColor rgb="FFC6EFCE"/>
        </patternFill>
      </fill>
    </dxf>
    <dxf>
      <fill>
        <patternFill>
          <bgColor rgb="FFF8CBAD"/>
        </patternFill>
      </fill>
    </dxf>
    <dxf>
      <fill>
        <patternFill>
          <bgColor rgb="FFFFE699"/>
        </patternFill>
      </fill>
    </dxf>
    <dxf>
      <font>
        <b/>
        <color rgb="FF006100"/>
      </font>
      <fill>
        <patternFill>
          <bgColor rgb="FFC6EFCE"/>
        </patternFill>
      </fill>
    </dxf>
    <dxf>
      <font>
        <b/>
        <color rgb="FF9C0006"/>
      </font>
      <fill>
        <patternFill>
          <bgColor rgb="FFF8CBAD"/>
        </patternFill>
      </fill>
    </dxf>
    <dxf>
      <fill>
        <patternFill>
          <bgColor rgb="FFF8CBAD"/>
        </patternFill>
      </fill>
    </dxf>
    <dxf>
      <fill>
        <patternFill>
          <bgColor rgb="FFC6EFCE"/>
        </patternFill>
      </fill>
    </dxf>
    <dxf>
      <fill>
        <patternFill>
          <bgColor rgb="FFF8CBAD"/>
        </patternFill>
      </fill>
    </dxf>
    <dxf>
      <fill>
        <patternFill>
          <bgColor rgb="FFFFE699"/>
        </patternFill>
      </fill>
    </dxf>
    <dxf>
      <font>
        <b/>
        <color rgb="FF006100"/>
      </font>
      <fill>
        <patternFill>
          <bgColor rgb="FFC6EFCE"/>
        </patternFill>
      </fill>
    </dxf>
    <dxf>
      <font>
        <b/>
        <color rgb="FF9C0006"/>
      </font>
      <fill>
        <patternFill>
          <bgColor rgb="FFF8CBAD"/>
        </patternFill>
      </fill>
    </dxf>
    <dxf>
      <fill>
        <patternFill>
          <bgColor rgb="FFF8CBAD"/>
        </patternFill>
      </fill>
    </dxf>
    <dxf>
      <fill>
        <patternFill>
          <bgColor rgb="FFC6EFCE"/>
        </patternFill>
      </fill>
    </dxf>
    <dxf>
      <fill>
        <patternFill>
          <bgColor rgb="FFF8CBAD"/>
        </patternFill>
      </fill>
    </dxf>
    <dxf>
      <fill>
        <patternFill>
          <bgColor rgb="FFFFE699"/>
        </patternFill>
      </fill>
    </dxf>
    <dxf>
      <font>
        <b/>
        <color rgb="FF006100"/>
      </font>
      <fill>
        <patternFill>
          <bgColor rgb="FFC6EFCE"/>
        </patternFill>
      </fill>
    </dxf>
    <dxf>
      <font>
        <b/>
        <color rgb="FF9C0006"/>
      </font>
      <fill>
        <patternFill>
          <bgColor rgb="FFF8CBAD"/>
        </patternFill>
      </fill>
    </dxf>
    <dxf>
      <fill>
        <patternFill>
          <bgColor rgb="FFF8CBAD"/>
        </patternFill>
      </fill>
    </dxf>
    <dxf>
      <fill>
        <patternFill>
          <bgColor rgb="FFC6EFCE"/>
        </patternFill>
      </fill>
    </dxf>
    <dxf>
      <fill>
        <patternFill>
          <bgColor rgb="FFF8CBAD"/>
        </patternFill>
      </fill>
    </dxf>
    <dxf>
      <fill>
        <patternFill>
          <bgColor rgb="FFFFE699"/>
        </patternFill>
      </fill>
    </dxf>
    <dxf>
      <font>
        <b/>
        <color rgb="FF006100"/>
      </font>
      <fill>
        <patternFill>
          <bgColor rgb="FFC6EFCE"/>
        </patternFill>
      </fill>
    </dxf>
    <dxf>
      <font>
        <b/>
        <color rgb="FF9C0006"/>
      </font>
      <fill>
        <patternFill>
          <bgColor rgb="FFF8CBAD"/>
        </patternFill>
      </fill>
    </dxf>
    <dxf>
      <fill>
        <patternFill>
          <bgColor rgb="FFF8CBAD"/>
        </patternFill>
      </fill>
    </dxf>
    <dxf>
      <fill>
        <patternFill>
          <bgColor rgb="FFC6EFCE"/>
        </patternFill>
      </fill>
    </dxf>
    <dxf>
      <fill>
        <patternFill>
          <bgColor rgb="FFF8CBAD"/>
        </patternFill>
      </fill>
    </dxf>
    <dxf>
      <fill>
        <patternFill>
          <bgColor rgb="FFFFE699"/>
        </patternFill>
      </fill>
    </dxf>
    <dxf>
      <font>
        <b/>
        <color rgb="FF006100"/>
      </font>
      <fill>
        <patternFill>
          <bgColor rgb="FFC6EFCE"/>
        </patternFill>
      </fill>
    </dxf>
    <dxf>
      <font>
        <b/>
        <color rgb="FF9C0006"/>
      </font>
      <fill>
        <patternFill>
          <bgColor rgb="FFF8CBAD"/>
        </patternFill>
      </fill>
    </dxf>
    <dxf>
      <fill>
        <patternFill>
          <bgColor rgb="FFF8CBAD"/>
        </patternFill>
      </fill>
    </dxf>
    <dxf>
      <fill>
        <patternFill>
          <bgColor rgb="FFC6EFCE"/>
        </patternFill>
      </fill>
    </dxf>
    <dxf>
      <fill>
        <patternFill>
          <bgColor rgb="FFF8CBAD"/>
        </patternFill>
      </fill>
    </dxf>
    <dxf>
      <fill>
        <patternFill>
          <bgColor rgb="FFFFE699"/>
        </patternFill>
      </fill>
    </dxf>
    <dxf>
      <font>
        <b/>
        <color rgb="FF006100"/>
      </font>
      <fill>
        <patternFill>
          <bgColor rgb="FFC6EFCE"/>
        </patternFill>
      </fill>
    </dxf>
    <dxf>
      <font>
        <b/>
        <color rgb="FF9C0006"/>
      </font>
      <fill>
        <patternFill>
          <bgColor rgb="FFF8CBAD"/>
        </patternFill>
      </fill>
    </dxf>
    <dxf>
      <fill>
        <patternFill>
          <bgColor rgb="FFF8CBAD"/>
        </patternFill>
      </fill>
    </dxf>
    <dxf>
      <fill>
        <patternFill>
          <bgColor rgb="FFC6EFCE"/>
        </patternFill>
      </fill>
    </dxf>
    <dxf>
      <fill>
        <patternFill>
          <bgColor rgb="FFF8CBAD"/>
        </patternFill>
      </fill>
    </dxf>
    <dxf>
      <fill>
        <patternFill>
          <bgColor rgb="FFFFE699"/>
        </patternFill>
      </fill>
    </dxf>
    <dxf>
      <font>
        <b/>
        <color rgb="FF006100"/>
      </font>
      <fill>
        <patternFill>
          <bgColor rgb="FFC6EFCE"/>
        </patternFill>
      </fill>
    </dxf>
    <dxf>
      <font>
        <b/>
        <color rgb="FF9C0006"/>
      </font>
      <fill>
        <patternFill>
          <bgColor rgb="FFF8CBAD"/>
        </patternFill>
      </fill>
    </dxf>
    <dxf>
      <fill>
        <patternFill>
          <bgColor rgb="FFF8CBAD"/>
        </patternFill>
      </fill>
    </dxf>
    <dxf>
      <fill>
        <patternFill>
          <bgColor rgb="FFC6EFCE"/>
        </patternFill>
      </fill>
    </dxf>
    <dxf>
      <fill>
        <patternFill>
          <bgColor rgb="FFF8CBAD"/>
        </patternFill>
      </fill>
    </dxf>
    <dxf>
      <fill>
        <patternFill>
          <bgColor rgb="FFFFE699"/>
        </patternFill>
      </fill>
    </dxf>
    <dxf>
      <font>
        <b/>
        <color rgb="FF006100"/>
      </font>
      <fill>
        <patternFill>
          <bgColor rgb="FFC6EFCE"/>
        </patternFill>
      </fill>
    </dxf>
    <dxf>
      <font>
        <b/>
        <color rgb="FF9C0006"/>
      </font>
      <fill>
        <patternFill>
          <bgColor rgb="FFF8CBAD"/>
        </patternFill>
      </fill>
    </dxf>
    <dxf>
      <fill>
        <patternFill>
          <bgColor rgb="FFF8CBAD"/>
        </patternFill>
      </fill>
    </dxf>
    <dxf>
      <fill>
        <patternFill>
          <bgColor rgb="FFFFE699"/>
        </patternFill>
      </fill>
    </dxf>
    <dxf>
      <fill>
        <patternFill>
          <bgColor rgb="FFF8CBAD"/>
        </patternFill>
      </fill>
    </dxf>
    <dxf>
      <fill>
        <patternFill>
          <bgColor rgb="FFC6EFCE"/>
        </patternFill>
      </fill>
    </dxf>
    <dxf>
      <fill>
        <patternFill>
          <bgColor rgb="FFC6EFCE"/>
        </patternFill>
      </fill>
    </dxf>
    <dxf>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E699"/>
      <rgbColor rgb="FFFF00FF"/>
      <rgbColor rgb="FF00FFFF"/>
      <rgbColor rgb="FF9C0006"/>
      <rgbColor rgb="FF008000"/>
      <rgbColor rgb="FF000080"/>
      <rgbColor rgb="FF808000"/>
      <rgbColor rgb="FF800080"/>
      <rgbColor rgb="FF008080"/>
      <rgbColor rgb="FFBFBFBF"/>
      <rgbColor rgb="FF808080"/>
      <rgbColor rgb="FF9999FF"/>
      <rgbColor rgb="FF7030A0"/>
      <rgbColor rgb="FFF3F9FB"/>
      <rgbColor rgb="FFD9EA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A"/>
      <rgbColor rgb="FFC6EFCE"/>
      <rgbColor rgb="FFFFFF99"/>
      <rgbColor rgb="FF99CCFF"/>
      <rgbColor rgb="FFFF99CC"/>
      <rgbColor rgb="FFCC99FF"/>
      <rgbColor rgb="FFF8CBAD"/>
      <rgbColor rgb="FF3366FF"/>
      <rgbColor rgb="FF33CCCC"/>
      <rgbColor rgb="FF9BBB59"/>
      <rgbColor rgb="FFFFCC00"/>
      <rgbColor rgb="FFFF9900"/>
      <rgbColor rgb="FFFF6600"/>
      <rgbColor rgb="FF4F81BD"/>
      <rgbColor rgb="FF878787"/>
      <rgbColor rgb="FF1F4E5F"/>
      <rgbColor rgb="FF2E7D8C"/>
      <rgbColor rgb="FF006100"/>
      <rgbColor rgb="FF333300"/>
      <rgbColor rgb="FF993300"/>
      <rgbColor rgb="FFC0504D"/>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المبيعات والمصاريف والربح الحقيقي ($)</a:t>
            </a:r>
          </a:p>
        </c:rich>
      </c:tx>
      <c:overlay val="0"/>
      <c:spPr>
        <a:noFill/>
        <a:ln w="0">
          <a:noFill/>
        </a:ln>
      </c:spPr>
    </c:title>
    <c:autoTitleDeleted val="0"/>
    <c:plotArea>
      <c:layout/>
      <c:barChart>
        <c:barDir val="col"/>
        <c:grouping val="clustered"/>
        <c:varyColors val="0"/>
        <c:ser>
          <c:idx val="0"/>
          <c:order val="0"/>
          <c:tx>
            <c:strRef>
              <c:f>المقارنة!$A$11</c:f>
              <c:strCache>
                <c:ptCount val="1"/>
                <c:pt idx="0">
                  <c:v>المبيعات $</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ar-SA"/>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المقارنة!$B$5:$M$5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المقارنة!$B$11:$M$11</c:f>
              <c:numCache>
                <c:formatCode>\$#,##0;[Red]"($"#,##0\);\-</c:formatCode>
                <c:ptCount val="12"/>
                <c:pt idx="0">
                  <c:v>10341.391304347826</c:v>
                </c:pt>
                <c:pt idx="1">
                  <c:v>7321.583333333333</c:v>
                </c:pt>
                <c:pt idx="2">
                  <c:v>8786.9166666666661</c:v>
                </c:pt>
                <c:pt idx="3">
                  <c:v>13335.28</c:v>
                </c:pt>
                <c:pt idx="4">
                  <c:v>13066.72</c:v>
                </c:pt>
                <c:pt idx="5">
                  <c:v>14956.363636363636</c:v>
                </c:pt>
                <c:pt idx="6">
                  <c:v>14364.060150375939</c:v>
                </c:pt>
                <c:pt idx="7">
                  <c:v>17236.969696969696</c:v>
                </c:pt>
                <c:pt idx="8">
                  <c:v>12412.101449275362</c:v>
                </c:pt>
                <c:pt idx="9">
                  <c:v>0</c:v>
                </c:pt>
                <c:pt idx="10">
                  <c:v>0</c:v>
                </c:pt>
                <c:pt idx="11">
                  <c:v>0</c:v>
                </c:pt>
              </c:numCache>
            </c:numRef>
          </c:val>
          <c:extLst>
            <c:ext xmlns:c16="http://schemas.microsoft.com/office/drawing/2014/chart" uri="{C3380CC4-5D6E-409C-BE32-E72D297353CC}">
              <c16:uniqueId val="{00000000-1F01-4B13-8572-6A39798D0AFF}"/>
            </c:ext>
          </c:extLst>
        </c:ser>
        <c:ser>
          <c:idx val="1"/>
          <c:order val="1"/>
          <c:tx>
            <c:strRef>
              <c:f>المقارنة!$A$13</c:f>
              <c:strCache>
                <c:ptCount val="1"/>
                <c:pt idx="0">
                  <c:v>المصاريف $</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ar-SA"/>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المقارنة!$B$5:$M$5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المقارنة!$B$13:$M$13</c:f>
              <c:numCache>
                <c:formatCode>\$#,##0;[Red]"($"#,##0\);\-</c:formatCode>
                <c:ptCount val="12"/>
                <c:pt idx="0">
                  <c:v>3304.3478260869565</c:v>
                </c:pt>
                <c:pt idx="1">
                  <c:v>3017.9166666666665</c:v>
                </c:pt>
                <c:pt idx="2">
                  <c:v>3100.25</c:v>
                </c:pt>
                <c:pt idx="3">
                  <c:v>3069.68</c:v>
                </c:pt>
                <c:pt idx="4">
                  <c:v>2080</c:v>
                </c:pt>
                <c:pt idx="5">
                  <c:v>2453.8636363636365</c:v>
                </c:pt>
                <c:pt idx="6">
                  <c:v>2194.7368421052633</c:v>
                </c:pt>
                <c:pt idx="7">
                  <c:v>2439.9242424242425</c:v>
                </c:pt>
                <c:pt idx="8">
                  <c:v>3175.942028985507</c:v>
                </c:pt>
                <c:pt idx="9">
                  <c:v>0</c:v>
                </c:pt>
                <c:pt idx="10">
                  <c:v>0</c:v>
                </c:pt>
                <c:pt idx="11">
                  <c:v>0</c:v>
                </c:pt>
              </c:numCache>
            </c:numRef>
          </c:val>
          <c:extLst>
            <c:ext xmlns:c16="http://schemas.microsoft.com/office/drawing/2014/chart" uri="{C3380CC4-5D6E-409C-BE32-E72D297353CC}">
              <c16:uniqueId val="{00000001-1F01-4B13-8572-6A39798D0AFF}"/>
            </c:ext>
          </c:extLst>
        </c:ser>
        <c:ser>
          <c:idx val="2"/>
          <c:order val="2"/>
          <c:tx>
            <c:strRef>
              <c:f>المقارنة!$A$19</c:f>
              <c:strCache>
                <c:ptCount val="1"/>
                <c:pt idx="0">
                  <c:v>الربح الحقيقي التشغيلي $</c:v>
                </c:pt>
              </c:strCache>
            </c:strRef>
          </c:tx>
          <c:spPr>
            <a:solidFill>
              <a:srgbClr val="9BBB59"/>
            </a:solidFill>
            <a:ln w="0">
              <a:noFill/>
            </a:ln>
          </c:spPr>
          <c:invertIfNegative val="0"/>
          <c:dLbls>
            <c:spPr>
              <a:noFill/>
              <a:ln>
                <a:noFill/>
              </a:ln>
              <a:effectLst/>
            </c:spPr>
            <c:txPr>
              <a:bodyPr wrap="none"/>
              <a:lstStyle/>
              <a:p>
                <a:pPr>
                  <a:defRPr sz="1000" b="0" strike="noStrike" spc="-1">
                    <a:latin typeface="Arial"/>
                  </a:defRPr>
                </a:pPr>
                <a:endParaRPr lang="ar-SA"/>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المقارنة!$B$5:$M$5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المقارنة!$B$19:$M$19</c:f>
              <c:numCache>
                <c:formatCode>\$#,##0;[Red]"($"#,##0\);\-</c:formatCode>
                <c:ptCount val="12"/>
                <c:pt idx="0">
                  <c:v>0</c:v>
                </c:pt>
                <c:pt idx="1">
                  <c:v>0</c:v>
                </c:pt>
                <c:pt idx="2">
                  <c:v>0</c:v>
                </c:pt>
                <c:pt idx="3">
                  <c:v>0</c:v>
                </c:pt>
                <c:pt idx="4">
                  <c:v>0</c:v>
                </c:pt>
                <c:pt idx="5">
                  <c:v>0</c:v>
                </c:pt>
                <c:pt idx="6">
                  <c:v>5462.4142857142906</c:v>
                </c:pt>
                <c:pt idx="7">
                  <c:v>8239.9551000000702</c:v>
                </c:pt>
                <c:pt idx="8">
                  <c:v>1709.2248275361626</c:v>
                </c:pt>
                <c:pt idx="9">
                  <c:v>0</c:v>
                </c:pt>
                <c:pt idx="10">
                  <c:v>0</c:v>
                </c:pt>
                <c:pt idx="11">
                  <c:v>0</c:v>
                </c:pt>
              </c:numCache>
            </c:numRef>
          </c:val>
          <c:extLst>
            <c:ext xmlns:c16="http://schemas.microsoft.com/office/drawing/2014/chart" uri="{C3380CC4-5D6E-409C-BE32-E72D297353CC}">
              <c16:uniqueId val="{00000002-1F01-4B13-8572-6A39798D0AFF}"/>
            </c:ext>
          </c:extLst>
        </c:ser>
        <c:dLbls>
          <c:showLegendKey val="0"/>
          <c:showVal val="0"/>
          <c:showCatName val="0"/>
          <c:showSerName val="0"/>
          <c:showPercent val="0"/>
          <c:showBubbleSize val="0"/>
        </c:dLbls>
        <c:gapWidth val="150"/>
        <c:axId val="97441417"/>
        <c:axId val="15486730"/>
      </c:barChart>
      <c:catAx>
        <c:axId val="9744141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ar-SA"/>
          </a:p>
        </c:txPr>
        <c:crossAx val="15486730"/>
        <c:crosses val="autoZero"/>
        <c:auto val="1"/>
        <c:lblAlgn val="ctr"/>
        <c:lblOffset val="100"/>
        <c:noMultiLvlLbl val="0"/>
      </c:catAx>
      <c:valAx>
        <c:axId val="15486730"/>
        <c:scaling>
          <c:orientation val="minMax"/>
        </c:scaling>
        <c:delete val="0"/>
        <c:axPos val="l"/>
        <c:majorGridlines>
          <c:spPr>
            <a:ln w="9360">
              <a:solidFill>
                <a:srgbClr val="878787"/>
              </a:solidFill>
              <a:round/>
            </a:ln>
          </c:spPr>
        </c:majorGridlines>
        <c:numFmt formatCode="\$#,##0;[Red]&quot;($&quot;#,##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ar-SA"/>
          </a:p>
        </c:txPr>
        <c:crossAx val="9744141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ar-SA"/>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الربح الحقيقي مقابل صافي الربح بعد الصرف ($)</a:t>
            </a:r>
          </a:p>
        </c:rich>
      </c:tx>
      <c:overlay val="0"/>
      <c:spPr>
        <a:noFill/>
        <a:ln w="0">
          <a:noFill/>
        </a:ln>
      </c:spPr>
    </c:title>
    <c:autoTitleDeleted val="0"/>
    <c:plotArea>
      <c:layout/>
      <c:barChart>
        <c:barDir val="col"/>
        <c:grouping val="clustered"/>
        <c:varyColors val="0"/>
        <c:ser>
          <c:idx val="0"/>
          <c:order val="0"/>
          <c:tx>
            <c:strRef>
              <c:f>المقارنة!$A$19</c:f>
              <c:strCache>
                <c:ptCount val="1"/>
                <c:pt idx="0">
                  <c:v>الربح الحقيقي التشغيلي $</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ar-SA"/>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المقارنة!$B$5:$M$5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المقارنة!$B$19:$M$19</c:f>
              <c:numCache>
                <c:formatCode>\$#,##0;[Red]"($"#,##0\);\-</c:formatCode>
                <c:ptCount val="12"/>
                <c:pt idx="0">
                  <c:v>0</c:v>
                </c:pt>
                <c:pt idx="1">
                  <c:v>0</c:v>
                </c:pt>
                <c:pt idx="2">
                  <c:v>0</c:v>
                </c:pt>
                <c:pt idx="3">
                  <c:v>0</c:v>
                </c:pt>
                <c:pt idx="4">
                  <c:v>0</c:v>
                </c:pt>
                <c:pt idx="5">
                  <c:v>0</c:v>
                </c:pt>
                <c:pt idx="6">
                  <c:v>5462.4142857142906</c:v>
                </c:pt>
                <c:pt idx="7">
                  <c:v>8239.9551000000702</c:v>
                </c:pt>
                <c:pt idx="8">
                  <c:v>1709.2248275361626</c:v>
                </c:pt>
                <c:pt idx="9">
                  <c:v>0</c:v>
                </c:pt>
                <c:pt idx="10">
                  <c:v>0</c:v>
                </c:pt>
                <c:pt idx="11">
                  <c:v>0</c:v>
                </c:pt>
              </c:numCache>
            </c:numRef>
          </c:val>
          <c:extLst>
            <c:ext xmlns:c16="http://schemas.microsoft.com/office/drawing/2014/chart" uri="{C3380CC4-5D6E-409C-BE32-E72D297353CC}">
              <c16:uniqueId val="{00000000-3EAB-4BEF-9666-FF8F93815CAC}"/>
            </c:ext>
          </c:extLst>
        </c:ser>
        <c:ser>
          <c:idx val="1"/>
          <c:order val="1"/>
          <c:tx>
            <c:strRef>
              <c:f>المقارنة!$A$22</c:f>
              <c:strCache>
                <c:ptCount val="1"/>
                <c:pt idx="0">
                  <c:v>صافي الربح بعد أثر الصرف $</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ar-SA"/>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المقارنة!$B$5:$M$5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المقارنة!$B$22:$M$22</c:f>
              <c:numCache>
                <c:formatCode>\$#,##0;[Red]"($"#,##0\);\-</c:formatCode>
                <c:ptCount val="12"/>
                <c:pt idx="0">
                  <c:v>0</c:v>
                </c:pt>
                <c:pt idx="1">
                  <c:v>0</c:v>
                </c:pt>
                <c:pt idx="2">
                  <c:v>0</c:v>
                </c:pt>
                <c:pt idx="3">
                  <c:v>0</c:v>
                </c:pt>
                <c:pt idx="4">
                  <c:v>0</c:v>
                </c:pt>
                <c:pt idx="5">
                  <c:v>0</c:v>
                </c:pt>
                <c:pt idx="6">
                  <c:v>5346.0414137616808</c:v>
                </c:pt>
                <c:pt idx="7">
                  <c:v>8342.3119740032598</c:v>
                </c:pt>
                <c:pt idx="8">
                  <c:v>1099.2804335967649</c:v>
                </c:pt>
                <c:pt idx="9">
                  <c:v>0</c:v>
                </c:pt>
                <c:pt idx="10">
                  <c:v>0</c:v>
                </c:pt>
                <c:pt idx="11">
                  <c:v>0</c:v>
                </c:pt>
              </c:numCache>
            </c:numRef>
          </c:val>
          <c:extLst>
            <c:ext xmlns:c16="http://schemas.microsoft.com/office/drawing/2014/chart" uri="{C3380CC4-5D6E-409C-BE32-E72D297353CC}">
              <c16:uniqueId val="{00000001-3EAB-4BEF-9666-FF8F93815CAC}"/>
            </c:ext>
          </c:extLst>
        </c:ser>
        <c:dLbls>
          <c:showLegendKey val="0"/>
          <c:showVal val="0"/>
          <c:showCatName val="0"/>
          <c:showSerName val="0"/>
          <c:showPercent val="0"/>
          <c:showBubbleSize val="0"/>
        </c:dLbls>
        <c:gapWidth val="150"/>
        <c:axId val="27435121"/>
        <c:axId val="52262160"/>
      </c:barChart>
      <c:catAx>
        <c:axId val="2743512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ar-SA"/>
          </a:p>
        </c:txPr>
        <c:crossAx val="52262160"/>
        <c:crosses val="autoZero"/>
        <c:auto val="1"/>
        <c:lblAlgn val="ctr"/>
        <c:lblOffset val="100"/>
        <c:noMultiLvlLbl val="0"/>
      </c:catAx>
      <c:valAx>
        <c:axId val="52262160"/>
        <c:scaling>
          <c:orientation val="minMax"/>
        </c:scaling>
        <c:delete val="0"/>
        <c:axPos val="l"/>
        <c:majorGridlines>
          <c:spPr>
            <a:ln w="9360">
              <a:solidFill>
                <a:srgbClr val="878787"/>
              </a:solidFill>
              <a:round/>
            </a:ln>
          </c:spPr>
        </c:majorGridlines>
        <c:numFmt formatCode="\$#,##0;[Red]&quot;($&quot;#,##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ar-SA"/>
          </a:p>
        </c:txPr>
        <c:crossAx val="27435121"/>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ar-SA"/>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قيمة المخزون ($)</a:t>
            </a:r>
          </a:p>
        </c:rich>
      </c:tx>
      <c:overlay val="0"/>
      <c:spPr>
        <a:noFill/>
        <a:ln w="0">
          <a:noFill/>
        </a:ln>
      </c:spPr>
    </c:title>
    <c:autoTitleDeleted val="0"/>
    <c:plotArea>
      <c:layout/>
      <c:barChart>
        <c:barDir val="col"/>
        <c:grouping val="clustered"/>
        <c:varyColors val="0"/>
        <c:ser>
          <c:idx val="0"/>
          <c:order val="0"/>
          <c:tx>
            <c:strRef>
              <c:f>المقارنة!$A$24</c:f>
              <c:strCache>
                <c:ptCount val="1"/>
                <c:pt idx="0">
                  <c:v>قيمة المخزون الكلية $</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ar-SA"/>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المقارنة!$B$5:$M$5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المقارنة!$B$24:$M$24</c:f>
              <c:numCache>
                <c:formatCode>\$#,##0;[Red]"($"#,##0\);\-</c:formatCode>
                <c:ptCount val="12"/>
                <c:pt idx="0">
                  <c:v>0</c:v>
                </c:pt>
                <c:pt idx="1">
                  <c:v>0</c:v>
                </c:pt>
                <c:pt idx="2">
                  <c:v>0</c:v>
                </c:pt>
                <c:pt idx="3">
                  <c:v>0</c:v>
                </c:pt>
                <c:pt idx="4">
                  <c:v>0</c:v>
                </c:pt>
                <c:pt idx="5">
                  <c:v>44737.391969696968</c:v>
                </c:pt>
                <c:pt idx="6">
                  <c:v>48491.027368421055</c:v>
                </c:pt>
                <c:pt idx="7">
                  <c:v>47944.021160606135</c:v>
                </c:pt>
                <c:pt idx="8">
                  <c:v>44900.765362318845</c:v>
                </c:pt>
                <c:pt idx="9">
                  <c:v>0</c:v>
                </c:pt>
                <c:pt idx="10">
                  <c:v>0</c:v>
                </c:pt>
                <c:pt idx="11">
                  <c:v>0</c:v>
                </c:pt>
              </c:numCache>
            </c:numRef>
          </c:val>
          <c:extLst>
            <c:ext xmlns:c16="http://schemas.microsoft.com/office/drawing/2014/chart" uri="{C3380CC4-5D6E-409C-BE32-E72D297353CC}">
              <c16:uniqueId val="{00000000-8B1D-40A0-9AFB-B05572501393}"/>
            </c:ext>
          </c:extLst>
        </c:ser>
        <c:dLbls>
          <c:showLegendKey val="0"/>
          <c:showVal val="0"/>
          <c:showCatName val="0"/>
          <c:showSerName val="0"/>
          <c:showPercent val="0"/>
          <c:showBubbleSize val="0"/>
        </c:dLbls>
        <c:gapWidth val="150"/>
        <c:axId val="39959985"/>
        <c:axId val="41154188"/>
      </c:barChart>
      <c:catAx>
        <c:axId val="3995998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ar-SA"/>
          </a:p>
        </c:txPr>
        <c:crossAx val="41154188"/>
        <c:crosses val="autoZero"/>
        <c:auto val="1"/>
        <c:lblAlgn val="ctr"/>
        <c:lblOffset val="100"/>
        <c:noMultiLvlLbl val="0"/>
      </c:catAx>
      <c:valAx>
        <c:axId val="41154188"/>
        <c:scaling>
          <c:orientation val="minMax"/>
          <c:min val="0"/>
        </c:scaling>
        <c:delete val="0"/>
        <c:axPos val="l"/>
        <c:majorGridlines>
          <c:spPr>
            <a:ln w="9360">
              <a:solidFill>
                <a:srgbClr val="878787"/>
              </a:solidFill>
              <a:round/>
            </a:ln>
          </c:spPr>
        </c:majorGridlines>
        <c:numFmt formatCode="\$#,##0;[Red]&quot;($&quot;#,##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ar-SA"/>
          </a:p>
        </c:txPr>
        <c:crossAx val="39959985"/>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ar-SA"/>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صافي المركز المالي وصافي الديون ($)</a:t>
            </a:r>
          </a:p>
        </c:rich>
      </c:tx>
      <c:overlay val="0"/>
      <c:spPr>
        <a:noFill/>
        <a:ln w="0">
          <a:noFill/>
        </a:ln>
      </c:spPr>
    </c:title>
    <c:autoTitleDeleted val="0"/>
    <c:plotArea>
      <c:layout/>
      <c:barChart>
        <c:barDir val="col"/>
        <c:grouping val="clustered"/>
        <c:varyColors val="0"/>
        <c:ser>
          <c:idx val="0"/>
          <c:order val="0"/>
          <c:tx>
            <c:strRef>
              <c:f>المقارنة!$A$28</c:f>
              <c:strCache>
                <c:ptCount val="1"/>
                <c:pt idx="0">
                  <c:v>صافي المركز المالي $</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ar-SA"/>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المقارنة!$B$5:$M$5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المقارنة!$B$28:$M$28</c:f>
              <c:numCache>
                <c:formatCode>\$#,##0;[Red]"($"#,##0\);\-</c:formatCode>
                <c:ptCount val="12"/>
                <c:pt idx="0">
                  <c:v>-2571.9130434782596</c:v>
                </c:pt>
                <c:pt idx="1">
                  <c:v>-2819.0833333333353</c:v>
                </c:pt>
                <c:pt idx="2">
                  <c:v>-2110.4166666666665</c:v>
                </c:pt>
                <c:pt idx="3">
                  <c:v>1482.88</c:v>
                </c:pt>
                <c:pt idx="4">
                  <c:v>2935.6400000000012</c:v>
                </c:pt>
                <c:pt idx="5">
                  <c:v>9109.5909090909099</c:v>
                </c:pt>
                <c:pt idx="6">
                  <c:v>6471.9022556390983</c:v>
                </c:pt>
                <c:pt idx="7">
                  <c:v>21959.121212121216</c:v>
                </c:pt>
                <c:pt idx="8">
                  <c:v>-42454.289855072464</c:v>
                </c:pt>
                <c:pt idx="9">
                  <c:v>0</c:v>
                </c:pt>
                <c:pt idx="10">
                  <c:v>0</c:v>
                </c:pt>
                <c:pt idx="11">
                  <c:v>0</c:v>
                </c:pt>
              </c:numCache>
            </c:numRef>
          </c:val>
          <c:extLst>
            <c:ext xmlns:c16="http://schemas.microsoft.com/office/drawing/2014/chart" uri="{C3380CC4-5D6E-409C-BE32-E72D297353CC}">
              <c16:uniqueId val="{00000000-0F3F-4820-9F5D-3E9217A6EBE1}"/>
            </c:ext>
          </c:extLst>
        </c:ser>
        <c:ser>
          <c:idx val="1"/>
          <c:order val="1"/>
          <c:tx>
            <c:strRef>
              <c:f>المقارنة!$A$27</c:f>
              <c:strCache>
                <c:ptCount val="1"/>
                <c:pt idx="0">
                  <c:v>صافي الديون (لنا − علينا) $</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ar-SA"/>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المقارنة!$B$5:$M$5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المقارنة!$B$27:$M$27</c:f>
              <c:numCache>
                <c:formatCode>\$#,##0;[Red]"($"#,##0\);\-</c:formatCode>
                <c:ptCount val="12"/>
                <c:pt idx="0">
                  <c:v>-2658.8695652173901</c:v>
                </c:pt>
                <c:pt idx="1">
                  <c:v>-3351.5000000000018</c:v>
                </c:pt>
                <c:pt idx="2">
                  <c:v>-2520.75</c:v>
                </c:pt>
                <c:pt idx="3">
                  <c:v>1073</c:v>
                </c:pt>
                <c:pt idx="4">
                  <c:v>2765.6400000000012</c:v>
                </c:pt>
                <c:pt idx="5">
                  <c:v>8379.3484848484859</c:v>
                </c:pt>
                <c:pt idx="6">
                  <c:v>5819.5714285714294</c:v>
                </c:pt>
                <c:pt idx="7">
                  <c:v>19571.848484848488</c:v>
                </c:pt>
                <c:pt idx="8">
                  <c:v>-42496.246376811592</c:v>
                </c:pt>
                <c:pt idx="9">
                  <c:v>0</c:v>
                </c:pt>
                <c:pt idx="10">
                  <c:v>0</c:v>
                </c:pt>
                <c:pt idx="11">
                  <c:v>0</c:v>
                </c:pt>
              </c:numCache>
            </c:numRef>
          </c:val>
          <c:extLst>
            <c:ext xmlns:c16="http://schemas.microsoft.com/office/drawing/2014/chart" uri="{C3380CC4-5D6E-409C-BE32-E72D297353CC}">
              <c16:uniqueId val="{00000001-0F3F-4820-9F5D-3E9217A6EBE1}"/>
            </c:ext>
          </c:extLst>
        </c:ser>
        <c:dLbls>
          <c:showLegendKey val="0"/>
          <c:showVal val="0"/>
          <c:showCatName val="0"/>
          <c:showSerName val="0"/>
          <c:showPercent val="0"/>
          <c:showBubbleSize val="0"/>
        </c:dLbls>
        <c:gapWidth val="150"/>
        <c:axId val="381987"/>
        <c:axId val="41033231"/>
      </c:barChart>
      <c:catAx>
        <c:axId val="3819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ar-SA"/>
          </a:p>
        </c:txPr>
        <c:crossAx val="41033231"/>
        <c:crosses val="autoZero"/>
        <c:auto val="1"/>
        <c:lblAlgn val="ctr"/>
        <c:lblOffset val="100"/>
        <c:noMultiLvlLbl val="0"/>
      </c:catAx>
      <c:valAx>
        <c:axId val="41033231"/>
        <c:scaling>
          <c:orientation val="minMax"/>
        </c:scaling>
        <c:delete val="0"/>
        <c:axPos val="l"/>
        <c:majorGridlines>
          <c:spPr>
            <a:ln w="9360">
              <a:solidFill>
                <a:srgbClr val="878787"/>
              </a:solidFill>
              <a:round/>
            </a:ln>
          </c:spPr>
        </c:majorGridlines>
        <c:numFmt formatCode="\$#,##0;[Red]&quot;($&quot;#,##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ar-SA"/>
          </a:p>
        </c:txPr>
        <c:crossAx val="38198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ar-SA"/>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-21240</xdr:colOff>
      <xdr:row>57</xdr:row>
      <xdr:rowOff>191520</xdr:rowOff>
    </xdr:from>
    <xdr:to>
      <xdr:col>7</xdr:col>
      <xdr:colOff>0</xdr:colOff>
      <xdr:row>69</xdr:row>
      <xdr:rowOff>80280</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-21240</xdr:colOff>
      <xdr:row>57</xdr:row>
      <xdr:rowOff>191520</xdr:rowOff>
    </xdr:from>
    <xdr:to>
      <xdr:col>13</xdr:col>
      <xdr:colOff>0</xdr:colOff>
      <xdr:row>69</xdr:row>
      <xdr:rowOff>80280</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-21240</xdr:colOff>
      <xdr:row>70</xdr:row>
      <xdr:rowOff>134640</xdr:rowOff>
    </xdr:from>
    <xdr:to>
      <xdr:col>7</xdr:col>
      <xdr:colOff>0</xdr:colOff>
      <xdr:row>82</xdr:row>
      <xdr:rowOff>80280</xdr:rowOff>
    </xdr:to>
    <xdr:graphicFrame macro="">
      <xdr:nvGraphicFramePr>
        <xdr:cNvPr id="4" name="Chart 3">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-21240</xdr:colOff>
      <xdr:row>70</xdr:row>
      <xdr:rowOff>134640</xdr:rowOff>
    </xdr:from>
    <xdr:to>
      <xdr:col>13</xdr:col>
      <xdr:colOff>0</xdr:colOff>
      <xdr:row>82</xdr:row>
      <xdr:rowOff>80280</xdr:rowOff>
    </xdr:to>
    <xdr:graphicFrame macro="">
      <xdr:nvGraphicFramePr>
        <xdr:cNvPr id="5" name="Chart 4">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K36"/>
  <sheetViews>
    <sheetView showGridLines="0" rightToLeft="1" topLeftCell="A8" zoomScaleNormal="100" workbookViewId="0">
      <selection activeCell="C17" sqref="C17"/>
    </sheetView>
  </sheetViews>
  <sheetFormatPr defaultColWidth="8.7109375" defaultRowHeight="15" x14ac:dyDescent="0.25"/>
  <cols>
    <col min="1" max="1" width="2" customWidth="1"/>
    <col min="2" max="2" width="24" customWidth="1"/>
    <col min="3" max="3" width="18" customWidth="1"/>
    <col min="4" max="4" width="22" customWidth="1"/>
    <col min="5" max="5" width="14" customWidth="1"/>
    <col min="6" max="7" width="16" customWidth="1"/>
    <col min="8" max="8" width="14" customWidth="1"/>
    <col min="10" max="10" width="26" customWidth="1"/>
    <col min="11" max="11" width="12" customWidth="1"/>
  </cols>
  <sheetData>
    <row r="1" spans="1:11" ht="31.5" customHeight="1" x14ac:dyDescent="0.25">
      <c r="A1" s="14" t="s">
        <v>0</v>
      </c>
      <c r="B1" s="14"/>
      <c r="C1" s="14"/>
      <c r="D1" s="14"/>
      <c r="E1" s="14"/>
      <c r="F1" s="14"/>
      <c r="G1" s="14"/>
      <c r="H1" s="14"/>
    </row>
    <row r="2" spans="1:11" x14ac:dyDescent="0.25">
      <c r="B2" s="13" t="s">
        <v>1</v>
      </c>
      <c r="C2" s="13"/>
      <c r="D2" s="13"/>
      <c r="E2" s="13"/>
      <c r="F2" s="13"/>
      <c r="G2" s="13"/>
      <c r="H2" s="13"/>
    </row>
    <row r="4" spans="1:11" ht="19.5" customHeight="1" x14ac:dyDescent="0.25">
      <c r="B4" s="12" t="s">
        <v>2</v>
      </c>
      <c r="C4" s="12"/>
      <c r="D4" s="12"/>
      <c r="E4" s="12"/>
      <c r="F4" s="12"/>
      <c r="G4" s="12"/>
      <c r="H4" s="12"/>
      <c r="J4" s="15" t="s">
        <v>3</v>
      </c>
      <c r="K4" s="15">
        <f>IF($C$5="آخر شهر متوفر",MAX(1,MAX(المقارنة!$B$40:$M$40)),MATCH($C$5,المقارنة!$B$5:$M$5,0))</f>
        <v>9</v>
      </c>
    </row>
    <row r="5" spans="1:11" ht="15" customHeight="1" x14ac:dyDescent="0.25">
      <c r="B5" s="17" t="s">
        <v>4</v>
      </c>
      <c r="C5" s="18" t="s">
        <v>5</v>
      </c>
      <c r="D5" s="11" t="s">
        <v>6</v>
      </c>
      <c r="E5" s="11"/>
      <c r="F5" s="11"/>
      <c r="G5" s="11"/>
      <c r="H5" s="11"/>
    </row>
    <row r="6" spans="1:11" ht="15" customHeight="1" x14ac:dyDescent="0.25">
      <c r="B6" s="17" t="s">
        <v>7</v>
      </c>
      <c r="C6" s="20">
        <v>6</v>
      </c>
      <c r="D6" s="11" t="s">
        <v>8</v>
      </c>
      <c r="E6" s="11"/>
      <c r="F6" s="11"/>
      <c r="G6" s="11"/>
      <c r="H6" s="11"/>
    </row>
    <row r="8" spans="1:11" ht="19.5" customHeight="1" x14ac:dyDescent="0.25">
      <c r="B8" s="12" t="s">
        <v>9</v>
      </c>
      <c r="C8" s="12"/>
      <c r="D8" s="12"/>
      <c r="E8" s="12"/>
      <c r="F8" s="12"/>
      <c r="G8" s="12"/>
      <c r="H8" s="12"/>
    </row>
    <row r="9" spans="1:11" x14ac:dyDescent="0.25">
      <c r="B9" s="21" t="s">
        <v>10</v>
      </c>
      <c r="C9" s="21" t="s">
        <v>11</v>
      </c>
      <c r="D9" s="21" t="s">
        <v>12</v>
      </c>
      <c r="E9" s="21" t="s">
        <v>13</v>
      </c>
      <c r="F9" s="21" t="s">
        <v>14</v>
      </c>
      <c r="G9" s="21" t="s">
        <v>15</v>
      </c>
      <c r="H9" s="21" t="s">
        <v>16</v>
      </c>
    </row>
    <row r="10" spans="1:11" x14ac:dyDescent="0.25">
      <c r="B10" s="17" t="s">
        <v>17</v>
      </c>
      <c r="C10" s="22">
        <v>11500</v>
      </c>
      <c r="D10" s="23" t="str">
        <f>'01-يناير'!$H$6</f>
        <v>ℹ ربح تقديري فقط</v>
      </c>
      <c r="E10" s="24" t="str">
        <f>IF('01-يناير'!$H$13&gt;0,'01-يناير'!$H$13,"")</f>
        <v/>
      </c>
      <c r="F10" s="25">
        <f>المقارنة!B11</f>
        <v>10341.391304347826</v>
      </c>
      <c r="G10" s="25" t="str">
        <f>المقارنة!B19</f>
        <v/>
      </c>
      <c r="H10" s="26" t="str">
        <f>المقارنة!B20</f>
        <v/>
      </c>
    </row>
    <row r="11" spans="1:11" x14ac:dyDescent="0.25">
      <c r="B11" s="17" t="s">
        <v>18</v>
      </c>
      <c r="C11" s="22">
        <v>12000</v>
      </c>
      <c r="D11" s="23" t="str">
        <f>'02-فبراير'!$H$6</f>
        <v>ℹ ربح تقديري فقط</v>
      </c>
      <c r="E11" s="24" t="str">
        <f>IF('02-فبراير'!$H$13&gt;0,'02-فبراير'!$H$13,"")</f>
        <v/>
      </c>
      <c r="F11" s="25">
        <f>المقارنة!C11</f>
        <v>7321.583333333333</v>
      </c>
      <c r="G11" s="25" t="str">
        <f>المقارنة!C19</f>
        <v/>
      </c>
      <c r="H11" s="26" t="str">
        <f>المقارنة!C20</f>
        <v/>
      </c>
    </row>
    <row r="12" spans="1:11" x14ac:dyDescent="0.25">
      <c r="B12" s="17" t="s">
        <v>19</v>
      </c>
      <c r="C12" s="22">
        <v>12000</v>
      </c>
      <c r="D12" s="23" t="str">
        <f>'03-مارس'!$H$6</f>
        <v>ℹ ربح تقديري فقط</v>
      </c>
      <c r="E12" s="24" t="str">
        <f>IF('03-مارس'!$H$13&gt;0,'03-مارس'!$H$13,"")</f>
        <v/>
      </c>
      <c r="F12" s="25">
        <f>المقارنة!D11</f>
        <v>8786.9166666666661</v>
      </c>
      <c r="G12" s="25" t="str">
        <f>المقارنة!D19</f>
        <v/>
      </c>
      <c r="H12" s="26" t="str">
        <f>المقارنة!D20</f>
        <v/>
      </c>
    </row>
    <row r="13" spans="1:11" x14ac:dyDescent="0.25">
      <c r="B13" s="17" t="s">
        <v>20</v>
      </c>
      <c r="C13" s="22">
        <v>12500</v>
      </c>
      <c r="D13" s="23" t="str">
        <f>'04-أبريل'!$H$6</f>
        <v>ℹ ربح تقديري فقط</v>
      </c>
      <c r="E13" s="24" t="str">
        <f>IF('04-أبريل'!$H$13&gt;0,'04-أبريل'!$H$13,"")</f>
        <v/>
      </c>
      <c r="F13" s="25">
        <f>المقارنة!E11</f>
        <v>13335.28</v>
      </c>
      <c r="G13" s="25" t="str">
        <f>المقارنة!E19</f>
        <v/>
      </c>
      <c r="H13" s="26" t="str">
        <f>المقارنة!E20</f>
        <v/>
      </c>
    </row>
    <row r="14" spans="1:11" x14ac:dyDescent="0.25">
      <c r="B14" s="17" t="s">
        <v>21</v>
      </c>
      <c r="C14" s="22">
        <v>12500</v>
      </c>
      <c r="D14" s="23" t="str">
        <f>'05-مايو'!$H$6</f>
        <v>ℹ ربح تقديري فقط</v>
      </c>
      <c r="E14" s="24" t="str">
        <f>IF('05-مايو'!$H$13&gt;0,'05-مايو'!$H$13,"")</f>
        <v/>
      </c>
      <c r="F14" s="25">
        <f>المقارنة!F11</f>
        <v>13066.72</v>
      </c>
      <c r="G14" s="25" t="str">
        <f>المقارنة!F19</f>
        <v/>
      </c>
      <c r="H14" s="26" t="str">
        <f>المقارنة!F20</f>
        <v/>
      </c>
    </row>
    <row r="15" spans="1:11" x14ac:dyDescent="0.25">
      <c r="B15" s="17" t="s">
        <v>22</v>
      </c>
      <c r="C15" s="22">
        <v>13200</v>
      </c>
      <c r="D15" s="23" t="str">
        <f>'06-يونيو'!$H$6</f>
        <v>ℹ ربح تقديري فقط</v>
      </c>
      <c r="E15" s="24" t="str">
        <f>IF('06-يونيو'!$H$13&gt;0,'06-يونيو'!$H$13,"")</f>
        <v/>
      </c>
      <c r="F15" s="25">
        <f>المقارنة!G11</f>
        <v>14956.363636363636</v>
      </c>
      <c r="G15" s="25" t="str">
        <f>المقارنة!G19</f>
        <v/>
      </c>
      <c r="H15" s="26" t="str">
        <f>المقارنة!G20</f>
        <v/>
      </c>
    </row>
    <row r="16" spans="1:11" x14ac:dyDescent="0.25">
      <c r="B16" s="17" t="s">
        <v>23</v>
      </c>
      <c r="C16" s="22">
        <v>13300</v>
      </c>
      <c r="D16" s="23" t="str">
        <f>'07-يوليو'!$H$6</f>
        <v>✅ جاهز — ربح حقيقي</v>
      </c>
      <c r="E16" s="24" t="str">
        <f>IF('07-يوليو'!$H$13&gt;0,'07-يوليو'!$H$13,"")</f>
        <v/>
      </c>
      <c r="F16" s="25">
        <f>المقارنة!H11</f>
        <v>14364.060150375939</v>
      </c>
      <c r="G16" s="25">
        <f>المقارنة!H19</f>
        <v>5462.4142857142906</v>
      </c>
      <c r="H16" s="26">
        <f>المقارنة!H20</f>
        <v>0.38028344552506815</v>
      </c>
    </row>
    <row r="17" spans="2:8" x14ac:dyDescent="0.25">
      <c r="B17" s="17" t="s">
        <v>24</v>
      </c>
      <c r="C17" s="22">
        <v>13200</v>
      </c>
      <c r="D17" s="23" t="str">
        <f>'08-أغسطس'!$H$6</f>
        <v>✅ جاهز — ربح حقيقي</v>
      </c>
      <c r="E17" s="24" t="str">
        <f>IF('08-أغسطس'!$H$13&gt;0,'08-أغسطس'!$H$13,"")</f>
        <v/>
      </c>
      <c r="F17" s="25">
        <f>المقارنة!I11</f>
        <v>17236.969696969696</v>
      </c>
      <c r="G17" s="25">
        <f>المقارنة!I19</f>
        <v>8239.9551000000702</v>
      </c>
      <c r="H17" s="26">
        <f>المقارنة!I20</f>
        <v>0.47803965806406656</v>
      </c>
    </row>
    <row r="18" spans="2:8" x14ac:dyDescent="0.25">
      <c r="B18" s="17" t="s">
        <v>25</v>
      </c>
      <c r="C18" s="22">
        <v>13800</v>
      </c>
      <c r="D18" s="23" t="str">
        <f>'09-سبتمبر'!$H$6</f>
        <v>✅ جاهز — ربح حقيقي</v>
      </c>
      <c r="E18" s="24" t="str">
        <f>IF('09-سبتمبر'!$H$13&gt;0,'09-سبتمبر'!$H$13,"")</f>
        <v/>
      </c>
      <c r="F18" s="25">
        <f>المقارنة!J11</f>
        <v>12412.101449275362</v>
      </c>
      <c r="G18" s="25">
        <f>المقارنة!J19</f>
        <v>1709.2248275361626</v>
      </c>
      <c r="H18" s="26">
        <f>المقارنة!J20</f>
        <v>0.13770632108682529</v>
      </c>
    </row>
    <row r="19" spans="2:8" x14ac:dyDescent="0.25">
      <c r="B19" s="17" t="s">
        <v>26</v>
      </c>
      <c r="C19" s="22">
        <v>14200</v>
      </c>
      <c r="D19" s="23" t="str">
        <f>'10-أكتوبر'!$H$6</f>
        <v>لا بيانات</v>
      </c>
      <c r="E19" s="24" t="str">
        <f>IF('10-أكتوبر'!$H$13&gt;0,'10-أكتوبر'!$H$13,"")</f>
        <v/>
      </c>
      <c r="F19" s="25" t="str">
        <f>المقارنة!K11</f>
        <v/>
      </c>
      <c r="G19" s="25" t="str">
        <f>المقارنة!K19</f>
        <v/>
      </c>
      <c r="H19" s="26" t="str">
        <f>المقارنة!K20</f>
        <v/>
      </c>
    </row>
    <row r="20" spans="2:8" x14ac:dyDescent="0.25">
      <c r="B20" s="17" t="s">
        <v>27</v>
      </c>
      <c r="C20" s="22"/>
      <c r="D20" s="23" t="str">
        <f>'11-نوفمبر'!$H$6</f>
        <v>لا بيانات</v>
      </c>
      <c r="E20" s="24" t="str">
        <f>IF('11-نوفمبر'!$H$13&gt;0,'11-نوفمبر'!$H$13,"")</f>
        <v/>
      </c>
      <c r="F20" s="25" t="str">
        <f>المقارنة!L11</f>
        <v/>
      </c>
      <c r="G20" s="25" t="str">
        <f>المقارنة!L19</f>
        <v/>
      </c>
      <c r="H20" s="26" t="str">
        <f>المقارنة!L20</f>
        <v/>
      </c>
    </row>
    <row r="21" spans="2:8" x14ac:dyDescent="0.25">
      <c r="B21" s="17" t="s">
        <v>28</v>
      </c>
      <c r="C21" s="22"/>
      <c r="D21" s="23" t="str">
        <f>'12-ديسمبر'!$H$6</f>
        <v>لا بيانات</v>
      </c>
      <c r="E21" s="24" t="str">
        <f>IF('12-ديسمبر'!$H$13&gt;0,'12-ديسمبر'!$H$13,"")</f>
        <v/>
      </c>
      <c r="F21" s="25" t="str">
        <f>المقارنة!M11</f>
        <v/>
      </c>
      <c r="G21" s="25" t="str">
        <f>المقارنة!M19</f>
        <v/>
      </c>
      <c r="H21" s="26" t="str">
        <f>المقارنة!M20</f>
        <v/>
      </c>
    </row>
    <row r="22" spans="2:8" ht="33.75" customHeight="1" x14ac:dyDescent="0.25">
      <c r="B22" s="10" t="str">
        <f>IF(IF(N('01-يناير'!$H$13)&gt;0," • يناير ("&amp;'01-يناير'!$H$13&amp;")","")&amp;IF(N('02-فبراير'!$H$13)&gt;0," • فبراير ("&amp;'02-فبراير'!$H$13&amp;")","")&amp;IF(N('03-مارس'!$H$13)&gt;0," • مارس ("&amp;'03-مارس'!$H$13&amp;")","")&amp;IF(N('04-أبريل'!$H$13)&gt;0," • أبريل ("&amp;'04-أبريل'!$H$13&amp;")","")&amp;IF(N('05-مايو'!$H$13)&gt;0," • مايو ("&amp;'05-مايو'!$H$13&amp;")","")&amp;IF(N('06-يونيو'!$H$13)&gt;0," • يونيو ("&amp;'06-يونيو'!$H$13&amp;")","")&amp;IF(N('07-يوليو'!$H$13)&gt;0," • يوليو ("&amp;'07-يوليو'!$H$13&amp;")","")&amp;IF(N('08-أغسطس'!$H$13)&gt;0," • أغسطس ("&amp;'08-أغسطس'!$H$13&amp;")","")&amp;IF(N('09-سبتمبر'!$H$13)&gt;0," • سبتمبر ("&amp;'09-سبتمبر'!$H$13&amp;")","")&amp;IF(N('10-أكتوبر'!$H$13)&gt;0," • أكتوبر ("&amp;'10-أكتوبر'!$H$13&amp;")","")&amp;IF(N('11-نوفمبر'!$H$13)&gt;0," • نوفمبر ("&amp;'11-نوفمبر'!$H$13&amp;")","")&amp;IF(N('12-ديسمبر'!$H$13)&gt;0," • ديسمبر ("&amp;'12-ديسمبر'!$H$13&amp;")","")="","✅ لا توجد تنبيهات في أي شهر","⚠ أشهر فيها تنبيهات (عددها بين القوسين):"&amp;IF(N('01-يناير'!$H$13)&gt;0," • يناير ("&amp;'01-يناير'!$H$13&amp;")","")&amp;IF(N('02-فبراير'!$H$13)&gt;0," • فبراير ("&amp;'02-فبراير'!$H$13&amp;")","")&amp;IF(N('03-مارس'!$H$13)&gt;0," • مارس ("&amp;'03-مارس'!$H$13&amp;")","")&amp;IF(N('04-أبريل'!$H$13)&gt;0," • أبريل ("&amp;'04-أبريل'!$H$13&amp;")","")&amp;IF(N('05-مايو'!$H$13)&gt;0," • مايو ("&amp;'05-مايو'!$H$13&amp;")","")&amp;IF(N('06-يونيو'!$H$13)&gt;0," • يونيو ("&amp;'06-يونيو'!$H$13&amp;")","")&amp;IF(N('07-يوليو'!$H$13)&gt;0," • يوليو ("&amp;'07-يوليو'!$H$13&amp;")","")&amp;IF(N('08-أغسطس'!$H$13)&gt;0," • أغسطس ("&amp;'08-أغسطس'!$H$13&amp;")","")&amp;IF(N('09-سبتمبر'!$H$13)&gt;0," • سبتمبر ("&amp;'09-سبتمبر'!$H$13&amp;")","")&amp;IF(N('10-أكتوبر'!$H$13)&gt;0," • أكتوبر ("&amp;'10-أكتوبر'!$H$13&amp;")","")&amp;IF(N('11-نوفمبر'!$H$13)&gt;0," • نوفمبر ("&amp;'11-نوفمبر'!$H$13&amp;")","")&amp;IF(N('12-ديسمبر'!$H$13)&gt;0," • ديسمبر ("&amp;'12-ديسمبر'!$H$13&amp;")","")&amp;" — افتح صفحة الشهر لرؤية التفاصيل")</f>
        <v>✅ لا توجد تنبيهات في أي شهر</v>
      </c>
      <c r="C22" s="10"/>
      <c r="D22" s="10"/>
      <c r="E22" s="10"/>
      <c r="F22" s="10"/>
      <c r="G22" s="10"/>
      <c r="H22" s="10"/>
    </row>
    <row r="24" spans="2:8" ht="19.5" customHeight="1" x14ac:dyDescent="0.25">
      <c r="B24" s="12" t="s">
        <v>29</v>
      </c>
      <c r="C24" s="12"/>
      <c r="D24" s="12"/>
      <c r="E24" s="12"/>
      <c r="F24" s="12"/>
      <c r="G24" s="12"/>
      <c r="H24" s="12"/>
    </row>
    <row r="25" spans="2:8" x14ac:dyDescent="0.25">
      <c r="B25" s="10" t="str">
        <f>"الشهر: "&amp;INDEX(المقارنة!$B$5:$M$5,$K$4)&amp;" 2026   |   "&amp;INDEX(المقارنة!$B$37:$M$37,$K$4)</f>
        <v>الشهر: سبتمبر 2026   |   ✅ جاهز — ربح حقيقي</v>
      </c>
      <c r="C25" s="10"/>
      <c r="D25" s="10"/>
      <c r="E25" s="10"/>
      <c r="F25" s="10"/>
      <c r="G25" s="10"/>
      <c r="H25" s="10"/>
    </row>
    <row r="26" spans="2:8" ht="15" customHeight="1" x14ac:dyDescent="0.25">
      <c r="B26" s="9" t="s">
        <v>30</v>
      </c>
      <c r="C26" s="9"/>
      <c r="D26" s="9" t="s">
        <v>31</v>
      </c>
      <c r="E26" s="9"/>
      <c r="F26" s="9" t="s">
        <v>32</v>
      </c>
      <c r="G26" s="9"/>
    </row>
    <row r="27" spans="2:8" ht="30" customHeight="1" x14ac:dyDescent="0.25">
      <c r="B27" s="8">
        <f>IF(ISNUMBER(INDEX(المقارنة!$B$11:$M$11,$K$4)),INDEX(المقارنة!$B$11:$M$11,$K$4),"—")</f>
        <v>12412.101449275362</v>
      </c>
      <c r="C27" s="8"/>
      <c r="D27" s="8">
        <f>IF(ISNUMBER(INDEX(المقارنة!$B$19:$M$19,$K$4)),INDEX(المقارنة!$B$19:$M$19,$K$4),"—")</f>
        <v>1709.2248275361626</v>
      </c>
      <c r="E27" s="8"/>
      <c r="F27" s="7">
        <f>IF(ISNUMBER(INDEX(المقارنة!$B$20:$M$20,$K$4)),INDEX(المقارنة!$B$20:$M$20,$K$4),"—")</f>
        <v>0.13770632108682529</v>
      </c>
      <c r="G27" s="7"/>
    </row>
    <row r="28" spans="2:8" x14ac:dyDescent="0.25">
      <c r="B28" s="6" t="str">
        <f>IF(AND($K$4&gt;1,ISNUMBER(INDEX(المقارنة!$B$11:$M$11,$K$4)),ISNUMBER(INDEX(المقارنة!$B$11:$M$11,$K$4-1))),IF(INDEX(المقارنة!$B$11:$M$11,$K$4-1)&lt;&gt;0,IF(INDEX(المقارنة!$B$11:$M$11,$K$4)&gt;=INDEX(المقارنة!$B$11:$M$11,$K$4-1),"▲ ","▼ ")&amp;TEXT(ABS((INDEX(المقارنة!$B$11:$M$11,$K$4)-INDEX(المقارنة!$B$11:$M$11,$K$4-1))/ABS(INDEX(المقارنة!$B$11:$M$11,$K$4-1))),"0.0%")&amp;" عن الشهر السابق","—"),"—")</f>
        <v>▼ 28.0% عن الشهر السابق</v>
      </c>
      <c r="C28" s="6"/>
      <c r="D28" s="6" t="str">
        <f>IF(AND($K$4&gt;1,ISNUMBER(INDEX(المقارنة!$B$19:$M$19,$K$4)),ISNUMBER(INDEX(المقارنة!$B$19:$M$19,$K$4-1))),IF(INDEX(المقارنة!$B$19:$M$19,$K$4-1)&lt;&gt;0,IF(INDEX(المقارنة!$B$19:$M$19,$K$4)&gt;=INDEX(المقارنة!$B$19:$M$19,$K$4-1),"▲ ","▼ ")&amp;TEXT(ABS((INDEX(المقارنة!$B$19:$M$19,$K$4)-INDEX(المقارنة!$B$19:$M$19,$K$4-1))/ABS(INDEX(المقارنة!$B$19:$M$19,$K$4-1))),"0.0%")&amp;" عن الشهر السابق","—"),"—")</f>
        <v>▼ 79.3% عن الشهر السابق</v>
      </c>
      <c r="E28" s="6"/>
      <c r="F28" s="6" t="str">
        <f>IF(AND($K$4&gt;1,ISNUMBER(INDEX(المقارنة!$B$20:$M$20,$K$4)),ISNUMBER(INDEX(المقارنة!$B$20:$M$20,$K$4-1))),IF(INDEX(المقارنة!$B$20:$M$20,$K$4)&gt;=INDEX(المقارنة!$B$20:$M$20,$K$4-1),"▲ ","▼ ")&amp;TEXT(ABS(INDEX(المقارنة!$B$20:$M$20,$K$4)-INDEX(المقارنة!$B$20:$M$20,$K$4-1))*100,"0.0")&amp;" نقطة عن الشهر السابق","—")</f>
        <v>▼ 34.0 نقطة عن الشهر السابق</v>
      </c>
      <c r="G28" s="6"/>
    </row>
    <row r="30" spans="2:8" ht="15" customHeight="1" x14ac:dyDescent="0.25">
      <c r="B30" s="9" t="s">
        <v>33</v>
      </c>
      <c r="C30" s="9"/>
      <c r="D30" s="9" t="s">
        <v>34</v>
      </c>
      <c r="E30" s="9"/>
      <c r="F30" s="9" t="s">
        <v>35</v>
      </c>
      <c r="G30" s="9"/>
    </row>
    <row r="31" spans="2:8" ht="30" customHeight="1" x14ac:dyDescent="0.25">
      <c r="B31" s="8">
        <f>IF(ISNUMBER(INDEX(المقارنة!$B$13:$M$13,$K$4)),INDEX(المقارنة!$B$13:$M$13,$K$4),"—")</f>
        <v>3175.942028985507</v>
      </c>
      <c r="C31" s="8"/>
      <c r="D31" s="8">
        <f>IF(ISNUMBER(INDEX(المقارنة!$B$24:$M$24,$K$4)),INDEX(المقارنة!$B$24:$M$24,$K$4),"—")</f>
        <v>44900.765362318845</v>
      </c>
      <c r="E31" s="8"/>
      <c r="F31" s="8">
        <f>IF(ISNUMBER(INDEX(المقارنة!$B$28:$M$28,$K$4)),INDEX(المقارنة!$B$28:$M$28,$K$4),"—")</f>
        <v>-42454.289855072464</v>
      </c>
      <c r="G31" s="8"/>
    </row>
    <row r="32" spans="2:8" x14ac:dyDescent="0.25">
      <c r="B32" s="6" t="str">
        <f>IF(AND($K$4&gt;1,ISNUMBER(INDEX(المقارنة!$B$13:$M$13,$K$4)),ISNUMBER(INDEX(المقارنة!$B$13:$M$13,$K$4-1))),IF(INDEX(المقارنة!$B$13:$M$13,$K$4-1)&lt;&gt;0,IF(INDEX(المقارنة!$B$13:$M$13,$K$4)&gt;=INDEX(المقارنة!$B$13:$M$13,$K$4-1),"▲ ","▼ ")&amp;TEXT(ABS((INDEX(المقارنة!$B$13:$M$13,$K$4)-INDEX(المقارنة!$B$13:$M$13,$K$4-1))/ABS(INDEX(المقارنة!$B$13:$M$13,$K$4-1))),"0.0%")&amp;" عن الشهر السابق","—"),"—")</f>
        <v>▲ 30.2% عن الشهر السابق</v>
      </c>
      <c r="C32" s="6"/>
      <c r="D32" s="6" t="str">
        <f>IF(AND($K$4&gt;1,ISNUMBER(INDEX(المقارنة!$B$24:$M$24,$K$4)),ISNUMBER(INDEX(المقارنة!$B$24:$M$24,$K$4-1))),IF(INDEX(المقارنة!$B$24:$M$24,$K$4-1)&lt;&gt;0,IF(INDEX(المقارنة!$B$24:$M$24,$K$4)&gt;=INDEX(المقارنة!$B$24:$M$24,$K$4-1),"▲ ","▼ ")&amp;TEXT(ABS((INDEX(المقارنة!$B$24:$M$24,$K$4)-INDEX(المقارنة!$B$24:$M$24,$K$4-1))/ABS(INDEX(المقارنة!$B$24:$M$24,$K$4-1))),"0.0%")&amp;" عن الشهر السابق","—"),"—")</f>
        <v>▼ 6.3% عن الشهر السابق</v>
      </c>
      <c r="E32" s="6"/>
      <c r="F32" s="6" t="str">
        <f>IF(AND($K$4&gt;1,ISNUMBER(INDEX(المقارنة!$B$28:$M$28,$K$4)),ISNUMBER(INDEX(المقارنة!$B$28:$M$28,$K$4-1))),IF(INDEX(المقارنة!$B$28:$M$28,$K$4-1)&lt;&gt;0,IF(INDEX(المقارنة!$B$28:$M$28,$K$4)&gt;=INDEX(المقارنة!$B$28:$M$28,$K$4-1),"▲ ","▼ ")&amp;TEXT(ABS((INDEX(المقارنة!$B$28:$M$28,$K$4)-INDEX(المقارنة!$B$28:$M$28,$K$4-1))/ABS(INDEX(المقارنة!$B$28:$M$28,$K$4-1))),"0.0%")&amp;" عن الشهر السابق","—"),"—")</f>
        <v>▼ 293.3% عن الشهر السابق</v>
      </c>
      <c r="G32" s="6"/>
    </row>
    <row r="34" spans="2:8" ht="15" customHeight="1" x14ac:dyDescent="0.25">
      <c r="B34" s="11" t="s">
        <v>36</v>
      </c>
      <c r="C34" s="11"/>
      <c r="D34" s="11"/>
      <c r="E34" s="11"/>
      <c r="F34" s="11"/>
      <c r="G34" s="11"/>
      <c r="H34" s="11"/>
    </row>
    <row r="35" spans="2:8" x14ac:dyDescent="0.25">
      <c r="B35" s="11"/>
      <c r="C35" s="11"/>
      <c r="D35" s="11"/>
      <c r="E35" s="11"/>
      <c r="F35" s="11"/>
      <c r="G35" s="11"/>
      <c r="H35" s="11"/>
    </row>
    <row r="36" spans="2:8" x14ac:dyDescent="0.25">
      <c r="B36" s="11"/>
      <c r="C36" s="11"/>
      <c r="D36" s="11"/>
      <c r="E36" s="11"/>
      <c r="F36" s="11"/>
      <c r="G36" s="11"/>
      <c r="H36" s="11"/>
    </row>
  </sheetData>
  <mergeCells count="28">
    <mergeCell ref="B32:C32"/>
    <mergeCell ref="D32:E32"/>
    <mergeCell ref="F32:G32"/>
    <mergeCell ref="B34:H36"/>
    <mergeCell ref="B30:C30"/>
    <mergeCell ref="D30:E30"/>
    <mergeCell ref="F30:G30"/>
    <mergeCell ref="B31:C31"/>
    <mergeCell ref="D31:E31"/>
    <mergeCell ref="F31:G31"/>
    <mergeCell ref="B27:C27"/>
    <mergeCell ref="D27:E27"/>
    <mergeCell ref="F27:G27"/>
    <mergeCell ref="B28:C28"/>
    <mergeCell ref="D28:E28"/>
    <mergeCell ref="F28:G28"/>
    <mergeCell ref="B8:H8"/>
    <mergeCell ref="B22:H22"/>
    <mergeCell ref="B24:H24"/>
    <mergeCell ref="B25:H25"/>
    <mergeCell ref="B26:C26"/>
    <mergeCell ref="D26:E26"/>
    <mergeCell ref="F26:G26"/>
    <mergeCell ref="A1:H1"/>
    <mergeCell ref="B2:H2"/>
    <mergeCell ref="B4:H4"/>
    <mergeCell ref="D5:H5"/>
    <mergeCell ref="D6:H6"/>
  </mergeCells>
  <conditionalFormatting sqref="B22">
    <cfRule type="expression" dxfId="79" priority="6">
      <formula>LEFT($B$22,1)="⚠"</formula>
    </cfRule>
    <cfRule type="expression" dxfId="78" priority="7">
      <formula>LEFT($B$22,1)="✅"</formula>
    </cfRule>
  </conditionalFormatting>
  <conditionalFormatting sqref="D10:D21">
    <cfRule type="expression" dxfId="77" priority="2">
      <formula>LEFT($D10,1)="✅"</formula>
    </cfRule>
    <cfRule type="expression" dxfId="76" priority="3">
      <formula>LEFT($D10,1)="⚠"</formula>
    </cfRule>
    <cfRule type="expression" dxfId="75" priority="4">
      <formula>LEFT($D10,1)="ℹ"</formula>
    </cfRule>
  </conditionalFormatting>
  <conditionalFormatting sqref="E10:E21">
    <cfRule type="cellIs" dxfId="74" priority="5" operator="greaterThan">
      <formula>0</formula>
    </cfRule>
  </conditionalFormatting>
  <dataValidations count="3">
    <dataValidation type="list" sqref="C5" xr:uid="{00000000-0002-0000-0000-000000000000}">
      <formula1>"آخر شهر متوفر,يناير,فبراير,مارس,أبريل,مايو,يونيو,يوليو,أغسطس,سبتمبر,أكتوبر,نوفمبر,ديسمبر"</formula1>
      <formula2>0</formula2>
    </dataValidation>
    <dataValidation type="whole" sqref="C6" xr:uid="{00000000-0002-0000-0000-000001000000}">
      <formula1>1</formula1>
      <formula2>12</formula2>
    </dataValidation>
    <dataValidation type="decimal" operator="greaterThan" allowBlank="1" errorTitle="سعر الصرف" error="أدخل رقمًا أكبر من الصفر." sqref="C10:C21" xr:uid="{00000000-0002-0000-0000-000002000000}">
      <formula1>0</formula1>
      <formula2>0</formula2>
    </dataValidation>
  </dataValidations>
  <printOptions horizontalCentered="1"/>
  <pageMargins left="0.4" right="0.4" top="0.5" bottom="0.6" header="0.511811023622047" footer="0.5"/>
  <pageSetup paperSize="9" orientation="portrait" horizontalDpi="300" verticalDpi="300"/>
  <headerFooter>
    <oddFooter>&amp;C&amp;8 &amp;A  —  صفحة &amp;P من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D8C"/>
    <pageSetUpPr fitToPage="1"/>
  </sheetPr>
  <dimension ref="A1:H48"/>
  <sheetViews>
    <sheetView showGridLines="0" rightToLeft="1" zoomScaleNormal="100" workbookViewId="0">
      <pane ySplit="3" topLeftCell="A4" activePane="bottomLeft" state="frozen"/>
      <selection pane="bottomLeft" sqref="A1:E1"/>
    </sheetView>
  </sheetViews>
  <sheetFormatPr defaultColWidth="8.7109375" defaultRowHeight="15" x14ac:dyDescent="0.25"/>
  <cols>
    <col min="1" max="1" width="40" customWidth="1"/>
    <col min="2" max="4" width="19" customWidth="1"/>
    <col min="5" max="5" width="14" customWidth="1"/>
    <col min="6" max="6" width="3" customWidth="1"/>
    <col min="7" max="7" width="38" customWidth="1"/>
    <col min="8" max="8" width="16" customWidth="1"/>
  </cols>
  <sheetData>
    <row r="1" spans="1:8" ht="31.5" customHeight="1" x14ac:dyDescent="0.25">
      <c r="A1" s="14" t="s">
        <v>37</v>
      </c>
      <c r="B1" s="14"/>
      <c r="C1" s="14"/>
      <c r="D1" s="14"/>
      <c r="E1" s="14"/>
      <c r="G1" s="19" t="s">
        <v>38</v>
      </c>
    </row>
    <row r="2" spans="1:8" x14ac:dyDescent="0.25">
      <c r="A2" s="17" t="s">
        <v>39</v>
      </c>
      <c r="B2" s="27">
        <f>IF(ISNUMBER('لوحة التحكم'!$C$10),'لوحة التحكم'!$C$10,0)</f>
        <v>11500</v>
      </c>
      <c r="C2" s="28" t="s">
        <v>12</v>
      </c>
      <c r="D2" s="5" t="str">
        <f>$H$6</f>
        <v>ℹ ربح تقديري فقط</v>
      </c>
      <c r="E2" s="5"/>
      <c r="G2" s="19" t="s">
        <v>40</v>
      </c>
      <c r="H2" s="29">
        <f>0</f>
        <v>0</v>
      </c>
    </row>
    <row r="3" spans="1:8" ht="36" customHeight="1" x14ac:dyDescent="0.25">
      <c r="A3" s="10" t="str">
        <f>IF($H$5=0,"لا توجد بيانات لهذا الشهر بعد — أدخل المدخلات أدناه",IF($H$13&gt;0,(IF($H$7=1,"⚠ سعر الصرف غير مُدخل في لوحة التحكم.  ","")&amp;IF($H$8=1,"⚠ أكمل المبيعات والمشتريات والمصاريف.  ","")&amp;IF($H$9=1,"⚠ الصق بيانات المستودع في فقرة «بيانات المستودع».  ","")&amp;IF($H$10=1,"⚠ الصف الملصوق يخص شهرًا آخر.  ","")&amp;IF($H$11=1,"⚠ سعر صرف المستودع ("&amp;$B$21&amp;") يختلف عن سعر لوحة التحكم ("&amp;$B$2&amp;").  ","")&amp;IF($H$12=1,"⚠ ملف المستودع فيه أصناف بها أخطاء (العدد: "&amp;$E$21&amp;") — صحّحها ثم أعد التصدير.","")),IF($H$3=1,"✅ البيانات مكتملة — الربح الحقيقي محسوب","ℹ الربح الحقيقي غير متاح (يلزم مخزون هذا الشهر والشهر السابق وسعر صرف الشهرين) — المعروض ربح تقديري فقط")))</f>
        <v>ℹ الربح الحقيقي غير متاح (يلزم مخزون هذا الشهر والشهر السابق وسعر صرف الشهرين) — المعروض ربح تقديري فقط</v>
      </c>
      <c r="B3" s="10"/>
      <c r="C3" s="10"/>
      <c r="D3" s="10"/>
      <c r="E3" s="10"/>
      <c r="G3" s="19" t="s">
        <v>41</v>
      </c>
      <c r="H3" s="29">
        <f>0</f>
        <v>0</v>
      </c>
    </row>
    <row r="4" spans="1:8" ht="19.5" customHeight="1" x14ac:dyDescent="0.25">
      <c r="A4" s="12" t="s">
        <v>42</v>
      </c>
      <c r="B4" s="12"/>
      <c r="C4" s="12"/>
      <c r="D4" s="12"/>
      <c r="E4" s="12"/>
      <c r="G4" s="19" t="s">
        <v>43</v>
      </c>
      <c r="H4" s="29">
        <f>0</f>
        <v>0</v>
      </c>
    </row>
    <row r="5" spans="1:8" ht="15" customHeight="1" x14ac:dyDescent="0.25">
      <c r="A5" s="21" t="s">
        <v>44</v>
      </c>
      <c r="B5" s="21" t="s">
        <v>45</v>
      </c>
      <c r="C5" s="21" t="s">
        <v>46</v>
      </c>
      <c r="D5" s="4" t="s">
        <v>47</v>
      </c>
      <c r="E5" s="4"/>
      <c r="G5" s="19" t="s">
        <v>48</v>
      </c>
      <c r="H5" s="29">
        <f>IF(COUNTA(B6:B8,B13:C15,A21:E21)&gt;0,1,0)</f>
        <v>1</v>
      </c>
    </row>
    <row r="6" spans="1:8" ht="19.350000000000001" customHeight="1" x14ac:dyDescent="0.25">
      <c r="A6" s="17" t="s">
        <v>30</v>
      </c>
      <c r="B6" s="30">
        <v>118926000</v>
      </c>
      <c r="C6" s="31">
        <f>IF(AND(ISNUMBER(B6),$B$2&gt;0),B6/$B$2,"")</f>
        <v>10341.391304347826</v>
      </c>
      <c r="D6" s="3" t="s">
        <v>49</v>
      </c>
      <c r="E6" s="3"/>
      <c r="G6" s="19" t="s">
        <v>12</v>
      </c>
      <c r="H6" s="29" t="str">
        <f>IF(H5=0,"لا بيانات",IF(H3=1,IF(H13=0,"✅ جاهز — ربح حقيقي","⚠ ربح حقيقي مع تنبيهات"),IF(H13&gt;0,"⚠ تنبيهات — راجع الصفحة",IF(COUNT(B6:B8)=3,"ℹ ربح تقديري فقط","⚠ بيانات ناقصة"))))</f>
        <v>ℹ ربح تقديري فقط</v>
      </c>
    </row>
    <row r="7" spans="1:8" ht="15" customHeight="1" x14ac:dyDescent="0.25">
      <c r="A7" s="17" t="s">
        <v>50</v>
      </c>
      <c r="B7" s="30">
        <v>74709000</v>
      </c>
      <c r="C7" s="31">
        <f>IF(AND(ISNUMBER(B7),$B$2&gt;0),B7/$B$2,"")</f>
        <v>6496.434782608696</v>
      </c>
      <c r="D7" s="3" t="s">
        <v>51</v>
      </c>
      <c r="E7" s="3"/>
      <c r="G7" s="19" t="s">
        <v>52</v>
      </c>
      <c r="H7" s="29">
        <f>IF(AND(H5=1,$B$2&lt;=0),1,0)</f>
        <v>0</v>
      </c>
    </row>
    <row r="8" spans="1:8" ht="15" customHeight="1" x14ac:dyDescent="0.25">
      <c r="A8" s="17" t="s">
        <v>33</v>
      </c>
      <c r="B8" s="30">
        <v>38000000</v>
      </c>
      <c r="C8" s="31">
        <f>IF(AND(ISNUMBER(B8),$B$2&gt;0),B8/$B$2,"")</f>
        <v>3304.3478260869565</v>
      </c>
      <c r="D8" s="3" t="s">
        <v>53</v>
      </c>
      <c r="E8" s="3"/>
      <c r="G8" s="19" t="s">
        <v>54</v>
      </c>
      <c r="H8" s="29">
        <f>IF(AND(H5=1,COUNT(B6:B8)&lt;3),1,0)</f>
        <v>0</v>
      </c>
    </row>
    <row r="9" spans="1:8" ht="15" customHeight="1" x14ac:dyDescent="0.25">
      <c r="A9" s="17" t="s">
        <v>55</v>
      </c>
      <c r="B9" s="32">
        <f>IF(COUNT(B6:B8)=3,B6-B7-B8,"")</f>
        <v>6217000</v>
      </c>
      <c r="C9" s="31">
        <f>IF(AND(ISNUMBER(B9),$B$2&gt;0),B9/$B$2,"")</f>
        <v>540.60869565217388</v>
      </c>
      <c r="D9" s="3" t="s">
        <v>56</v>
      </c>
      <c r="E9" s="3"/>
      <c r="G9" s="19" t="s">
        <v>57</v>
      </c>
      <c r="H9" s="29">
        <f>IF(AND(H5=1,H15&gt;=H14,NOT(AND(ISNUMBER(C21),ISNUMBER(D21)))),1,0)</f>
        <v>0</v>
      </c>
    </row>
    <row r="10" spans="1:8" x14ac:dyDescent="0.25">
      <c r="G10" s="19" t="s">
        <v>58</v>
      </c>
      <c r="H10" s="29">
        <f>IF(AND(ISNUMBER(A21),A21&lt;&gt;H15),1,0)</f>
        <v>0</v>
      </c>
    </row>
    <row r="11" spans="1:8" ht="19.5" customHeight="1" x14ac:dyDescent="0.25">
      <c r="A11" s="12" t="s">
        <v>59</v>
      </c>
      <c r="B11" s="12"/>
      <c r="C11" s="12"/>
      <c r="D11" s="12"/>
      <c r="E11" s="12"/>
      <c r="G11" s="19" t="s">
        <v>60</v>
      </c>
      <c r="H11" s="29">
        <f>IF(AND(ISNUMBER(B21),$B$2&gt;0,ABS(B21-$B$2)&gt;0.5),1,0)</f>
        <v>0</v>
      </c>
    </row>
    <row r="12" spans="1:8" x14ac:dyDescent="0.25">
      <c r="A12" s="21" t="s">
        <v>44</v>
      </c>
      <c r="B12" s="21" t="s">
        <v>61</v>
      </c>
      <c r="C12" s="21" t="s">
        <v>62</v>
      </c>
      <c r="D12" s="21" t="s">
        <v>63</v>
      </c>
      <c r="E12" s="21"/>
      <c r="G12" s="19" t="s">
        <v>64</v>
      </c>
      <c r="H12" s="29">
        <f>IF(N(E21)&gt;0,1,0)</f>
        <v>0</v>
      </c>
    </row>
    <row r="13" spans="1:8" x14ac:dyDescent="0.25">
      <c r="A13" s="17" t="s">
        <v>65</v>
      </c>
      <c r="B13" s="30">
        <v>1000000</v>
      </c>
      <c r="C13" s="30">
        <v>0</v>
      </c>
      <c r="D13" s="31">
        <f>IF(AND(ISNUMBER(B13),ISNUMBER(C13),$B$2&gt;0),B13/$B$2+C13,"")</f>
        <v>86.956521739130437</v>
      </c>
      <c r="E13" s="33"/>
      <c r="G13" s="19" t="s">
        <v>66</v>
      </c>
      <c r="H13" s="29">
        <f>SUM(H7:H12)</f>
        <v>0</v>
      </c>
    </row>
    <row r="14" spans="1:8" x14ac:dyDescent="0.25">
      <c r="A14" s="17" t="s">
        <v>67</v>
      </c>
      <c r="B14" s="30">
        <v>70767000</v>
      </c>
      <c r="C14" s="30">
        <v>6080</v>
      </c>
      <c r="D14" s="31">
        <f>IF(AND(ISNUMBER(B14),ISNUMBER(C14),$B$2&gt;0),B14/$B$2+C14,"")</f>
        <v>12233.652173913044</v>
      </c>
      <c r="E14" s="33"/>
      <c r="G14" s="19" t="s">
        <v>68</v>
      </c>
      <c r="H14" s="34">
        <f>'لوحة التحكم'!$C$6</f>
        <v>6</v>
      </c>
    </row>
    <row r="15" spans="1:8" x14ac:dyDescent="0.25">
      <c r="A15" s="17" t="s">
        <v>69</v>
      </c>
      <c r="B15" s="30">
        <v>4123000</v>
      </c>
      <c r="C15" s="30">
        <v>14534</v>
      </c>
      <c r="D15" s="31">
        <f>IF(AND(ISNUMBER(B15),ISNUMBER(C15),$B$2&gt;0),B15/$B$2+C15,"")</f>
        <v>14892.521739130434</v>
      </c>
      <c r="E15" s="33"/>
      <c r="G15" s="19" t="s">
        <v>70</v>
      </c>
      <c r="H15" s="29">
        <v>1</v>
      </c>
    </row>
    <row r="16" spans="1:8" x14ac:dyDescent="0.25">
      <c r="A16" s="17" t="s">
        <v>71</v>
      </c>
      <c r="B16" s="32">
        <f>IF(AND(ISNUMBER(B14),ISNUMBER(B15)),B14-B15,"")</f>
        <v>66644000</v>
      </c>
      <c r="C16" s="32">
        <f>IF(AND(ISNUMBER(C14),ISNUMBER(C15)),C14-C15,"")</f>
        <v>-8454</v>
      </c>
      <c r="D16" s="31">
        <f>IF(AND(ISNUMBER(D14),ISNUMBER(D15)),D14-D15,"")</f>
        <v>-2658.8695652173901</v>
      </c>
      <c r="E16" s="33"/>
    </row>
    <row r="17" spans="1:5" x14ac:dyDescent="0.25">
      <c r="A17" s="35" t="s">
        <v>72</v>
      </c>
      <c r="B17" s="36"/>
      <c r="C17" s="36"/>
      <c r="D17" s="37">
        <f>IF(AND(ISNUMBER(D13),ISNUMBER(D16)),D13+D16,"")</f>
        <v>-2571.9130434782596</v>
      </c>
      <c r="E17" s="36"/>
    </row>
    <row r="19" spans="1:5" ht="19.5" customHeight="1" x14ac:dyDescent="0.25">
      <c r="A19" s="12" t="s">
        <v>73</v>
      </c>
      <c r="B19" s="12"/>
      <c r="C19" s="12"/>
      <c r="D19" s="12"/>
      <c r="E19" s="12"/>
    </row>
    <row r="20" spans="1:5" ht="30" customHeight="1" x14ac:dyDescent="0.25">
      <c r="A20" s="21" t="s">
        <v>74</v>
      </c>
      <c r="B20" s="21" t="s">
        <v>75</v>
      </c>
      <c r="C20" s="21" t="s">
        <v>76</v>
      </c>
      <c r="D20" s="21" t="s">
        <v>77</v>
      </c>
      <c r="E20" s="21" t="s">
        <v>78</v>
      </c>
    </row>
    <row r="21" spans="1:5" x14ac:dyDescent="0.25">
      <c r="A21" s="20"/>
      <c r="B21" s="30"/>
      <c r="C21" s="30"/>
      <c r="D21" s="30"/>
      <c r="E21" s="30"/>
    </row>
    <row r="22" spans="1:5" ht="15" customHeight="1" x14ac:dyDescent="0.25">
      <c r="A22" s="2" t="s">
        <v>79</v>
      </c>
      <c r="B22" s="2"/>
      <c r="C22" s="37" t="str">
        <f>IF(AND(ISNUMBER(C21),ISNUMBER(D21),$B$2&gt;0),C21+D21/$B$2,"")</f>
        <v/>
      </c>
      <c r="D22" s="3" t="s">
        <v>80</v>
      </c>
      <c r="E22" s="3"/>
    </row>
    <row r="24" spans="1:5" ht="19.5" customHeight="1" x14ac:dyDescent="0.25">
      <c r="A24" s="1" t="s">
        <v>81</v>
      </c>
      <c r="B24" s="1"/>
      <c r="C24" s="1"/>
      <c r="D24" s="1"/>
      <c r="E24" s="1"/>
    </row>
    <row r="25" spans="1:5" x14ac:dyDescent="0.25">
      <c r="A25" s="21" t="s">
        <v>44</v>
      </c>
      <c r="B25" s="21" t="s">
        <v>82</v>
      </c>
      <c r="C25" s="21" t="s">
        <v>83</v>
      </c>
      <c r="D25" s="21" t="s">
        <v>84</v>
      </c>
      <c r="E25" s="21" t="s">
        <v>85</v>
      </c>
    </row>
    <row r="26" spans="1:5" x14ac:dyDescent="0.25">
      <c r="A26" s="33" t="s">
        <v>30</v>
      </c>
      <c r="B26" s="31">
        <f>IF(ISNUMBER(C6),C6,"")</f>
        <v>10341.391304347826</v>
      </c>
      <c r="C26" s="31" t="str">
        <f>""</f>
        <v/>
      </c>
      <c r="D26" s="31" t="str">
        <f t="shared" ref="D26:D37" si="0">IF(AND(ISNUMBER(B26),ISNUMBER(C26)),B26-C26,"")</f>
        <v/>
      </c>
      <c r="E26" s="38" t="str">
        <f t="shared" ref="E26:E33" si="1">IF(AND(ISNUMBER(B26),ISNUMBER(C26)),IF(C26&lt;&gt;0,(B26-C26)/ABS(C26),""),"")</f>
        <v/>
      </c>
    </row>
    <row r="27" spans="1:5" x14ac:dyDescent="0.25">
      <c r="A27" s="33" t="s">
        <v>86</v>
      </c>
      <c r="B27" s="31" t="str">
        <f>""</f>
        <v/>
      </c>
      <c r="C27" s="31" t="str">
        <f>""</f>
        <v/>
      </c>
      <c r="D27" s="31" t="str">
        <f t="shared" si="0"/>
        <v/>
      </c>
      <c r="E27" s="38" t="str">
        <f t="shared" si="1"/>
        <v/>
      </c>
    </row>
    <row r="28" spans="1:5" x14ac:dyDescent="0.25">
      <c r="A28" s="33" t="s">
        <v>87</v>
      </c>
      <c r="B28" s="31">
        <f>IF(ISNUMBER(C7),C7,"")</f>
        <v>6496.434782608696</v>
      </c>
      <c r="C28" s="31" t="str">
        <f>""</f>
        <v/>
      </c>
      <c r="D28" s="31" t="str">
        <f t="shared" si="0"/>
        <v/>
      </c>
      <c r="E28" s="38" t="str">
        <f t="shared" si="1"/>
        <v/>
      </c>
    </row>
    <row r="29" spans="1:5" x14ac:dyDescent="0.25">
      <c r="A29" s="33" t="s">
        <v>88</v>
      </c>
      <c r="B29" s="31" t="str">
        <f>IF($H$3=1,C22-$H$4,"")</f>
        <v/>
      </c>
      <c r="C29" s="31" t="str">
        <f>""</f>
        <v/>
      </c>
      <c r="D29" s="31" t="str">
        <f t="shared" si="0"/>
        <v/>
      </c>
      <c r="E29" s="38" t="str">
        <f t="shared" si="1"/>
        <v/>
      </c>
    </row>
    <row r="30" spans="1:5" x14ac:dyDescent="0.25">
      <c r="A30" s="17" t="s">
        <v>89</v>
      </c>
      <c r="B30" s="31" t="str">
        <f>IF($H$3=1,B27+B28-B29,"")</f>
        <v/>
      </c>
      <c r="C30" s="31" t="str">
        <f>""</f>
        <v/>
      </c>
      <c r="D30" s="31" t="str">
        <f t="shared" si="0"/>
        <v/>
      </c>
      <c r="E30" s="38" t="str">
        <f t="shared" si="1"/>
        <v/>
      </c>
    </row>
    <row r="31" spans="1:5" x14ac:dyDescent="0.25">
      <c r="A31" s="17" t="s">
        <v>90</v>
      </c>
      <c r="B31" s="31" t="str">
        <f>IF($H$3=1,B26-B30,"")</f>
        <v/>
      </c>
      <c r="C31" s="31" t="str">
        <f>""</f>
        <v/>
      </c>
      <c r="D31" s="31" t="str">
        <f t="shared" si="0"/>
        <v/>
      </c>
      <c r="E31" s="38" t="str">
        <f t="shared" si="1"/>
        <v/>
      </c>
    </row>
    <row r="32" spans="1:5" x14ac:dyDescent="0.25">
      <c r="A32" s="33" t="s">
        <v>91</v>
      </c>
      <c r="B32" s="31">
        <f>IF(ISNUMBER(C8),C8,"")</f>
        <v>3304.3478260869565</v>
      </c>
      <c r="C32" s="31" t="str">
        <f>""</f>
        <v/>
      </c>
      <c r="D32" s="31" t="str">
        <f t="shared" si="0"/>
        <v/>
      </c>
      <c r="E32" s="38" t="str">
        <f t="shared" si="1"/>
        <v/>
      </c>
    </row>
    <row r="33" spans="1:5" x14ac:dyDescent="0.25">
      <c r="A33" s="35" t="s">
        <v>92</v>
      </c>
      <c r="B33" s="37" t="str">
        <f>IF($H$3=1,B31-B32,"")</f>
        <v/>
      </c>
      <c r="C33" s="39" t="str">
        <f>""</f>
        <v/>
      </c>
      <c r="D33" s="39" t="str">
        <f t="shared" si="0"/>
        <v/>
      </c>
      <c r="E33" s="40" t="str">
        <f t="shared" si="1"/>
        <v/>
      </c>
    </row>
    <row r="34" spans="1:5" x14ac:dyDescent="0.25">
      <c r="A34" s="33" t="s">
        <v>93</v>
      </c>
      <c r="B34" s="38" t="str">
        <f>IF(AND($H$3=1,N(B26)&gt;0),B33/B26,"")</f>
        <v/>
      </c>
      <c r="C34" s="38" t="str">
        <f>""</f>
        <v/>
      </c>
      <c r="D34" s="38" t="str">
        <f t="shared" si="0"/>
        <v/>
      </c>
      <c r="E34" s="38"/>
    </row>
    <row r="35" spans="1:5" x14ac:dyDescent="0.25">
      <c r="A35" s="33" t="s">
        <v>94</v>
      </c>
      <c r="B35" s="31" t="str">
        <f>IF($H$3=1,$H$4,"")</f>
        <v/>
      </c>
      <c r="C35" s="31" t="str">
        <f>""</f>
        <v/>
      </c>
      <c r="D35" s="31" t="str">
        <f t="shared" si="0"/>
        <v/>
      </c>
      <c r="E35" s="38" t="str">
        <f>IF(AND(ISNUMBER(B35),ISNUMBER(C35)),IF(C35&lt;&gt;0,(B35-C35)/ABS(C35),""),"")</f>
        <v/>
      </c>
    </row>
    <row r="36" spans="1:5" x14ac:dyDescent="0.25">
      <c r="A36" s="35" t="s">
        <v>95</v>
      </c>
      <c r="B36" s="37" t="str">
        <f>IF($H$3=1,B33+B35,"")</f>
        <v/>
      </c>
      <c r="C36" s="39" t="str">
        <f>""</f>
        <v/>
      </c>
      <c r="D36" s="39" t="str">
        <f t="shared" si="0"/>
        <v/>
      </c>
      <c r="E36" s="40" t="str">
        <f>IF(AND(ISNUMBER(B36),ISNUMBER(C36)),IF(C36&lt;&gt;0,(B36-C36)/ABS(C36),""),"")</f>
        <v/>
      </c>
    </row>
    <row r="37" spans="1:5" x14ac:dyDescent="0.25">
      <c r="A37" s="33" t="s">
        <v>96</v>
      </c>
      <c r="B37" s="31">
        <f>IF(ISNUMBER(C9),C9,"")</f>
        <v>540.60869565217388</v>
      </c>
      <c r="C37" s="31" t="str">
        <f>""</f>
        <v/>
      </c>
      <c r="D37" s="31" t="str">
        <f t="shared" si="0"/>
        <v/>
      </c>
      <c r="E37" s="38" t="str">
        <f>IF(AND(ISNUMBER(B37),ISNUMBER(C37)),IF(C37&lt;&gt;0,(B37-C37)/ABS(C37),""),"")</f>
        <v/>
      </c>
    </row>
    <row r="39" spans="1:5" ht="19.5" customHeight="1" x14ac:dyDescent="0.25">
      <c r="A39" s="12" t="s">
        <v>97</v>
      </c>
      <c r="B39" s="12"/>
      <c r="C39" s="12"/>
      <c r="D39" s="12"/>
      <c r="E39" s="12"/>
    </row>
    <row r="40" spans="1:5" x14ac:dyDescent="0.25">
      <c r="A40" s="21" t="s">
        <v>98</v>
      </c>
      <c r="B40" s="21" t="s">
        <v>99</v>
      </c>
      <c r="C40" s="21" t="s">
        <v>100</v>
      </c>
      <c r="D40" s="21" t="s">
        <v>101</v>
      </c>
      <c r="E40" s="21" t="s">
        <v>85</v>
      </c>
    </row>
    <row r="41" spans="1:5" x14ac:dyDescent="0.25">
      <c r="A41" s="17" t="s">
        <v>102</v>
      </c>
      <c r="B41" s="38">
        <f>IF(AND(ISNUMBER(B32),N(B26)&gt;0),B32/B26,"")</f>
        <v>0.31952642819904814</v>
      </c>
      <c r="C41" s="38" t="str">
        <f>""</f>
        <v/>
      </c>
      <c r="D41" s="38" t="str">
        <f>IF(AND(ISNUMBER(B41),ISNUMBER(C41)),B41-C41,"")</f>
        <v/>
      </c>
      <c r="E41" s="38"/>
    </row>
    <row r="42" spans="1:5" x14ac:dyDescent="0.25">
      <c r="A42" s="17" t="s">
        <v>103</v>
      </c>
      <c r="B42" s="38" t="str">
        <f>IF(AND(ISNUMBER(B30),N(B26)&gt;0),B30/B26,"")</f>
        <v/>
      </c>
      <c r="C42" s="38" t="str">
        <f>""</f>
        <v/>
      </c>
      <c r="D42" s="38" t="str">
        <f>IF(AND(ISNUMBER(B42),ISNUMBER(C42)),B42-C42,"")</f>
        <v/>
      </c>
      <c r="E42" s="38"/>
    </row>
    <row r="43" spans="1:5" x14ac:dyDescent="0.25">
      <c r="A43" s="17" t="s">
        <v>104</v>
      </c>
      <c r="B43" s="31" t="str">
        <f>IF(ISNUMBER(C22),C22,"")</f>
        <v/>
      </c>
      <c r="C43" s="31" t="str">
        <f>""</f>
        <v/>
      </c>
      <c r="D43" s="31" t="str">
        <f>IF(AND(ISNUMBER(B43),ISNUMBER(C43)),B43-C43,"")</f>
        <v/>
      </c>
      <c r="E43" s="38" t="str">
        <f>IF(AND(ISNUMBER(B43),ISNUMBER(C43)),IF(C43&lt;&gt;0,(B43-C43)/ABS(C43),""),"")</f>
        <v/>
      </c>
    </row>
    <row r="44" spans="1:5" x14ac:dyDescent="0.25">
      <c r="A44" s="17" t="s">
        <v>105</v>
      </c>
      <c r="B44" s="38" t="str">
        <f>IF(AND(ISNUMBER(C22),$B$2&gt;0),IF(C22&gt;0,(D21/$B$2)/C22,""),"")</f>
        <v/>
      </c>
      <c r="C44" s="38" t="str">
        <f>""</f>
        <v/>
      </c>
      <c r="D44" s="38" t="str">
        <f>IF(AND(ISNUMBER(B44),ISNUMBER(C44)),B44-C44,"")</f>
        <v/>
      </c>
      <c r="E44" s="38"/>
    </row>
    <row r="45" spans="1:5" x14ac:dyDescent="0.25">
      <c r="A45" s="17" t="s">
        <v>106</v>
      </c>
      <c r="B45" s="31">
        <f>IF(ISNUMBER(D17),D17,"")</f>
        <v>-2571.9130434782596</v>
      </c>
      <c r="C45" s="31" t="str">
        <f>""</f>
        <v/>
      </c>
      <c r="D45" s="31" t="str">
        <f>IF(AND(ISNUMBER(B45),ISNUMBER(C45)),B45-C45,"")</f>
        <v/>
      </c>
      <c r="E45" s="38" t="str">
        <f>IF(AND(ISNUMBER(B45),ISNUMBER(C45)),IF(C45&lt;&gt;0,(B45-C45)/ABS(C45),""),"")</f>
        <v/>
      </c>
    </row>
    <row r="47" spans="1:5" ht="15" customHeight="1" x14ac:dyDescent="0.25">
      <c r="A47" s="11" t="s">
        <v>107</v>
      </c>
      <c r="B47" s="11"/>
      <c r="C47" s="11"/>
      <c r="D47" s="11"/>
      <c r="E47" s="11"/>
    </row>
    <row r="48" spans="1:5" x14ac:dyDescent="0.25">
      <c r="A48" s="11"/>
      <c r="B48" s="11"/>
      <c r="C48" s="11"/>
      <c r="D48" s="11"/>
      <c r="E48" s="11"/>
    </row>
  </sheetData>
  <mergeCells count="16">
    <mergeCell ref="A47:E48"/>
    <mergeCell ref="A19:E19"/>
    <mergeCell ref="A22:B22"/>
    <mergeCell ref="D22:E22"/>
    <mergeCell ref="A24:E24"/>
    <mergeCell ref="A39:E39"/>
    <mergeCell ref="D6:E6"/>
    <mergeCell ref="D7:E7"/>
    <mergeCell ref="D8:E8"/>
    <mergeCell ref="D9:E9"/>
    <mergeCell ref="A11:E11"/>
    <mergeCell ref="A1:E1"/>
    <mergeCell ref="D2:E2"/>
    <mergeCell ref="A3:E3"/>
    <mergeCell ref="A4:E4"/>
    <mergeCell ref="D5:E5"/>
  </mergeCells>
  <conditionalFormatting sqref="A3">
    <cfRule type="expression" dxfId="73" priority="2">
      <formula>LEFT($A$3,1)="⚠"</formula>
    </cfRule>
    <cfRule type="expression" dxfId="72" priority="3">
      <formula>LEFT($A$3,1)="✅"</formula>
    </cfRule>
    <cfRule type="expression" dxfId="71" priority="4">
      <formula>LEFT($A$3,1)="ℹ"</formula>
    </cfRule>
  </conditionalFormatting>
  <conditionalFormatting sqref="A21:E21">
    <cfRule type="expression" dxfId="70" priority="7">
      <formula>OR($H$10=1,$H$11=1,$H$12=1)</formula>
    </cfRule>
  </conditionalFormatting>
  <conditionalFormatting sqref="D2">
    <cfRule type="expression" dxfId="69" priority="5">
      <formula>LEFT($D$2,1)="✅"</formula>
    </cfRule>
    <cfRule type="expression" dxfId="68" priority="6">
      <formula>LEFT($D$2,1)="⚠"</formula>
    </cfRule>
  </conditionalFormatting>
  <dataValidations count="1">
    <dataValidation type="decimal" operator="greaterThanOrEqual" allowBlank="1" errorTitle="قيمة غير صالحة" error="أدخل رقمًا موجبًا (بالليرة السورية)." sqref="B6:B8 B13:C15" xr:uid="{00000000-0002-0000-0100-000000000000}">
      <formula1>0</formula1>
      <formula2>0</formula2>
    </dataValidation>
  </dataValidations>
  <printOptions horizontalCentered="1"/>
  <pageMargins left="0.4" right="0.4" top="0.5" bottom="0.6" header="0.511811023622047" footer="0.5"/>
  <pageSetup paperSize="9" orientation="portrait" horizontalDpi="300" verticalDpi="300"/>
  <headerFooter>
    <oddFooter>&amp;C&amp;8 &amp;A  —  صفحة &amp;P من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D8C"/>
    <pageSetUpPr fitToPage="1"/>
  </sheetPr>
  <dimension ref="A1:H48"/>
  <sheetViews>
    <sheetView showGridLines="0" rightToLeft="1" zoomScaleNormal="100" workbookViewId="0">
      <pane ySplit="3" topLeftCell="A4" activePane="bottomLeft" state="frozen"/>
      <selection pane="bottomLeft"/>
    </sheetView>
  </sheetViews>
  <sheetFormatPr defaultColWidth="8.7109375" defaultRowHeight="15" x14ac:dyDescent="0.25"/>
  <cols>
    <col min="1" max="1" width="40" customWidth="1"/>
    <col min="2" max="4" width="19" customWidth="1"/>
    <col min="5" max="5" width="14" customWidth="1"/>
    <col min="6" max="6" width="3" customWidth="1"/>
    <col min="7" max="7" width="38" customWidth="1"/>
    <col min="8" max="8" width="16" customWidth="1"/>
  </cols>
  <sheetData>
    <row r="1" spans="1:8" ht="31.5" customHeight="1" x14ac:dyDescent="0.25">
      <c r="A1" s="14" t="s">
        <v>108</v>
      </c>
      <c r="B1" s="14"/>
      <c r="C1" s="14"/>
      <c r="D1" s="14"/>
      <c r="E1" s="14"/>
      <c r="G1" s="19" t="s">
        <v>38</v>
      </c>
    </row>
    <row r="2" spans="1:8" x14ac:dyDescent="0.25">
      <c r="A2" s="17" t="s">
        <v>39</v>
      </c>
      <c r="B2" s="27">
        <f>IF(ISNUMBER('لوحة التحكم'!$C$11),'لوحة التحكم'!$C$11,0)</f>
        <v>12000</v>
      </c>
      <c r="C2" s="28" t="s">
        <v>12</v>
      </c>
      <c r="D2" s="5" t="str">
        <f>$H$6</f>
        <v>ℹ ربح تقديري فقط</v>
      </c>
      <c r="E2" s="5"/>
      <c r="G2" s="19" t="s">
        <v>40</v>
      </c>
      <c r="H2" s="41">
        <f>'01-يناير'!$B$2</f>
        <v>11500</v>
      </c>
    </row>
    <row r="3" spans="1:8" ht="36" customHeight="1" x14ac:dyDescent="0.25">
      <c r="A3" s="10" t="str">
        <f>IF($H$5=0,"لا توجد بيانات لهذا الشهر بعد — أدخل المدخلات أدناه",IF($H$13&gt;0,(IF($H$7=1,"⚠ سعر الصرف غير مُدخل في لوحة التحكم.  ","")&amp;IF($H$8=1,"⚠ أكمل المبيعات والمشتريات والمصاريف.  ","")&amp;IF($H$9=1,"⚠ الصق بيانات المستودع في فقرة «بيانات المستودع».  ","")&amp;IF($H$10=1,"⚠ الصف الملصوق يخص شهرًا آخر.  ","")&amp;IF($H$11=1,"⚠ سعر صرف المستودع ("&amp;$B$21&amp;") يختلف عن سعر لوحة التحكم ("&amp;$B$2&amp;").  ","")&amp;IF($H$12=1,"⚠ ملف المستودع فيه أصناف بها أخطاء (العدد: "&amp;$E$21&amp;") — صحّحها ثم أعد التصدير.","")),IF($H$3=1,"✅ البيانات مكتملة — الربح الحقيقي محسوب","ℹ الربح الحقيقي غير متاح (يلزم مخزون هذا الشهر والشهر السابق وسعر صرف الشهرين) — المعروض ربح تقديري فقط")))</f>
        <v>ℹ الربح الحقيقي غير متاح (يلزم مخزون هذا الشهر والشهر السابق وسعر صرف الشهرين) — المعروض ربح تقديري فقط</v>
      </c>
      <c r="B3" s="10"/>
      <c r="C3" s="10"/>
      <c r="D3" s="10"/>
      <c r="E3" s="10"/>
      <c r="G3" s="19" t="s">
        <v>41</v>
      </c>
      <c r="H3" s="29">
        <f>IF(AND($B$2&gt;0,H2&gt;0,COUNT(B6:B8)=3,ISNUMBER(C22),ISNUMBER('01-يناير'!$C$22),ISNUMBER('01-يناير'!$D$21)),1,0)</f>
        <v>0</v>
      </c>
    </row>
    <row r="4" spans="1:8" ht="19.5" customHeight="1" x14ac:dyDescent="0.25">
      <c r="A4" s="12" t="s">
        <v>42</v>
      </c>
      <c r="B4" s="12"/>
      <c r="C4" s="12"/>
      <c r="D4" s="12"/>
      <c r="E4" s="12"/>
      <c r="G4" s="19" t="s">
        <v>43</v>
      </c>
      <c r="H4" s="29">
        <f>IF(H3=1,'01-يناير'!$D$21*(1/$B$2-1/H2),0)</f>
        <v>0</v>
      </c>
    </row>
    <row r="5" spans="1:8" ht="15" customHeight="1" x14ac:dyDescent="0.25">
      <c r="A5" s="21" t="s">
        <v>44</v>
      </c>
      <c r="B5" s="21" t="s">
        <v>45</v>
      </c>
      <c r="C5" s="21" t="s">
        <v>46</v>
      </c>
      <c r="D5" s="4" t="s">
        <v>47</v>
      </c>
      <c r="E5" s="4"/>
      <c r="G5" s="19" t="s">
        <v>48</v>
      </c>
      <c r="H5" s="29">
        <f>IF(COUNTA(B6:B8,B13:C15,A21:E21)&gt;0,1,0)</f>
        <v>1</v>
      </c>
    </row>
    <row r="6" spans="1:8" ht="19.350000000000001" customHeight="1" x14ac:dyDescent="0.25">
      <c r="A6" s="17" t="s">
        <v>30</v>
      </c>
      <c r="B6" s="30">
        <v>87859000</v>
      </c>
      <c r="C6" s="31">
        <f>IF(AND(ISNUMBER(B6),$B$2&gt;0),B6/$B$2,"")</f>
        <v>7321.583333333333</v>
      </c>
      <c r="D6" s="3" t="s">
        <v>49</v>
      </c>
      <c r="E6" s="3"/>
      <c r="G6" s="19" t="s">
        <v>12</v>
      </c>
      <c r="H6" s="29" t="str">
        <f>IF(H5=0,"لا بيانات",IF(H3=1,IF(H13=0,"✅ جاهز — ربح حقيقي","⚠ ربح حقيقي مع تنبيهات"),IF(H13&gt;0,"⚠ تنبيهات — راجع الصفحة",IF(COUNT(B6:B8)=3,"ℹ ربح تقديري فقط","⚠ بيانات ناقصة"))))</f>
        <v>ℹ ربح تقديري فقط</v>
      </c>
    </row>
    <row r="7" spans="1:8" ht="15" customHeight="1" x14ac:dyDescent="0.25">
      <c r="A7" s="17" t="s">
        <v>50</v>
      </c>
      <c r="B7" s="30">
        <v>41296000</v>
      </c>
      <c r="C7" s="31">
        <f>IF(AND(ISNUMBER(B7),$B$2&gt;0),B7/$B$2,"")</f>
        <v>3441.3333333333335</v>
      </c>
      <c r="D7" s="3" t="s">
        <v>51</v>
      </c>
      <c r="E7" s="3"/>
      <c r="G7" s="19" t="s">
        <v>52</v>
      </c>
      <c r="H7" s="29">
        <f>IF(AND(H5=1,$B$2&lt;=0),1,0)</f>
        <v>0</v>
      </c>
    </row>
    <row r="8" spans="1:8" ht="15" customHeight="1" x14ac:dyDescent="0.25">
      <c r="A8" s="17" t="s">
        <v>33</v>
      </c>
      <c r="B8" s="30">
        <v>36215000</v>
      </c>
      <c r="C8" s="31">
        <f>IF(AND(ISNUMBER(B8),$B$2&gt;0),B8/$B$2,"")</f>
        <v>3017.9166666666665</v>
      </c>
      <c r="D8" s="3" t="s">
        <v>53</v>
      </c>
      <c r="E8" s="3"/>
      <c r="G8" s="19" t="s">
        <v>54</v>
      </c>
      <c r="H8" s="29">
        <f>IF(AND(H5=1,COUNT(B6:B8)&lt;3),1,0)</f>
        <v>0</v>
      </c>
    </row>
    <row r="9" spans="1:8" ht="15" customHeight="1" x14ac:dyDescent="0.25">
      <c r="A9" s="17" t="s">
        <v>55</v>
      </c>
      <c r="B9" s="32">
        <f>IF(COUNT(B6:B8)=3,B6-B7-B8,"")</f>
        <v>10348000</v>
      </c>
      <c r="C9" s="31">
        <f>IF(AND(ISNUMBER(B9),$B$2&gt;0),B9/$B$2,"")</f>
        <v>862.33333333333337</v>
      </c>
      <c r="D9" s="3" t="s">
        <v>56</v>
      </c>
      <c r="E9" s="3"/>
      <c r="G9" s="19" t="s">
        <v>57</v>
      </c>
      <c r="H9" s="29">
        <f>IF(AND(H5=1,H15&gt;=H14,NOT(AND(ISNUMBER(C21),ISNUMBER(D21)))),1,0)</f>
        <v>0</v>
      </c>
    </row>
    <row r="10" spans="1:8" x14ac:dyDescent="0.25">
      <c r="G10" s="19" t="s">
        <v>58</v>
      </c>
      <c r="H10" s="29">
        <f>IF(AND(ISNUMBER(A21),A21&lt;&gt;H15),1,0)</f>
        <v>0</v>
      </c>
    </row>
    <row r="11" spans="1:8" ht="19.5" customHeight="1" x14ac:dyDescent="0.25">
      <c r="A11" s="12" t="s">
        <v>59</v>
      </c>
      <c r="B11" s="12"/>
      <c r="C11" s="12"/>
      <c r="D11" s="12"/>
      <c r="E11" s="12"/>
      <c r="G11" s="19" t="s">
        <v>60</v>
      </c>
      <c r="H11" s="29">
        <f>IF(AND(ISNUMBER(B21),$B$2&gt;0,ABS(B21-$B$2)&gt;0.5),1,0)</f>
        <v>0</v>
      </c>
    </row>
    <row r="12" spans="1:8" x14ac:dyDescent="0.25">
      <c r="A12" s="21" t="s">
        <v>44</v>
      </c>
      <c r="B12" s="21" t="s">
        <v>61</v>
      </c>
      <c r="C12" s="21" t="s">
        <v>62</v>
      </c>
      <c r="D12" s="21" t="s">
        <v>63</v>
      </c>
      <c r="E12" s="21"/>
      <c r="G12" s="19" t="s">
        <v>64</v>
      </c>
      <c r="H12" s="29">
        <f>IF(N(E21)&gt;0,1,0)</f>
        <v>0</v>
      </c>
    </row>
    <row r="13" spans="1:8" x14ac:dyDescent="0.25">
      <c r="A13" s="17" t="s">
        <v>65</v>
      </c>
      <c r="B13" s="30">
        <v>2489000</v>
      </c>
      <c r="C13" s="30">
        <v>325</v>
      </c>
      <c r="D13" s="31">
        <f>IF(AND(ISNUMBER(B13),ISNUMBER(C13),$B$2&gt;0),B13/$B$2+C13,"")</f>
        <v>532.41666666666663</v>
      </c>
      <c r="E13" s="33"/>
      <c r="G13" s="19" t="s">
        <v>66</v>
      </c>
      <c r="H13" s="29">
        <f>SUM(H7:H12)</f>
        <v>0</v>
      </c>
    </row>
    <row r="14" spans="1:8" x14ac:dyDescent="0.25">
      <c r="A14" s="17" t="s">
        <v>67</v>
      </c>
      <c r="B14" s="30">
        <v>58684000</v>
      </c>
      <c r="C14" s="30">
        <v>5052</v>
      </c>
      <c r="D14" s="31">
        <f>IF(AND(ISNUMBER(B14),ISNUMBER(C14),$B$2&gt;0),B14/$B$2+C14,"")</f>
        <v>9942.3333333333321</v>
      </c>
      <c r="E14" s="33"/>
      <c r="G14" s="19" t="s">
        <v>68</v>
      </c>
      <c r="H14" s="34">
        <f>'لوحة التحكم'!$C$6</f>
        <v>6</v>
      </c>
    </row>
    <row r="15" spans="1:8" x14ac:dyDescent="0.25">
      <c r="A15" s="17" t="s">
        <v>69</v>
      </c>
      <c r="B15" s="30">
        <v>3838000</v>
      </c>
      <c r="C15" s="30">
        <v>12974</v>
      </c>
      <c r="D15" s="31">
        <f>IF(AND(ISNUMBER(B15),ISNUMBER(C15),$B$2&gt;0),B15/$B$2+C15,"")</f>
        <v>13293.833333333334</v>
      </c>
      <c r="E15" s="33"/>
      <c r="G15" s="19" t="s">
        <v>70</v>
      </c>
      <c r="H15" s="29">
        <v>2</v>
      </c>
    </row>
    <row r="16" spans="1:8" x14ac:dyDescent="0.25">
      <c r="A16" s="17" t="s">
        <v>71</v>
      </c>
      <c r="B16" s="32">
        <f>IF(AND(ISNUMBER(B14),ISNUMBER(B15)),B14-B15,"")</f>
        <v>54846000</v>
      </c>
      <c r="C16" s="32">
        <f>IF(AND(ISNUMBER(C14),ISNUMBER(C15)),C14-C15,"")</f>
        <v>-7922</v>
      </c>
      <c r="D16" s="31">
        <f>IF(AND(ISNUMBER(D14),ISNUMBER(D15)),D14-D15,"")</f>
        <v>-3351.5000000000018</v>
      </c>
      <c r="E16" s="33"/>
    </row>
    <row r="17" spans="1:5" x14ac:dyDescent="0.25">
      <c r="A17" s="35" t="s">
        <v>72</v>
      </c>
      <c r="B17" s="36"/>
      <c r="C17" s="36"/>
      <c r="D17" s="37">
        <f>IF(AND(ISNUMBER(D13),ISNUMBER(D16)),D13+D16,"")</f>
        <v>-2819.0833333333353</v>
      </c>
      <c r="E17" s="36"/>
    </row>
    <row r="19" spans="1:5" ht="19.5" customHeight="1" x14ac:dyDescent="0.25">
      <c r="A19" s="12" t="s">
        <v>73</v>
      </c>
      <c r="B19" s="12"/>
      <c r="C19" s="12"/>
      <c r="D19" s="12"/>
      <c r="E19" s="12"/>
    </row>
    <row r="20" spans="1:5" ht="30" customHeight="1" x14ac:dyDescent="0.25">
      <c r="A20" s="21" t="s">
        <v>74</v>
      </c>
      <c r="B20" s="21" t="s">
        <v>75</v>
      </c>
      <c r="C20" s="21" t="s">
        <v>76</v>
      </c>
      <c r="D20" s="21" t="s">
        <v>77</v>
      </c>
      <c r="E20" s="21" t="s">
        <v>78</v>
      </c>
    </row>
    <row r="21" spans="1:5" x14ac:dyDescent="0.25">
      <c r="A21" s="20"/>
      <c r="B21" s="30"/>
      <c r="C21" s="30"/>
      <c r="D21" s="30"/>
      <c r="E21" s="30"/>
    </row>
    <row r="22" spans="1:5" ht="15" customHeight="1" x14ac:dyDescent="0.25">
      <c r="A22" s="2" t="s">
        <v>79</v>
      </c>
      <c r="B22" s="2"/>
      <c r="C22" s="37" t="str">
        <f>IF(AND(ISNUMBER(C21),ISNUMBER(D21),$B$2&gt;0),C21+D21/$B$2,"")</f>
        <v/>
      </c>
      <c r="D22" s="3" t="s">
        <v>80</v>
      </c>
      <c r="E22" s="3"/>
    </row>
    <row r="24" spans="1:5" ht="19.5" customHeight="1" x14ac:dyDescent="0.25">
      <c r="A24" s="1" t="s">
        <v>81</v>
      </c>
      <c r="B24" s="1"/>
      <c r="C24" s="1"/>
      <c r="D24" s="1"/>
      <c r="E24" s="1"/>
    </row>
    <row r="25" spans="1:5" x14ac:dyDescent="0.25">
      <c r="A25" s="21" t="s">
        <v>44</v>
      </c>
      <c r="B25" s="21" t="s">
        <v>82</v>
      </c>
      <c r="C25" s="21" t="s">
        <v>83</v>
      </c>
      <c r="D25" s="21" t="s">
        <v>84</v>
      </c>
      <c r="E25" s="21" t="s">
        <v>85</v>
      </c>
    </row>
    <row r="26" spans="1:5" x14ac:dyDescent="0.25">
      <c r="A26" s="33" t="s">
        <v>30</v>
      </c>
      <c r="B26" s="31">
        <f>IF(ISNUMBER(C6),C6,"")</f>
        <v>7321.583333333333</v>
      </c>
      <c r="C26" s="31">
        <f>IF('01-يناير'!$B$26="","",'01-يناير'!$B$26)</f>
        <v>10341.391304347826</v>
      </c>
      <c r="D26" s="31">
        <f t="shared" ref="D26:D37" si="0">IF(AND(ISNUMBER(B26),ISNUMBER(C26)),B26-C26,"")</f>
        <v>-3019.807971014493</v>
      </c>
      <c r="E26" s="38">
        <f t="shared" ref="E26:E33" si="1">IF(AND(ISNUMBER(B26),ISNUMBER(C26)),IF(C26&lt;&gt;0,(B26-C26)/ABS(C26),""),"")</f>
        <v>-0.29201176922343869</v>
      </c>
    </row>
    <row r="27" spans="1:5" x14ac:dyDescent="0.25">
      <c r="A27" s="33" t="s">
        <v>86</v>
      </c>
      <c r="B27" s="31" t="str">
        <f>IF($H$3=1,'01-يناير'!$C$22,"")</f>
        <v/>
      </c>
      <c r="C27" s="31" t="str">
        <f>IF('01-يناير'!$B$27="","",'01-يناير'!$B$27)</f>
        <v/>
      </c>
      <c r="D27" s="31" t="str">
        <f t="shared" si="0"/>
        <v/>
      </c>
      <c r="E27" s="38" t="str">
        <f t="shared" si="1"/>
        <v/>
      </c>
    </row>
    <row r="28" spans="1:5" x14ac:dyDescent="0.25">
      <c r="A28" s="33" t="s">
        <v>87</v>
      </c>
      <c r="B28" s="31">
        <f>IF(ISNUMBER(C7),C7,"")</f>
        <v>3441.3333333333335</v>
      </c>
      <c r="C28" s="31">
        <f>IF('01-يناير'!$B$28="","",'01-يناير'!$B$28)</f>
        <v>6496.434782608696</v>
      </c>
      <c r="D28" s="31">
        <f t="shared" si="0"/>
        <v>-3055.1014492753625</v>
      </c>
      <c r="E28" s="38">
        <f t="shared" si="1"/>
        <v>-0.47027355026391288</v>
      </c>
    </row>
    <row r="29" spans="1:5" x14ac:dyDescent="0.25">
      <c r="A29" s="33" t="s">
        <v>88</v>
      </c>
      <c r="B29" s="31" t="str">
        <f>IF($H$3=1,C22-$H$4,"")</f>
        <v/>
      </c>
      <c r="C29" s="31" t="str">
        <f>IF('01-يناير'!$B$29="","",'01-يناير'!$B$29)</f>
        <v/>
      </c>
      <c r="D29" s="31" t="str">
        <f t="shared" si="0"/>
        <v/>
      </c>
      <c r="E29" s="38" t="str">
        <f t="shared" si="1"/>
        <v/>
      </c>
    </row>
    <row r="30" spans="1:5" x14ac:dyDescent="0.25">
      <c r="A30" s="17" t="s">
        <v>89</v>
      </c>
      <c r="B30" s="31" t="str">
        <f>IF($H$3=1,B27+B28-B29,"")</f>
        <v/>
      </c>
      <c r="C30" s="31" t="str">
        <f>IF('01-يناير'!$B$30="","",'01-يناير'!$B$30)</f>
        <v/>
      </c>
      <c r="D30" s="31" t="str">
        <f t="shared" si="0"/>
        <v/>
      </c>
      <c r="E30" s="38" t="str">
        <f t="shared" si="1"/>
        <v/>
      </c>
    </row>
    <row r="31" spans="1:5" x14ac:dyDescent="0.25">
      <c r="A31" s="17" t="s">
        <v>90</v>
      </c>
      <c r="B31" s="31" t="str">
        <f>IF($H$3=1,B26-B30,"")</f>
        <v/>
      </c>
      <c r="C31" s="31" t="str">
        <f>IF('01-يناير'!$B$31="","",'01-يناير'!$B$31)</f>
        <v/>
      </c>
      <c r="D31" s="31" t="str">
        <f t="shared" si="0"/>
        <v/>
      </c>
      <c r="E31" s="38" t="str">
        <f t="shared" si="1"/>
        <v/>
      </c>
    </row>
    <row r="32" spans="1:5" x14ac:dyDescent="0.25">
      <c r="A32" s="33" t="s">
        <v>91</v>
      </c>
      <c r="B32" s="31">
        <f>IF(ISNUMBER(C8),C8,"")</f>
        <v>3017.9166666666665</v>
      </c>
      <c r="C32" s="31">
        <f>IF('01-يناير'!$B$32="","",'01-يناير'!$B$32)</f>
        <v>3304.3478260869565</v>
      </c>
      <c r="D32" s="31">
        <f t="shared" si="0"/>
        <v>-286.43115942028999</v>
      </c>
      <c r="E32" s="38">
        <f t="shared" si="1"/>
        <v>-8.6683114035087758E-2</v>
      </c>
    </row>
    <row r="33" spans="1:5" x14ac:dyDescent="0.25">
      <c r="A33" s="35" t="s">
        <v>92</v>
      </c>
      <c r="B33" s="37" t="str">
        <f>IF($H$3=1,B31-B32,"")</f>
        <v/>
      </c>
      <c r="C33" s="39" t="str">
        <f>IF('01-يناير'!$B$33="","",'01-يناير'!$B$33)</f>
        <v/>
      </c>
      <c r="D33" s="39" t="str">
        <f t="shared" si="0"/>
        <v/>
      </c>
      <c r="E33" s="40" t="str">
        <f t="shared" si="1"/>
        <v/>
      </c>
    </row>
    <row r="34" spans="1:5" x14ac:dyDescent="0.25">
      <c r="A34" s="33" t="s">
        <v>93</v>
      </c>
      <c r="B34" s="38" t="str">
        <f>IF(AND($H$3=1,N(B26)&gt;0),B33/B26,"")</f>
        <v/>
      </c>
      <c r="C34" s="38" t="str">
        <f>IF('01-يناير'!$B$34="","",'01-يناير'!$B$34)</f>
        <v/>
      </c>
      <c r="D34" s="38" t="str">
        <f t="shared" si="0"/>
        <v/>
      </c>
      <c r="E34" s="38"/>
    </row>
    <row r="35" spans="1:5" x14ac:dyDescent="0.25">
      <c r="A35" s="33" t="s">
        <v>94</v>
      </c>
      <c r="B35" s="31" t="str">
        <f>IF($H$3=1,$H$4,"")</f>
        <v/>
      </c>
      <c r="C35" s="31" t="str">
        <f>IF('01-يناير'!$B$35="","",'01-يناير'!$B$35)</f>
        <v/>
      </c>
      <c r="D35" s="31" t="str">
        <f t="shared" si="0"/>
        <v/>
      </c>
      <c r="E35" s="38" t="str">
        <f>IF(AND(ISNUMBER(B35),ISNUMBER(C35)),IF(C35&lt;&gt;0,(B35-C35)/ABS(C35),""),"")</f>
        <v/>
      </c>
    </row>
    <row r="36" spans="1:5" x14ac:dyDescent="0.25">
      <c r="A36" s="35" t="s">
        <v>95</v>
      </c>
      <c r="B36" s="37" t="str">
        <f>IF($H$3=1,B33+B35,"")</f>
        <v/>
      </c>
      <c r="C36" s="39" t="str">
        <f>IF('01-يناير'!$B$36="","",'01-يناير'!$B$36)</f>
        <v/>
      </c>
      <c r="D36" s="39" t="str">
        <f t="shared" si="0"/>
        <v/>
      </c>
      <c r="E36" s="40" t="str">
        <f>IF(AND(ISNUMBER(B36),ISNUMBER(C36)),IF(C36&lt;&gt;0,(B36-C36)/ABS(C36),""),"")</f>
        <v/>
      </c>
    </row>
    <row r="37" spans="1:5" x14ac:dyDescent="0.25">
      <c r="A37" s="33" t="s">
        <v>96</v>
      </c>
      <c r="B37" s="31">
        <f>IF(ISNUMBER(C9),C9,"")</f>
        <v>862.33333333333337</v>
      </c>
      <c r="C37" s="31">
        <f>IF('01-يناير'!$B$37="","",'01-يناير'!$B$37)</f>
        <v>540.60869565217388</v>
      </c>
      <c r="D37" s="31">
        <f t="shared" si="0"/>
        <v>321.72463768115949</v>
      </c>
      <c r="E37" s="38">
        <f>IF(AND(ISNUMBER(B37),ISNUMBER(C37)),IF(C37&lt;&gt;0,(B37-C37)/ABS(C37),""),"")</f>
        <v>0.59511554340249873</v>
      </c>
    </row>
    <row r="39" spans="1:5" ht="19.5" customHeight="1" x14ac:dyDescent="0.25">
      <c r="A39" s="12" t="s">
        <v>97</v>
      </c>
      <c r="B39" s="12"/>
      <c r="C39" s="12"/>
      <c r="D39" s="12"/>
      <c r="E39" s="12"/>
    </row>
    <row r="40" spans="1:5" x14ac:dyDescent="0.25">
      <c r="A40" s="21" t="s">
        <v>98</v>
      </c>
      <c r="B40" s="21" t="s">
        <v>99</v>
      </c>
      <c r="C40" s="21" t="s">
        <v>100</v>
      </c>
      <c r="D40" s="21" t="s">
        <v>101</v>
      </c>
      <c r="E40" s="21" t="s">
        <v>85</v>
      </c>
    </row>
    <row r="41" spans="1:5" x14ac:dyDescent="0.25">
      <c r="A41" s="17" t="s">
        <v>102</v>
      </c>
      <c r="B41" s="38">
        <f>IF(AND(ISNUMBER(B32),N(B26)&gt;0),B32/B26,"")</f>
        <v>0.41219453897722486</v>
      </c>
      <c r="C41" s="38">
        <f>IF('01-يناير'!$B$41="","",'01-يناير'!$B$41)</f>
        <v>0.31952642819904814</v>
      </c>
      <c r="D41" s="38">
        <f>IF(AND(ISNUMBER(B41),ISNUMBER(C41)),B41-C41,"")</f>
        <v>9.2668110778176715E-2</v>
      </c>
      <c r="E41" s="38"/>
    </row>
    <row r="42" spans="1:5" x14ac:dyDescent="0.25">
      <c r="A42" s="17" t="s">
        <v>103</v>
      </c>
      <c r="B42" s="38" t="str">
        <f>IF(AND(ISNUMBER(B30),N(B26)&gt;0),B30/B26,"")</f>
        <v/>
      </c>
      <c r="C42" s="38" t="str">
        <f>IF('01-يناير'!$B$42="","",'01-يناير'!$B$42)</f>
        <v/>
      </c>
      <c r="D42" s="38" t="str">
        <f>IF(AND(ISNUMBER(B42),ISNUMBER(C42)),B42-C42,"")</f>
        <v/>
      </c>
      <c r="E42" s="38"/>
    </row>
    <row r="43" spans="1:5" x14ac:dyDescent="0.25">
      <c r="A43" s="17" t="s">
        <v>104</v>
      </c>
      <c r="B43" s="31" t="str">
        <f>IF(ISNUMBER(C22),C22,"")</f>
        <v/>
      </c>
      <c r="C43" s="31" t="str">
        <f>IF('01-يناير'!$B$43="","",'01-يناير'!$B$43)</f>
        <v/>
      </c>
      <c r="D43" s="31" t="str">
        <f>IF(AND(ISNUMBER(B43),ISNUMBER(C43)),B43-C43,"")</f>
        <v/>
      </c>
      <c r="E43" s="38" t="str">
        <f>IF(AND(ISNUMBER(B43),ISNUMBER(C43)),IF(C43&lt;&gt;0,(B43-C43)/ABS(C43),""),"")</f>
        <v/>
      </c>
    </row>
    <row r="44" spans="1:5" x14ac:dyDescent="0.25">
      <c r="A44" s="17" t="s">
        <v>105</v>
      </c>
      <c r="B44" s="38" t="str">
        <f>IF(AND(ISNUMBER(C22),$B$2&gt;0),IF(C22&gt;0,(D21/$B$2)/C22,""),"")</f>
        <v/>
      </c>
      <c r="C44" s="38" t="str">
        <f>IF('01-يناير'!$B$44="","",'01-يناير'!$B$44)</f>
        <v/>
      </c>
      <c r="D44" s="38" t="str">
        <f>IF(AND(ISNUMBER(B44),ISNUMBER(C44)),B44-C44,"")</f>
        <v/>
      </c>
      <c r="E44" s="38"/>
    </row>
    <row r="45" spans="1:5" x14ac:dyDescent="0.25">
      <c r="A45" s="17" t="s">
        <v>106</v>
      </c>
      <c r="B45" s="31">
        <f>IF(ISNUMBER(D17),D17,"")</f>
        <v>-2819.0833333333353</v>
      </c>
      <c r="C45" s="31">
        <f>IF('01-يناير'!$B$45="","",'01-يناير'!$B$45)</f>
        <v>-2571.9130434782596</v>
      </c>
      <c r="D45" s="31">
        <f>IF(AND(ISNUMBER(B45),ISNUMBER(C45)),B45-C45,"")</f>
        <v>-247.17028985507568</v>
      </c>
      <c r="E45" s="38">
        <f>IF(AND(ISNUMBER(B45),ISNUMBER(C45)),IF(C45&lt;&gt;0,(B45-C45)/ABS(C45),""),"")</f>
        <v>-9.6103672898988121E-2</v>
      </c>
    </row>
    <row r="47" spans="1:5" ht="15" customHeight="1" x14ac:dyDescent="0.25">
      <c r="A47" s="11" t="s">
        <v>107</v>
      </c>
      <c r="B47" s="11"/>
      <c r="C47" s="11"/>
      <c r="D47" s="11"/>
      <c r="E47" s="11"/>
    </row>
    <row r="48" spans="1:5" x14ac:dyDescent="0.25">
      <c r="A48" s="11"/>
      <c r="B48" s="11"/>
      <c r="C48" s="11"/>
      <c r="D48" s="11"/>
      <c r="E48" s="11"/>
    </row>
  </sheetData>
  <mergeCells count="16">
    <mergeCell ref="A47:E48"/>
    <mergeCell ref="A19:E19"/>
    <mergeCell ref="A22:B22"/>
    <mergeCell ref="D22:E22"/>
    <mergeCell ref="A24:E24"/>
    <mergeCell ref="A39:E39"/>
    <mergeCell ref="D6:E6"/>
    <mergeCell ref="D7:E7"/>
    <mergeCell ref="D8:E8"/>
    <mergeCell ref="D9:E9"/>
    <mergeCell ref="A11:E11"/>
    <mergeCell ref="A1:E1"/>
    <mergeCell ref="D2:E2"/>
    <mergeCell ref="A3:E3"/>
    <mergeCell ref="A4:E4"/>
    <mergeCell ref="D5:E5"/>
  </mergeCells>
  <conditionalFormatting sqref="A3">
    <cfRule type="expression" dxfId="67" priority="2">
      <formula>LEFT($A$3,1)="⚠"</formula>
    </cfRule>
    <cfRule type="expression" dxfId="66" priority="3">
      <formula>LEFT($A$3,1)="✅"</formula>
    </cfRule>
    <cfRule type="expression" dxfId="65" priority="4">
      <formula>LEFT($A$3,1)="ℹ"</formula>
    </cfRule>
  </conditionalFormatting>
  <conditionalFormatting sqref="A21:E21">
    <cfRule type="expression" dxfId="64" priority="7">
      <formula>OR($H$10=1,$H$11=1,$H$12=1)</formula>
    </cfRule>
  </conditionalFormatting>
  <conditionalFormatting sqref="D2">
    <cfRule type="expression" dxfId="63" priority="5">
      <formula>LEFT($D$2,1)="✅"</formula>
    </cfRule>
    <cfRule type="expression" dxfId="62" priority="6">
      <formula>LEFT($D$2,1)="⚠"</formula>
    </cfRule>
  </conditionalFormatting>
  <dataValidations count="1">
    <dataValidation type="decimal" operator="greaterThanOrEqual" allowBlank="1" errorTitle="قيمة غير صالحة" error="أدخل رقمًا موجبًا (بالليرة السورية)." sqref="B6:B8 B13:C15" xr:uid="{00000000-0002-0000-0200-000000000000}">
      <formula1>0</formula1>
      <formula2>0</formula2>
    </dataValidation>
  </dataValidations>
  <printOptions horizontalCentered="1"/>
  <pageMargins left="0.4" right="0.4" top="0.5" bottom="0.6" header="0.511811023622047" footer="0.5"/>
  <pageSetup paperSize="9" orientation="portrait" horizontalDpi="300" verticalDpi="300"/>
  <headerFooter>
    <oddFooter>&amp;C&amp;8 &amp;A  —  صفحة &amp;P من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D8C"/>
    <pageSetUpPr fitToPage="1"/>
  </sheetPr>
  <dimension ref="A1:H48"/>
  <sheetViews>
    <sheetView showGridLines="0" rightToLeft="1" zoomScaleNormal="100" workbookViewId="0">
      <pane ySplit="3" topLeftCell="A4" activePane="bottomLeft" state="frozen"/>
      <selection pane="bottomLeft"/>
    </sheetView>
  </sheetViews>
  <sheetFormatPr defaultColWidth="8.7109375" defaultRowHeight="15" x14ac:dyDescent="0.25"/>
  <cols>
    <col min="1" max="1" width="40" customWidth="1"/>
    <col min="2" max="4" width="19" customWidth="1"/>
    <col min="5" max="5" width="14" customWidth="1"/>
    <col min="6" max="6" width="3" customWidth="1"/>
    <col min="7" max="7" width="38" customWidth="1"/>
    <col min="8" max="8" width="16" customWidth="1"/>
  </cols>
  <sheetData>
    <row r="1" spans="1:8" ht="31.5" customHeight="1" x14ac:dyDescent="0.25">
      <c r="A1" s="14" t="s">
        <v>109</v>
      </c>
      <c r="B1" s="14"/>
      <c r="C1" s="14"/>
      <c r="D1" s="14"/>
      <c r="E1" s="14"/>
      <c r="G1" s="19" t="s">
        <v>38</v>
      </c>
    </row>
    <row r="2" spans="1:8" x14ac:dyDescent="0.25">
      <c r="A2" s="17" t="s">
        <v>39</v>
      </c>
      <c r="B2" s="27">
        <f>IF(ISNUMBER('لوحة التحكم'!$C$12),'لوحة التحكم'!$C$12,0)</f>
        <v>12000</v>
      </c>
      <c r="C2" s="28" t="s">
        <v>12</v>
      </c>
      <c r="D2" s="5" t="str">
        <f>$H$6</f>
        <v>ℹ ربح تقديري فقط</v>
      </c>
      <c r="E2" s="5"/>
      <c r="G2" s="19" t="s">
        <v>40</v>
      </c>
      <c r="H2" s="41">
        <f>'02-فبراير'!$B$2</f>
        <v>12000</v>
      </c>
    </row>
    <row r="3" spans="1:8" ht="36" customHeight="1" x14ac:dyDescent="0.25">
      <c r="A3" s="10" t="str">
        <f>IF($H$5=0,"لا توجد بيانات لهذا الشهر بعد — أدخل المدخلات أدناه",IF($H$13&gt;0,(IF($H$7=1,"⚠ سعر الصرف غير مُدخل في لوحة التحكم.  ","")&amp;IF($H$8=1,"⚠ أكمل المبيعات والمشتريات والمصاريف.  ","")&amp;IF($H$9=1,"⚠ الصق بيانات المستودع في فقرة «بيانات المستودع».  ","")&amp;IF($H$10=1,"⚠ الصف الملصوق يخص شهرًا آخر.  ","")&amp;IF($H$11=1,"⚠ سعر صرف المستودع ("&amp;$B$21&amp;") يختلف عن سعر لوحة التحكم ("&amp;$B$2&amp;").  ","")&amp;IF($H$12=1,"⚠ ملف المستودع فيه أصناف بها أخطاء (العدد: "&amp;$E$21&amp;") — صحّحها ثم أعد التصدير.","")),IF($H$3=1,"✅ البيانات مكتملة — الربح الحقيقي محسوب","ℹ الربح الحقيقي غير متاح (يلزم مخزون هذا الشهر والشهر السابق وسعر صرف الشهرين) — المعروض ربح تقديري فقط")))</f>
        <v>ℹ الربح الحقيقي غير متاح (يلزم مخزون هذا الشهر والشهر السابق وسعر صرف الشهرين) — المعروض ربح تقديري فقط</v>
      </c>
      <c r="B3" s="10"/>
      <c r="C3" s="10"/>
      <c r="D3" s="10"/>
      <c r="E3" s="10"/>
      <c r="G3" s="19" t="s">
        <v>41</v>
      </c>
      <c r="H3" s="29">
        <f>IF(AND($B$2&gt;0,H2&gt;0,COUNT(B6:B8)=3,ISNUMBER(C22),ISNUMBER('02-فبراير'!$C$22),ISNUMBER('02-فبراير'!$D$21)),1,0)</f>
        <v>0</v>
      </c>
    </row>
    <row r="4" spans="1:8" ht="19.5" customHeight="1" x14ac:dyDescent="0.25">
      <c r="A4" s="12" t="s">
        <v>42</v>
      </c>
      <c r="B4" s="12"/>
      <c r="C4" s="12"/>
      <c r="D4" s="12"/>
      <c r="E4" s="12"/>
      <c r="G4" s="19" t="s">
        <v>43</v>
      </c>
      <c r="H4" s="29">
        <f>IF(H3=1,'02-فبراير'!$D$21*(1/$B$2-1/H2),0)</f>
        <v>0</v>
      </c>
    </row>
    <row r="5" spans="1:8" ht="15" customHeight="1" x14ac:dyDescent="0.25">
      <c r="A5" s="21" t="s">
        <v>44</v>
      </c>
      <c r="B5" s="21" t="s">
        <v>45</v>
      </c>
      <c r="C5" s="21" t="s">
        <v>46</v>
      </c>
      <c r="D5" s="4" t="s">
        <v>47</v>
      </c>
      <c r="E5" s="4"/>
      <c r="G5" s="19" t="s">
        <v>48</v>
      </c>
      <c r="H5" s="29">
        <f>IF(COUNTA(B6:B8,B13:C15,A21:E21)&gt;0,1,0)</f>
        <v>1</v>
      </c>
    </row>
    <row r="6" spans="1:8" ht="19.350000000000001" customHeight="1" x14ac:dyDescent="0.25">
      <c r="A6" s="17" t="s">
        <v>30</v>
      </c>
      <c r="B6" s="30">
        <v>105443000</v>
      </c>
      <c r="C6" s="31">
        <f>IF(AND(ISNUMBER(B6),$B$2&gt;0),B6/$B$2,"")</f>
        <v>8786.9166666666661</v>
      </c>
      <c r="D6" s="3" t="s">
        <v>49</v>
      </c>
      <c r="E6" s="3"/>
      <c r="G6" s="19" t="s">
        <v>12</v>
      </c>
      <c r="H6" s="29" t="str">
        <f>IF(H5=0,"لا بيانات",IF(H3=1,IF(H13=0,"✅ جاهز — ربح حقيقي","⚠ ربح حقيقي مع تنبيهات"),IF(H13&gt;0,"⚠ تنبيهات — راجع الصفحة",IF(COUNT(B6:B8)=3,"ℹ ربح تقديري فقط","⚠ بيانات ناقصة"))))</f>
        <v>ℹ ربح تقديري فقط</v>
      </c>
    </row>
    <row r="7" spans="1:8" ht="15" customHeight="1" x14ac:dyDescent="0.25">
      <c r="A7" s="17" t="s">
        <v>50</v>
      </c>
      <c r="B7" s="30">
        <v>45155000</v>
      </c>
      <c r="C7" s="31">
        <f>IF(AND(ISNUMBER(B7),$B$2&gt;0),B7/$B$2,"")</f>
        <v>3762.9166666666665</v>
      </c>
      <c r="D7" s="3" t="s">
        <v>51</v>
      </c>
      <c r="E7" s="3"/>
      <c r="G7" s="19" t="s">
        <v>52</v>
      </c>
      <c r="H7" s="29">
        <f>IF(AND(H5=1,$B$2&lt;=0),1,0)</f>
        <v>0</v>
      </c>
    </row>
    <row r="8" spans="1:8" ht="15" customHeight="1" x14ac:dyDescent="0.25">
      <c r="A8" s="17" t="s">
        <v>33</v>
      </c>
      <c r="B8" s="30">
        <v>37203000</v>
      </c>
      <c r="C8" s="31">
        <f>IF(AND(ISNUMBER(B8),$B$2&gt;0),B8/$B$2,"")</f>
        <v>3100.25</v>
      </c>
      <c r="D8" s="3" t="s">
        <v>53</v>
      </c>
      <c r="E8" s="3"/>
      <c r="G8" s="19" t="s">
        <v>54</v>
      </c>
      <c r="H8" s="29">
        <f>IF(AND(H5=1,COUNT(B6:B8)&lt;3),1,0)</f>
        <v>0</v>
      </c>
    </row>
    <row r="9" spans="1:8" ht="15" customHeight="1" x14ac:dyDescent="0.25">
      <c r="A9" s="17" t="s">
        <v>55</v>
      </c>
      <c r="B9" s="32">
        <f>IF(COUNT(B6:B8)=3,B6-B7-B8,"")</f>
        <v>23085000</v>
      </c>
      <c r="C9" s="31">
        <f>IF(AND(ISNUMBER(B9),$B$2&gt;0),B9/$B$2,"")</f>
        <v>1923.75</v>
      </c>
      <c r="D9" s="3" t="s">
        <v>56</v>
      </c>
      <c r="E9" s="3"/>
      <c r="G9" s="19" t="s">
        <v>57</v>
      </c>
      <c r="H9" s="29">
        <f>IF(AND(H5=1,H15&gt;=H14,NOT(AND(ISNUMBER(C21),ISNUMBER(D21)))),1,0)</f>
        <v>0</v>
      </c>
    </row>
    <row r="10" spans="1:8" x14ac:dyDescent="0.25">
      <c r="G10" s="19" t="s">
        <v>58</v>
      </c>
      <c r="H10" s="29">
        <f>IF(AND(ISNUMBER(A21),A21&lt;&gt;H15),1,0)</f>
        <v>0</v>
      </c>
    </row>
    <row r="11" spans="1:8" ht="19.5" customHeight="1" x14ac:dyDescent="0.25">
      <c r="A11" s="12" t="s">
        <v>59</v>
      </c>
      <c r="B11" s="12"/>
      <c r="C11" s="12"/>
      <c r="D11" s="12"/>
      <c r="E11" s="12"/>
      <c r="G11" s="19" t="s">
        <v>60</v>
      </c>
      <c r="H11" s="29">
        <f>IF(AND(ISNUMBER(B21),$B$2&gt;0,ABS(B21-$B$2)&gt;0.5),1,0)</f>
        <v>0</v>
      </c>
    </row>
    <row r="12" spans="1:8" x14ac:dyDescent="0.25">
      <c r="A12" s="21" t="s">
        <v>44</v>
      </c>
      <c r="B12" s="21" t="s">
        <v>61</v>
      </c>
      <c r="C12" s="21" t="s">
        <v>62</v>
      </c>
      <c r="D12" s="21" t="s">
        <v>63</v>
      </c>
      <c r="E12" s="21"/>
      <c r="G12" s="19" t="s">
        <v>64</v>
      </c>
      <c r="H12" s="29">
        <f>IF(N(E21)&gt;0,1,0)</f>
        <v>0</v>
      </c>
    </row>
    <row r="13" spans="1:8" x14ac:dyDescent="0.25">
      <c r="A13" s="17" t="s">
        <v>65</v>
      </c>
      <c r="B13" s="30">
        <v>1684000</v>
      </c>
      <c r="C13" s="30">
        <v>270</v>
      </c>
      <c r="D13" s="31">
        <f>IF(AND(ISNUMBER(B13),ISNUMBER(C13),$B$2&gt;0),B13/$B$2+C13,"")</f>
        <v>410.33333333333337</v>
      </c>
      <c r="E13" s="33"/>
      <c r="G13" s="19" t="s">
        <v>66</v>
      </c>
      <c r="H13" s="29">
        <f>SUM(H7:H12)</f>
        <v>0</v>
      </c>
    </row>
    <row r="14" spans="1:8" x14ac:dyDescent="0.25">
      <c r="A14" s="17" t="s">
        <v>67</v>
      </c>
      <c r="B14" s="30">
        <v>66327000</v>
      </c>
      <c r="C14" s="30">
        <v>5156</v>
      </c>
      <c r="D14" s="31">
        <f>IF(AND(ISNUMBER(B14),ISNUMBER(C14),$B$2&gt;0),B14/$B$2+C14,"")</f>
        <v>10683.25</v>
      </c>
      <c r="E14" s="33"/>
      <c r="G14" s="19" t="s">
        <v>68</v>
      </c>
      <c r="H14" s="34">
        <f>'لوحة التحكم'!$C$6</f>
        <v>6</v>
      </c>
    </row>
    <row r="15" spans="1:8" x14ac:dyDescent="0.25">
      <c r="A15" s="17" t="s">
        <v>69</v>
      </c>
      <c r="B15" s="30">
        <v>4536000</v>
      </c>
      <c r="C15" s="30">
        <v>12826</v>
      </c>
      <c r="D15" s="31">
        <f>IF(AND(ISNUMBER(B15),ISNUMBER(C15),$B$2&gt;0),B15/$B$2+C15,"")</f>
        <v>13204</v>
      </c>
      <c r="E15" s="33"/>
      <c r="G15" s="19" t="s">
        <v>70</v>
      </c>
      <c r="H15" s="29">
        <v>3</v>
      </c>
    </row>
    <row r="16" spans="1:8" x14ac:dyDescent="0.25">
      <c r="A16" s="17" t="s">
        <v>71</v>
      </c>
      <c r="B16" s="32">
        <f>IF(AND(ISNUMBER(B14),ISNUMBER(B15)),B14-B15,"")</f>
        <v>61791000</v>
      </c>
      <c r="C16" s="32">
        <f>IF(AND(ISNUMBER(C14),ISNUMBER(C15)),C14-C15,"")</f>
        <v>-7670</v>
      </c>
      <c r="D16" s="31">
        <f>IF(AND(ISNUMBER(D14),ISNUMBER(D15)),D14-D15,"")</f>
        <v>-2520.75</v>
      </c>
      <c r="E16" s="33"/>
    </row>
    <row r="17" spans="1:5" x14ac:dyDescent="0.25">
      <c r="A17" s="35" t="s">
        <v>72</v>
      </c>
      <c r="B17" s="36"/>
      <c r="C17" s="36"/>
      <c r="D17" s="37">
        <f>IF(AND(ISNUMBER(D13),ISNUMBER(D16)),D13+D16,"")</f>
        <v>-2110.4166666666665</v>
      </c>
      <c r="E17" s="36"/>
    </row>
    <row r="19" spans="1:5" ht="19.5" customHeight="1" x14ac:dyDescent="0.25">
      <c r="A19" s="12" t="s">
        <v>73</v>
      </c>
      <c r="B19" s="12"/>
      <c r="C19" s="12"/>
      <c r="D19" s="12"/>
      <c r="E19" s="12"/>
    </row>
    <row r="20" spans="1:5" ht="30" customHeight="1" x14ac:dyDescent="0.25">
      <c r="A20" s="21" t="s">
        <v>74</v>
      </c>
      <c r="B20" s="21" t="s">
        <v>75</v>
      </c>
      <c r="C20" s="21" t="s">
        <v>76</v>
      </c>
      <c r="D20" s="21" t="s">
        <v>77</v>
      </c>
      <c r="E20" s="21" t="s">
        <v>78</v>
      </c>
    </row>
    <row r="21" spans="1:5" x14ac:dyDescent="0.25">
      <c r="A21" s="20"/>
      <c r="B21" s="30"/>
      <c r="C21" s="30"/>
      <c r="D21" s="30"/>
      <c r="E21" s="30"/>
    </row>
    <row r="22" spans="1:5" ht="15" customHeight="1" x14ac:dyDescent="0.25">
      <c r="A22" s="2" t="s">
        <v>79</v>
      </c>
      <c r="B22" s="2"/>
      <c r="C22" s="37" t="str">
        <f>IF(AND(ISNUMBER(C21),ISNUMBER(D21),$B$2&gt;0),C21+D21/$B$2,"")</f>
        <v/>
      </c>
      <c r="D22" s="3" t="s">
        <v>80</v>
      </c>
      <c r="E22" s="3"/>
    </row>
    <row r="24" spans="1:5" ht="19.5" customHeight="1" x14ac:dyDescent="0.25">
      <c r="A24" s="1" t="s">
        <v>81</v>
      </c>
      <c r="B24" s="1"/>
      <c r="C24" s="1"/>
      <c r="D24" s="1"/>
      <c r="E24" s="1"/>
    </row>
    <row r="25" spans="1:5" x14ac:dyDescent="0.25">
      <c r="A25" s="21" t="s">
        <v>44</v>
      </c>
      <c r="B25" s="21" t="s">
        <v>82</v>
      </c>
      <c r="C25" s="21" t="s">
        <v>83</v>
      </c>
      <c r="D25" s="21" t="s">
        <v>84</v>
      </c>
      <c r="E25" s="21" t="s">
        <v>85</v>
      </c>
    </row>
    <row r="26" spans="1:5" x14ac:dyDescent="0.25">
      <c r="A26" s="33" t="s">
        <v>30</v>
      </c>
      <c r="B26" s="31">
        <f>IF(ISNUMBER(C6),C6,"")</f>
        <v>8786.9166666666661</v>
      </c>
      <c r="C26" s="31">
        <f>IF('02-فبراير'!$B$26="","",'02-فبراير'!$B$26)</f>
        <v>7321.583333333333</v>
      </c>
      <c r="D26" s="31">
        <f t="shared" ref="D26:D37" si="0">IF(AND(ISNUMBER(B26),ISNUMBER(C26)),B26-C26,"")</f>
        <v>1465.333333333333</v>
      </c>
      <c r="E26" s="38">
        <f t="shared" ref="E26:E33" si="1">IF(AND(ISNUMBER(B26),ISNUMBER(C26)),IF(C26&lt;&gt;0,(B26-C26)/ABS(C26),""),"")</f>
        <v>0.20013885885339006</v>
      </c>
    </row>
    <row r="27" spans="1:5" x14ac:dyDescent="0.25">
      <c r="A27" s="33" t="s">
        <v>86</v>
      </c>
      <c r="B27" s="31" t="str">
        <f>IF($H$3=1,'02-فبراير'!$C$22,"")</f>
        <v/>
      </c>
      <c r="C27" s="31" t="str">
        <f>IF('02-فبراير'!$B$27="","",'02-فبراير'!$B$27)</f>
        <v/>
      </c>
      <c r="D27" s="31" t="str">
        <f t="shared" si="0"/>
        <v/>
      </c>
      <c r="E27" s="38" t="str">
        <f t="shared" si="1"/>
        <v/>
      </c>
    </row>
    <row r="28" spans="1:5" x14ac:dyDescent="0.25">
      <c r="A28" s="33" t="s">
        <v>87</v>
      </c>
      <c r="B28" s="31">
        <f>IF(ISNUMBER(C7),C7,"")</f>
        <v>3762.9166666666665</v>
      </c>
      <c r="C28" s="31">
        <f>IF('02-فبراير'!$B$28="","",'02-فبراير'!$B$28)</f>
        <v>3441.3333333333335</v>
      </c>
      <c r="D28" s="31">
        <f t="shared" si="0"/>
        <v>321.58333333333303</v>
      </c>
      <c r="E28" s="38">
        <f t="shared" si="1"/>
        <v>9.3447307245253686E-2</v>
      </c>
    </row>
    <row r="29" spans="1:5" x14ac:dyDescent="0.25">
      <c r="A29" s="33" t="s">
        <v>88</v>
      </c>
      <c r="B29" s="31" t="str">
        <f>IF($H$3=1,C22-$H$4,"")</f>
        <v/>
      </c>
      <c r="C29" s="31" t="str">
        <f>IF('02-فبراير'!$B$29="","",'02-فبراير'!$B$29)</f>
        <v/>
      </c>
      <c r="D29" s="31" t="str">
        <f t="shared" si="0"/>
        <v/>
      </c>
      <c r="E29" s="38" t="str">
        <f t="shared" si="1"/>
        <v/>
      </c>
    </row>
    <row r="30" spans="1:5" x14ac:dyDescent="0.25">
      <c r="A30" s="17" t="s">
        <v>89</v>
      </c>
      <c r="B30" s="31" t="str">
        <f>IF($H$3=1,B27+B28-B29,"")</f>
        <v/>
      </c>
      <c r="C30" s="31" t="str">
        <f>IF('02-فبراير'!$B$30="","",'02-فبراير'!$B$30)</f>
        <v/>
      </c>
      <c r="D30" s="31" t="str">
        <f t="shared" si="0"/>
        <v/>
      </c>
      <c r="E30" s="38" t="str">
        <f t="shared" si="1"/>
        <v/>
      </c>
    </row>
    <row r="31" spans="1:5" x14ac:dyDescent="0.25">
      <c r="A31" s="17" t="s">
        <v>90</v>
      </c>
      <c r="B31" s="31" t="str">
        <f>IF($H$3=1,B26-B30,"")</f>
        <v/>
      </c>
      <c r="C31" s="31" t="str">
        <f>IF('02-فبراير'!$B$31="","",'02-فبراير'!$B$31)</f>
        <v/>
      </c>
      <c r="D31" s="31" t="str">
        <f t="shared" si="0"/>
        <v/>
      </c>
      <c r="E31" s="38" t="str">
        <f t="shared" si="1"/>
        <v/>
      </c>
    </row>
    <row r="32" spans="1:5" x14ac:dyDescent="0.25">
      <c r="A32" s="33" t="s">
        <v>91</v>
      </c>
      <c r="B32" s="31">
        <f>IF(ISNUMBER(C8),C8,"")</f>
        <v>3100.25</v>
      </c>
      <c r="C32" s="31">
        <f>IF('02-فبراير'!$B$32="","",'02-فبراير'!$B$32)</f>
        <v>3017.9166666666665</v>
      </c>
      <c r="D32" s="31">
        <f t="shared" si="0"/>
        <v>82.333333333333485</v>
      </c>
      <c r="E32" s="38">
        <f t="shared" si="1"/>
        <v>2.7281513185144327E-2</v>
      </c>
    </row>
    <row r="33" spans="1:5" x14ac:dyDescent="0.25">
      <c r="A33" s="35" t="s">
        <v>92</v>
      </c>
      <c r="B33" s="37" t="str">
        <f>IF($H$3=1,B31-B32,"")</f>
        <v/>
      </c>
      <c r="C33" s="39" t="str">
        <f>IF('02-فبراير'!$B$33="","",'02-فبراير'!$B$33)</f>
        <v/>
      </c>
      <c r="D33" s="39" t="str">
        <f t="shared" si="0"/>
        <v/>
      </c>
      <c r="E33" s="40" t="str">
        <f t="shared" si="1"/>
        <v/>
      </c>
    </row>
    <row r="34" spans="1:5" x14ac:dyDescent="0.25">
      <c r="A34" s="33" t="s">
        <v>93</v>
      </c>
      <c r="B34" s="38" t="str">
        <f>IF(AND($H$3=1,N(B26)&gt;0),B33/B26,"")</f>
        <v/>
      </c>
      <c r="C34" s="38" t="str">
        <f>IF('02-فبراير'!$B$34="","",'02-فبراير'!$B$34)</f>
        <v/>
      </c>
      <c r="D34" s="38" t="str">
        <f t="shared" si="0"/>
        <v/>
      </c>
      <c r="E34" s="38"/>
    </row>
    <row r="35" spans="1:5" x14ac:dyDescent="0.25">
      <c r="A35" s="33" t="s">
        <v>94</v>
      </c>
      <c r="B35" s="31" t="str">
        <f>IF($H$3=1,$H$4,"")</f>
        <v/>
      </c>
      <c r="C35" s="31" t="str">
        <f>IF('02-فبراير'!$B$35="","",'02-فبراير'!$B$35)</f>
        <v/>
      </c>
      <c r="D35" s="31" t="str">
        <f t="shared" si="0"/>
        <v/>
      </c>
      <c r="E35" s="38" t="str">
        <f>IF(AND(ISNUMBER(B35),ISNUMBER(C35)),IF(C35&lt;&gt;0,(B35-C35)/ABS(C35),""),"")</f>
        <v/>
      </c>
    </row>
    <row r="36" spans="1:5" x14ac:dyDescent="0.25">
      <c r="A36" s="35" t="s">
        <v>95</v>
      </c>
      <c r="B36" s="37" t="str">
        <f>IF($H$3=1,B33+B35,"")</f>
        <v/>
      </c>
      <c r="C36" s="39" t="str">
        <f>IF('02-فبراير'!$B$36="","",'02-فبراير'!$B$36)</f>
        <v/>
      </c>
      <c r="D36" s="39" t="str">
        <f t="shared" si="0"/>
        <v/>
      </c>
      <c r="E36" s="40" t="str">
        <f>IF(AND(ISNUMBER(B36),ISNUMBER(C36)),IF(C36&lt;&gt;0,(B36-C36)/ABS(C36),""),"")</f>
        <v/>
      </c>
    </row>
    <row r="37" spans="1:5" x14ac:dyDescent="0.25">
      <c r="A37" s="33" t="s">
        <v>96</v>
      </c>
      <c r="B37" s="31">
        <f>IF(ISNUMBER(C9),C9,"")</f>
        <v>1923.75</v>
      </c>
      <c r="C37" s="31">
        <f>IF('02-فبراير'!$B$37="","",'02-فبراير'!$B$37)</f>
        <v>862.33333333333337</v>
      </c>
      <c r="D37" s="31">
        <f t="shared" si="0"/>
        <v>1061.4166666666665</v>
      </c>
      <c r="E37" s="38">
        <f>IF(AND(ISNUMBER(B37),ISNUMBER(C37)),IF(C37&lt;&gt;0,(B37-C37)/ABS(C37),""),"")</f>
        <v>1.2308658678005409</v>
      </c>
    </row>
    <row r="39" spans="1:5" ht="19.5" customHeight="1" x14ac:dyDescent="0.25">
      <c r="A39" s="12" t="s">
        <v>97</v>
      </c>
      <c r="B39" s="12"/>
      <c r="C39" s="12"/>
      <c r="D39" s="12"/>
      <c r="E39" s="12"/>
    </row>
    <row r="40" spans="1:5" x14ac:dyDescent="0.25">
      <c r="A40" s="21" t="s">
        <v>98</v>
      </c>
      <c r="B40" s="21" t="s">
        <v>99</v>
      </c>
      <c r="C40" s="21" t="s">
        <v>100</v>
      </c>
      <c r="D40" s="21" t="s">
        <v>101</v>
      </c>
      <c r="E40" s="21" t="s">
        <v>85</v>
      </c>
    </row>
    <row r="41" spans="1:5" x14ac:dyDescent="0.25">
      <c r="A41" s="17" t="s">
        <v>102</v>
      </c>
      <c r="B41" s="38">
        <f>IF(AND(ISNUMBER(B32),N(B26)&gt;0),B32/B26,"")</f>
        <v>0.35282569729616953</v>
      </c>
      <c r="C41" s="38">
        <f>IF('02-فبراير'!$B$41="","",'02-فبراير'!$B$41)</f>
        <v>0.41219453897722486</v>
      </c>
      <c r="D41" s="38">
        <f>IF(AND(ISNUMBER(B41),ISNUMBER(C41)),B41-C41,"")</f>
        <v>-5.9368841681055329E-2</v>
      </c>
      <c r="E41" s="38"/>
    </row>
    <row r="42" spans="1:5" x14ac:dyDescent="0.25">
      <c r="A42" s="17" t="s">
        <v>103</v>
      </c>
      <c r="B42" s="38" t="str">
        <f>IF(AND(ISNUMBER(B30),N(B26)&gt;0),B30/B26,"")</f>
        <v/>
      </c>
      <c r="C42" s="38" t="str">
        <f>IF('02-فبراير'!$B$42="","",'02-فبراير'!$B$42)</f>
        <v/>
      </c>
      <c r="D42" s="38" t="str">
        <f>IF(AND(ISNUMBER(B42),ISNUMBER(C42)),B42-C42,"")</f>
        <v/>
      </c>
      <c r="E42" s="38"/>
    </row>
    <row r="43" spans="1:5" x14ac:dyDescent="0.25">
      <c r="A43" s="17" t="s">
        <v>104</v>
      </c>
      <c r="B43" s="31" t="str">
        <f>IF(ISNUMBER(C22),C22,"")</f>
        <v/>
      </c>
      <c r="C43" s="31" t="str">
        <f>IF('02-فبراير'!$B$43="","",'02-فبراير'!$B$43)</f>
        <v/>
      </c>
      <c r="D43" s="31" t="str">
        <f>IF(AND(ISNUMBER(B43),ISNUMBER(C43)),B43-C43,"")</f>
        <v/>
      </c>
      <c r="E43" s="38" t="str">
        <f>IF(AND(ISNUMBER(B43),ISNUMBER(C43)),IF(C43&lt;&gt;0,(B43-C43)/ABS(C43),""),"")</f>
        <v/>
      </c>
    </row>
    <row r="44" spans="1:5" x14ac:dyDescent="0.25">
      <c r="A44" s="17" t="s">
        <v>105</v>
      </c>
      <c r="B44" s="38" t="str">
        <f>IF(AND(ISNUMBER(C22),$B$2&gt;0),IF(C22&gt;0,(D21/$B$2)/C22,""),"")</f>
        <v/>
      </c>
      <c r="C44" s="38" t="str">
        <f>IF('02-فبراير'!$B$44="","",'02-فبراير'!$B$44)</f>
        <v/>
      </c>
      <c r="D44" s="38" t="str">
        <f>IF(AND(ISNUMBER(B44),ISNUMBER(C44)),B44-C44,"")</f>
        <v/>
      </c>
      <c r="E44" s="38"/>
    </row>
    <row r="45" spans="1:5" x14ac:dyDescent="0.25">
      <c r="A45" s="17" t="s">
        <v>106</v>
      </c>
      <c r="B45" s="31">
        <f>IF(ISNUMBER(D17),D17,"")</f>
        <v>-2110.4166666666665</v>
      </c>
      <c r="C45" s="31">
        <f>IF('02-فبراير'!$B$45="","",'02-فبراير'!$B$45)</f>
        <v>-2819.0833333333353</v>
      </c>
      <c r="D45" s="31">
        <f>IF(AND(ISNUMBER(B45),ISNUMBER(C45)),B45-C45,"")</f>
        <v>708.66666666666879</v>
      </c>
      <c r="E45" s="38">
        <f>IF(AND(ISNUMBER(B45),ISNUMBER(C45)),IF(C45&lt;&gt;0,(B45-C45)/ABS(C45),""),"")</f>
        <v>0.25138195039758843</v>
      </c>
    </row>
    <row r="47" spans="1:5" ht="15" customHeight="1" x14ac:dyDescent="0.25">
      <c r="A47" s="11" t="s">
        <v>107</v>
      </c>
      <c r="B47" s="11"/>
      <c r="C47" s="11"/>
      <c r="D47" s="11"/>
      <c r="E47" s="11"/>
    </row>
    <row r="48" spans="1:5" x14ac:dyDescent="0.25">
      <c r="A48" s="11"/>
      <c r="B48" s="11"/>
      <c r="C48" s="11"/>
      <c r="D48" s="11"/>
      <c r="E48" s="11"/>
    </row>
  </sheetData>
  <mergeCells count="16">
    <mergeCell ref="A47:E48"/>
    <mergeCell ref="A19:E19"/>
    <mergeCell ref="A22:B22"/>
    <mergeCell ref="D22:E22"/>
    <mergeCell ref="A24:E24"/>
    <mergeCell ref="A39:E39"/>
    <mergeCell ref="D6:E6"/>
    <mergeCell ref="D7:E7"/>
    <mergeCell ref="D8:E8"/>
    <mergeCell ref="D9:E9"/>
    <mergeCell ref="A11:E11"/>
    <mergeCell ref="A1:E1"/>
    <mergeCell ref="D2:E2"/>
    <mergeCell ref="A3:E3"/>
    <mergeCell ref="A4:E4"/>
    <mergeCell ref="D5:E5"/>
  </mergeCells>
  <conditionalFormatting sqref="A3">
    <cfRule type="expression" dxfId="61" priority="2">
      <formula>LEFT($A$3,1)="⚠"</formula>
    </cfRule>
    <cfRule type="expression" dxfId="60" priority="3">
      <formula>LEFT($A$3,1)="✅"</formula>
    </cfRule>
    <cfRule type="expression" dxfId="59" priority="4">
      <formula>LEFT($A$3,1)="ℹ"</formula>
    </cfRule>
  </conditionalFormatting>
  <conditionalFormatting sqref="A21:E21">
    <cfRule type="expression" dxfId="58" priority="7">
      <formula>OR($H$10=1,$H$11=1,$H$12=1)</formula>
    </cfRule>
  </conditionalFormatting>
  <conditionalFormatting sqref="D2">
    <cfRule type="expression" dxfId="57" priority="5">
      <formula>LEFT($D$2,1)="✅"</formula>
    </cfRule>
    <cfRule type="expression" dxfId="56" priority="6">
      <formula>LEFT($D$2,1)="⚠"</formula>
    </cfRule>
  </conditionalFormatting>
  <dataValidations count="1">
    <dataValidation type="decimal" operator="greaterThanOrEqual" allowBlank="1" errorTitle="قيمة غير صالحة" error="أدخل رقمًا موجبًا (بالليرة السورية)." sqref="B6:B8 B13:C15" xr:uid="{00000000-0002-0000-0300-000000000000}">
      <formula1>0</formula1>
      <formula2>0</formula2>
    </dataValidation>
  </dataValidations>
  <printOptions horizontalCentered="1"/>
  <pageMargins left="0.4" right="0.4" top="0.5" bottom="0.6" header="0.511811023622047" footer="0.5"/>
  <pageSetup paperSize="9" orientation="portrait" horizontalDpi="300" verticalDpi="300"/>
  <headerFooter>
    <oddFooter>&amp;C&amp;8 &amp;A  —  صفحة &amp;P من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D8C"/>
    <pageSetUpPr fitToPage="1"/>
  </sheetPr>
  <dimension ref="A1:H48"/>
  <sheetViews>
    <sheetView showGridLines="0" rightToLeft="1" zoomScaleNormal="100" workbookViewId="0">
      <pane ySplit="3" topLeftCell="A4" activePane="bottomLeft" state="frozen"/>
      <selection pane="bottomLeft"/>
    </sheetView>
  </sheetViews>
  <sheetFormatPr defaultColWidth="8.7109375" defaultRowHeight="15" x14ac:dyDescent="0.25"/>
  <cols>
    <col min="1" max="1" width="40" customWidth="1"/>
    <col min="2" max="4" width="19" customWidth="1"/>
    <col min="5" max="5" width="14" customWidth="1"/>
    <col min="6" max="6" width="3" customWidth="1"/>
    <col min="7" max="7" width="38" customWidth="1"/>
    <col min="8" max="8" width="16" customWidth="1"/>
  </cols>
  <sheetData>
    <row r="1" spans="1:8" ht="31.5" customHeight="1" x14ac:dyDescent="0.25">
      <c r="A1" s="14" t="s">
        <v>110</v>
      </c>
      <c r="B1" s="14"/>
      <c r="C1" s="14"/>
      <c r="D1" s="14"/>
      <c r="E1" s="14"/>
      <c r="G1" s="19" t="s">
        <v>38</v>
      </c>
    </row>
    <row r="2" spans="1:8" x14ac:dyDescent="0.25">
      <c r="A2" s="17" t="s">
        <v>39</v>
      </c>
      <c r="B2" s="27">
        <f>IF(ISNUMBER('لوحة التحكم'!$C$13),'لوحة التحكم'!$C$13,0)</f>
        <v>12500</v>
      </c>
      <c r="C2" s="28" t="s">
        <v>12</v>
      </c>
      <c r="D2" s="5" t="str">
        <f>$H$6</f>
        <v>ℹ ربح تقديري فقط</v>
      </c>
      <c r="E2" s="5"/>
      <c r="G2" s="19" t="s">
        <v>40</v>
      </c>
      <c r="H2" s="41">
        <f>'03-مارس'!$B$2</f>
        <v>12000</v>
      </c>
    </row>
    <row r="3" spans="1:8" ht="36" customHeight="1" x14ac:dyDescent="0.25">
      <c r="A3" s="10" t="str">
        <f>IF($H$5=0,"لا توجد بيانات لهذا الشهر بعد — أدخل المدخلات أدناه",IF($H$13&gt;0,(IF($H$7=1,"⚠ سعر الصرف غير مُدخل في لوحة التحكم.  ","")&amp;IF($H$8=1,"⚠ أكمل المبيعات والمشتريات والمصاريف.  ","")&amp;IF($H$9=1,"⚠ الصق بيانات المستودع في فقرة «بيانات المستودع».  ","")&amp;IF($H$10=1,"⚠ الصف الملصوق يخص شهرًا آخر.  ","")&amp;IF($H$11=1,"⚠ سعر صرف المستودع ("&amp;$B$21&amp;") يختلف عن سعر لوحة التحكم ("&amp;$B$2&amp;").  ","")&amp;IF($H$12=1,"⚠ ملف المستودع فيه أصناف بها أخطاء (العدد: "&amp;$E$21&amp;") — صحّحها ثم أعد التصدير.","")),IF($H$3=1,"✅ البيانات مكتملة — الربح الحقيقي محسوب","ℹ الربح الحقيقي غير متاح (يلزم مخزون هذا الشهر والشهر السابق وسعر صرف الشهرين) — المعروض ربح تقديري فقط")))</f>
        <v>ℹ الربح الحقيقي غير متاح (يلزم مخزون هذا الشهر والشهر السابق وسعر صرف الشهرين) — المعروض ربح تقديري فقط</v>
      </c>
      <c r="B3" s="10"/>
      <c r="C3" s="10"/>
      <c r="D3" s="10"/>
      <c r="E3" s="10"/>
      <c r="G3" s="19" t="s">
        <v>41</v>
      </c>
      <c r="H3" s="29">
        <f>IF(AND($B$2&gt;0,H2&gt;0,COUNT(B6:B8)=3,ISNUMBER(C22),ISNUMBER('03-مارس'!$C$22),ISNUMBER('03-مارس'!$D$21)),1,0)</f>
        <v>0</v>
      </c>
    </row>
    <row r="4" spans="1:8" ht="19.5" customHeight="1" x14ac:dyDescent="0.25">
      <c r="A4" s="12" t="s">
        <v>42</v>
      </c>
      <c r="B4" s="12"/>
      <c r="C4" s="12"/>
      <c r="D4" s="12"/>
      <c r="E4" s="12"/>
      <c r="G4" s="19" t="s">
        <v>43</v>
      </c>
      <c r="H4" s="29">
        <f>IF(H3=1,'03-مارس'!$D$21*(1/$B$2-1/H2),0)</f>
        <v>0</v>
      </c>
    </row>
    <row r="5" spans="1:8" ht="15" customHeight="1" x14ac:dyDescent="0.25">
      <c r="A5" s="21" t="s">
        <v>44</v>
      </c>
      <c r="B5" s="21" t="s">
        <v>45</v>
      </c>
      <c r="C5" s="21" t="s">
        <v>46</v>
      </c>
      <c r="D5" s="4" t="s">
        <v>47</v>
      </c>
      <c r="E5" s="4"/>
      <c r="G5" s="19" t="s">
        <v>48</v>
      </c>
      <c r="H5" s="29">
        <f>IF(COUNTA(B6:B8,B13:C15,A21:E21)&gt;0,1,0)</f>
        <v>1</v>
      </c>
    </row>
    <row r="6" spans="1:8" ht="19.350000000000001" customHeight="1" x14ac:dyDescent="0.25">
      <c r="A6" s="17" t="s">
        <v>30</v>
      </c>
      <c r="B6" s="30">
        <v>166691000</v>
      </c>
      <c r="C6" s="31">
        <f>IF(AND(ISNUMBER(B6),$B$2&gt;0),B6/$B$2,"")</f>
        <v>13335.28</v>
      </c>
      <c r="D6" s="3" t="s">
        <v>49</v>
      </c>
      <c r="E6" s="3"/>
      <c r="G6" s="19" t="s">
        <v>12</v>
      </c>
      <c r="H6" s="29" t="str">
        <f>IF(H5=0,"لا بيانات",IF(H3=1,IF(H13=0,"✅ جاهز — ربح حقيقي","⚠ ربح حقيقي مع تنبيهات"),IF(H13&gt;0,"⚠ تنبيهات — راجع الصفحة",IF(COUNT(B6:B8)=3,"ℹ ربح تقديري فقط","⚠ بيانات ناقصة"))))</f>
        <v>ℹ ربح تقديري فقط</v>
      </c>
    </row>
    <row r="7" spans="1:8" ht="15" customHeight="1" x14ac:dyDescent="0.25">
      <c r="A7" s="17" t="s">
        <v>50</v>
      </c>
      <c r="B7" s="30">
        <v>91555000</v>
      </c>
      <c r="C7" s="31">
        <f>IF(AND(ISNUMBER(B7),$B$2&gt;0),B7/$B$2,"")</f>
        <v>7324.4</v>
      </c>
      <c r="D7" s="3" t="s">
        <v>51</v>
      </c>
      <c r="E7" s="3"/>
      <c r="G7" s="19" t="s">
        <v>52</v>
      </c>
      <c r="H7" s="29">
        <f>IF(AND(H5=1,$B$2&lt;=0),1,0)</f>
        <v>0</v>
      </c>
    </row>
    <row r="8" spans="1:8" ht="15" customHeight="1" x14ac:dyDescent="0.25">
      <c r="A8" s="17" t="s">
        <v>33</v>
      </c>
      <c r="B8" s="30">
        <v>38371000</v>
      </c>
      <c r="C8" s="31">
        <f>IF(AND(ISNUMBER(B8),$B$2&gt;0),B8/$B$2,"")</f>
        <v>3069.68</v>
      </c>
      <c r="D8" s="3" t="s">
        <v>53</v>
      </c>
      <c r="E8" s="3"/>
      <c r="G8" s="19" t="s">
        <v>54</v>
      </c>
      <c r="H8" s="29">
        <f>IF(AND(H5=1,COUNT(B6:B8)&lt;3),1,0)</f>
        <v>0</v>
      </c>
    </row>
    <row r="9" spans="1:8" ht="15" customHeight="1" x14ac:dyDescent="0.25">
      <c r="A9" s="17" t="s">
        <v>55</v>
      </c>
      <c r="B9" s="32">
        <f>IF(COUNT(B6:B8)=3,B6-B7-B8,"")</f>
        <v>36765000</v>
      </c>
      <c r="C9" s="31">
        <f>IF(AND(ISNUMBER(B9),$B$2&gt;0),B9/$B$2,"")</f>
        <v>2941.2</v>
      </c>
      <c r="D9" s="3" t="s">
        <v>56</v>
      </c>
      <c r="E9" s="3"/>
      <c r="G9" s="19" t="s">
        <v>57</v>
      </c>
      <c r="H9" s="29">
        <f>IF(AND(H5=1,H15&gt;=H14,NOT(AND(ISNUMBER(C21),ISNUMBER(D21)))),1,0)</f>
        <v>0</v>
      </c>
    </row>
    <row r="10" spans="1:8" x14ac:dyDescent="0.25">
      <c r="G10" s="19" t="s">
        <v>58</v>
      </c>
      <c r="H10" s="29">
        <f>IF(AND(ISNUMBER(A21),A21&lt;&gt;H15),1,0)</f>
        <v>0</v>
      </c>
    </row>
    <row r="11" spans="1:8" ht="19.5" customHeight="1" x14ac:dyDescent="0.25">
      <c r="A11" s="12" t="s">
        <v>59</v>
      </c>
      <c r="B11" s="12"/>
      <c r="C11" s="12"/>
      <c r="D11" s="12"/>
      <c r="E11" s="12"/>
      <c r="G11" s="19" t="s">
        <v>60</v>
      </c>
      <c r="H11" s="29">
        <f>IF(AND(ISNUMBER(B21),$B$2&gt;0,ABS(B21-$B$2)&gt;0.5),1,0)</f>
        <v>0</v>
      </c>
    </row>
    <row r="12" spans="1:8" x14ac:dyDescent="0.25">
      <c r="A12" s="21" t="s">
        <v>44</v>
      </c>
      <c r="B12" s="21" t="s">
        <v>61</v>
      </c>
      <c r="C12" s="21" t="s">
        <v>62</v>
      </c>
      <c r="D12" s="21" t="s">
        <v>63</v>
      </c>
      <c r="E12" s="21"/>
      <c r="G12" s="19" t="s">
        <v>64</v>
      </c>
      <c r="H12" s="29">
        <f>IF(N(E21)&gt;0,1,0)</f>
        <v>0</v>
      </c>
    </row>
    <row r="13" spans="1:8" x14ac:dyDescent="0.25">
      <c r="A13" s="17" t="s">
        <v>65</v>
      </c>
      <c r="B13" s="30">
        <v>1436000</v>
      </c>
      <c r="C13" s="30">
        <v>295</v>
      </c>
      <c r="D13" s="31">
        <f>IF(AND(ISNUMBER(B13),ISNUMBER(C13),$B$2&gt;0),B13/$B$2+C13,"")</f>
        <v>409.88</v>
      </c>
      <c r="E13" s="33"/>
      <c r="G13" s="19" t="s">
        <v>66</v>
      </c>
      <c r="H13" s="29">
        <f>SUM(H7:H12)</f>
        <v>0</v>
      </c>
    </row>
    <row r="14" spans="1:8" x14ac:dyDescent="0.25">
      <c r="A14" s="17" t="s">
        <v>67</v>
      </c>
      <c r="B14" s="30">
        <v>70574000</v>
      </c>
      <c r="C14" s="30">
        <v>7360</v>
      </c>
      <c r="D14" s="31">
        <f>IF(AND(ISNUMBER(B14),ISNUMBER(C14),$B$2&gt;0),B14/$B$2+C14,"")</f>
        <v>13005.92</v>
      </c>
      <c r="E14" s="33"/>
      <c r="G14" s="19" t="s">
        <v>68</v>
      </c>
      <c r="H14" s="34">
        <f>'لوحة التحكم'!$C$6</f>
        <v>6</v>
      </c>
    </row>
    <row r="15" spans="1:8" x14ac:dyDescent="0.25">
      <c r="A15" s="17" t="s">
        <v>69</v>
      </c>
      <c r="B15" s="30">
        <v>5924000</v>
      </c>
      <c r="C15" s="30">
        <v>11459</v>
      </c>
      <c r="D15" s="31">
        <f>IF(AND(ISNUMBER(B15),ISNUMBER(C15),$B$2&gt;0),B15/$B$2+C15,"")</f>
        <v>11932.92</v>
      </c>
      <c r="E15" s="33"/>
      <c r="G15" s="19" t="s">
        <v>70</v>
      </c>
      <c r="H15" s="29">
        <v>4</v>
      </c>
    </row>
    <row r="16" spans="1:8" x14ac:dyDescent="0.25">
      <c r="A16" s="17" t="s">
        <v>71</v>
      </c>
      <c r="B16" s="32">
        <f>IF(AND(ISNUMBER(B14),ISNUMBER(B15)),B14-B15,"")</f>
        <v>64650000</v>
      </c>
      <c r="C16" s="32">
        <f>IF(AND(ISNUMBER(C14),ISNUMBER(C15)),C14-C15,"")</f>
        <v>-4099</v>
      </c>
      <c r="D16" s="31">
        <f>IF(AND(ISNUMBER(D14),ISNUMBER(D15)),D14-D15,"")</f>
        <v>1073</v>
      </c>
      <c r="E16" s="33"/>
    </row>
    <row r="17" spans="1:5" x14ac:dyDescent="0.25">
      <c r="A17" s="35" t="s">
        <v>72</v>
      </c>
      <c r="B17" s="36"/>
      <c r="C17" s="36"/>
      <c r="D17" s="37">
        <f>IF(AND(ISNUMBER(D13),ISNUMBER(D16)),D13+D16,"")</f>
        <v>1482.88</v>
      </c>
      <c r="E17" s="36"/>
    </row>
    <row r="19" spans="1:5" ht="19.5" customHeight="1" x14ac:dyDescent="0.25">
      <c r="A19" s="12" t="s">
        <v>73</v>
      </c>
      <c r="B19" s="12"/>
      <c r="C19" s="12"/>
      <c r="D19" s="12"/>
      <c r="E19" s="12"/>
    </row>
    <row r="20" spans="1:5" ht="30" customHeight="1" x14ac:dyDescent="0.25">
      <c r="A20" s="21" t="s">
        <v>74</v>
      </c>
      <c r="B20" s="21" t="s">
        <v>75</v>
      </c>
      <c r="C20" s="21" t="s">
        <v>76</v>
      </c>
      <c r="D20" s="21" t="s">
        <v>77</v>
      </c>
      <c r="E20" s="21" t="s">
        <v>78</v>
      </c>
    </row>
    <row r="21" spans="1:5" x14ac:dyDescent="0.25">
      <c r="A21" s="20"/>
      <c r="B21" s="30"/>
      <c r="C21" s="30"/>
      <c r="D21" s="30"/>
      <c r="E21" s="30"/>
    </row>
    <row r="22" spans="1:5" ht="15" customHeight="1" x14ac:dyDescent="0.25">
      <c r="A22" s="2" t="s">
        <v>79</v>
      </c>
      <c r="B22" s="2"/>
      <c r="C22" s="37" t="str">
        <f>IF(AND(ISNUMBER(C21),ISNUMBER(D21),$B$2&gt;0),C21+D21/$B$2,"")</f>
        <v/>
      </c>
      <c r="D22" s="3" t="s">
        <v>80</v>
      </c>
      <c r="E22" s="3"/>
    </row>
    <row r="24" spans="1:5" ht="19.5" customHeight="1" x14ac:dyDescent="0.25">
      <c r="A24" s="1" t="s">
        <v>81</v>
      </c>
      <c r="B24" s="1"/>
      <c r="C24" s="1"/>
      <c r="D24" s="1"/>
      <c r="E24" s="1"/>
    </row>
    <row r="25" spans="1:5" x14ac:dyDescent="0.25">
      <c r="A25" s="21" t="s">
        <v>44</v>
      </c>
      <c r="B25" s="21" t="s">
        <v>82</v>
      </c>
      <c r="C25" s="21" t="s">
        <v>83</v>
      </c>
      <c r="D25" s="21" t="s">
        <v>84</v>
      </c>
      <c r="E25" s="21" t="s">
        <v>85</v>
      </c>
    </row>
    <row r="26" spans="1:5" x14ac:dyDescent="0.25">
      <c r="A26" s="33" t="s">
        <v>30</v>
      </c>
      <c r="B26" s="31">
        <f>IF(ISNUMBER(C6),C6,"")</f>
        <v>13335.28</v>
      </c>
      <c r="C26" s="31">
        <f>IF('03-مارس'!$B$26="","",'03-مارس'!$B$26)</f>
        <v>8786.9166666666661</v>
      </c>
      <c r="D26" s="31">
        <f t="shared" ref="D26:D37" si="0">IF(AND(ISNUMBER(B26),ISNUMBER(C26)),B26-C26,"")</f>
        <v>4548.3633333333346</v>
      </c>
      <c r="E26" s="38">
        <f t="shared" ref="E26:E33" si="1">IF(AND(ISNUMBER(B26),ISNUMBER(C26)),IF(C26&lt;&gt;0,(B26-C26)/ABS(C26),""),"")</f>
        <v>0.51762905076676513</v>
      </c>
    </row>
    <row r="27" spans="1:5" x14ac:dyDescent="0.25">
      <c r="A27" s="33" t="s">
        <v>86</v>
      </c>
      <c r="B27" s="31" t="str">
        <f>IF($H$3=1,'03-مارس'!$C$22,"")</f>
        <v/>
      </c>
      <c r="C27" s="31" t="str">
        <f>IF('03-مارس'!$B$27="","",'03-مارس'!$B$27)</f>
        <v/>
      </c>
      <c r="D27" s="31" t="str">
        <f t="shared" si="0"/>
        <v/>
      </c>
      <c r="E27" s="38" t="str">
        <f t="shared" si="1"/>
        <v/>
      </c>
    </row>
    <row r="28" spans="1:5" x14ac:dyDescent="0.25">
      <c r="A28" s="33" t="s">
        <v>87</v>
      </c>
      <c r="B28" s="31">
        <f>IF(ISNUMBER(C7),C7,"")</f>
        <v>7324.4</v>
      </c>
      <c r="C28" s="31">
        <f>IF('03-مارس'!$B$28="","",'03-مارس'!$B$28)</f>
        <v>3762.9166666666665</v>
      </c>
      <c r="D28" s="31">
        <f t="shared" si="0"/>
        <v>3561.4833333333331</v>
      </c>
      <c r="E28" s="38">
        <f t="shared" si="1"/>
        <v>0.9464688295869782</v>
      </c>
    </row>
    <row r="29" spans="1:5" x14ac:dyDescent="0.25">
      <c r="A29" s="33" t="s">
        <v>88</v>
      </c>
      <c r="B29" s="31" t="str">
        <f>IF($H$3=1,C22-$H$4,"")</f>
        <v/>
      </c>
      <c r="C29" s="31" t="str">
        <f>IF('03-مارس'!$B$29="","",'03-مارس'!$B$29)</f>
        <v/>
      </c>
      <c r="D29" s="31" t="str">
        <f t="shared" si="0"/>
        <v/>
      </c>
      <c r="E29" s="38" t="str">
        <f t="shared" si="1"/>
        <v/>
      </c>
    </row>
    <row r="30" spans="1:5" x14ac:dyDescent="0.25">
      <c r="A30" s="17" t="s">
        <v>89</v>
      </c>
      <c r="B30" s="31" t="str">
        <f>IF($H$3=1,B27+B28-B29,"")</f>
        <v/>
      </c>
      <c r="C30" s="31" t="str">
        <f>IF('03-مارس'!$B$30="","",'03-مارس'!$B$30)</f>
        <v/>
      </c>
      <c r="D30" s="31" t="str">
        <f t="shared" si="0"/>
        <v/>
      </c>
      <c r="E30" s="38" t="str">
        <f t="shared" si="1"/>
        <v/>
      </c>
    </row>
    <row r="31" spans="1:5" x14ac:dyDescent="0.25">
      <c r="A31" s="17" t="s">
        <v>90</v>
      </c>
      <c r="B31" s="31" t="str">
        <f>IF($H$3=1,B26-B30,"")</f>
        <v/>
      </c>
      <c r="C31" s="31" t="str">
        <f>IF('03-مارس'!$B$31="","",'03-مارس'!$B$31)</f>
        <v/>
      </c>
      <c r="D31" s="31" t="str">
        <f t="shared" si="0"/>
        <v/>
      </c>
      <c r="E31" s="38" t="str">
        <f t="shared" si="1"/>
        <v/>
      </c>
    </row>
    <row r="32" spans="1:5" x14ac:dyDescent="0.25">
      <c r="A32" s="33" t="s">
        <v>91</v>
      </c>
      <c r="B32" s="31">
        <f>IF(ISNUMBER(C8),C8,"")</f>
        <v>3069.68</v>
      </c>
      <c r="C32" s="31">
        <f>IF('03-مارس'!$B$32="","",'03-مارس'!$B$32)</f>
        <v>3100.25</v>
      </c>
      <c r="D32" s="31">
        <f t="shared" si="0"/>
        <v>-30.570000000000164</v>
      </c>
      <c r="E32" s="38">
        <f t="shared" si="1"/>
        <v>-9.8604951213612339E-3</v>
      </c>
    </row>
    <row r="33" spans="1:5" x14ac:dyDescent="0.25">
      <c r="A33" s="35" t="s">
        <v>92</v>
      </c>
      <c r="B33" s="37" t="str">
        <f>IF($H$3=1,B31-B32,"")</f>
        <v/>
      </c>
      <c r="C33" s="39" t="str">
        <f>IF('03-مارس'!$B$33="","",'03-مارس'!$B$33)</f>
        <v/>
      </c>
      <c r="D33" s="39" t="str">
        <f t="shared" si="0"/>
        <v/>
      </c>
      <c r="E33" s="40" t="str">
        <f t="shared" si="1"/>
        <v/>
      </c>
    </row>
    <row r="34" spans="1:5" x14ac:dyDescent="0.25">
      <c r="A34" s="33" t="s">
        <v>93</v>
      </c>
      <c r="B34" s="38" t="str">
        <f>IF(AND($H$3=1,N(B26)&gt;0),B33/B26,"")</f>
        <v/>
      </c>
      <c r="C34" s="38" t="str">
        <f>IF('03-مارس'!$B$34="","",'03-مارس'!$B$34)</f>
        <v/>
      </c>
      <c r="D34" s="38" t="str">
        <f t="shared" si="0"/>
        <v/>
      </c>
      <c r="E34" s="38"/>
    </row>
    <row r="35" spans="1:5" x14ac:dyDescent="0.25">
      <c r="A35" s="33" t="s">
        <v>94</v>
      </c>
      <c r="B35" s="31" t="str">
        <f>IF($H$3=1,$H$4,"")</f>
        <v/>
      </c>
      <c r="C35" s="31" t="str">
        <f>IF('03-مارس'!$B$35="","",'03-مارس'!$B$35)</f>
        <v/>
      </c>
      <c r="D35" s="31" t="str">
        <f t="shared" si="0"/>
        <v/>
      </c>
      <c r="E35" s="38" t="str">
        <f>IF(AND(ISNUMBER(B35),ISNUMBER(C35)),IF(C35&lt;&gt;0,(B35-C35)/ABS(C35),""),"")</f>
        <v/>
      </c>
    </row>
    <row r="36" spans="1:5" x14ac:dyDescent="0.25">
      <c r="A36" s="35" t="s">
        <v>95</v>
      </c>
      <c r="B36" s="37" t="str">
        <f>IF($H$3=1,B33+B35,"")</f>
        <v/>
      </c>
      <c r="C36" s="39" t="str">
        <f>IF('03-مارس'!$B$36="","",'03-مارس'!$B$36)</f>
        <v/>
      </c>
      <c r="D36" s="39" t="str">
        <f t="shared" si="0"/>
        <v/>
      </c>
      <c r="E36" s="40" t="str">
        <f>IF(AND(ISNUMBER(B36),ISNUMBER(C36)),IF(C36&lt;&gt;0,(B36-C36)/ABS(C36),""),"")</f>
        <v/>
      </c>
    </row>
    <row r="37" spans="1:5" x14ac:dyDescent="0.25">
      <c r="A37" s="33" t="s">
        <v>96</v>
      </c>
      <c r="B37" s="31">
        <f>IF(ISNUMBER(C9),C9,"")</f>
        <v>2941.2</v>
      </c>
      <c r="C37" s="31">
        <f>IF('03-مارس'!$B$37="","",'03-مارس'!$B$37)</f>
        <v>1923.75</v>
      </c>
      <c r="D37" s="31">
        <f t="shared" si="0"/>
        <v>1017.4499999999998</v>
      </c>
      <c r="E37" s="38">
        <f>IF(AND(ISNUMBER(B37),ISNUMBER(C37)),IF(C37&lt;&gt;0,(B37-C37)/ABS(C37),""),"")</f>
        <v>0.52888888888888874</v>
      </c>
    </row>
    <row r="39" spans="1:5" ht="19.5" customHeight="1" x14ac:dyDescent="0.25">
      <c r="A39" s="12" t="s">
        <v>97</v>
      </c>
      <c r="B39" s="12"/>
      <c r="C39" s="12"/>
      <c r="D39" s="12"/>
      <c r="E39" s="12"/>
    </row>
    <row r="40" spans="1:5" x14ac:dyDescent="0.25">
      <c r="A40" s="21" t="s">
        <v>98</v>
      </c>
      <c r="B40" s="21" t="s">
        <v>99</v>
      </c>
      <c r="C40" s="21" t="s">
        <v>100</v>
      </c>
      <c r="D40" s="21" t="s">
        <v>101</v>
      </c>
      <c r="E40" s="21" t="s">
        <v>85</v>
      </c>
    </row>
    <row r="41" spans="1:5" x14ac:dyDescent="0.25">
      <c r="A41" s="17" t="s">
        <v>102</v>
      </c>
      <c r="B41" s="38">
        <f>IF(AND(ISNUMBER(B32),N(B26)&gt;0),B32/B26,"")</f>
        <v>0.230192391910781</v>
      </c>
      <c r="C41" s="38">
        <f>IF('03-مارس'!$B$41="","",'03-مارس'!$B$41)</f>
        <v>0.35282569729616953</v>
      </c>
      <c r="D41" s="38">
        <f>IF(AND(ISNUMBER(B41),ISNUMBER(C41)),B41-C41,"")</f>
        <v>-0.12263330538538852</v>
      </c>
      <c r="E41" s="38"/>
    </row>
    <row r="42" spans="1:5" x14ac:dyDescent="0.25">
      <c r="A42" s="17" t="s">
        <v>103</v>
      </c>
      <c r="B42" s="38" t="str">
        <f>IF(AND(ISNUMBER(B30),N(B26)&gt;0),B30/B26,"")</f>
        <v/>
      </c>
      <c r="C42" s="38" t="str">
        <f>IF('03-مارس'!$B$42="","",'03-مارس'!$B$42)</f>
        <v/>
      </c>
      <c r="D42" s="38" t="str">
        <f>IF(AND(ISNUMBER(B42),ISNUMBER(C42)),B42-C42,"")</f>
        <v/>
      </c>
      <c r="E42" s="38"/>
    </row>
    <row r="43" spans="1:5" x14ac:dyDescent="0.25">
      <c r="A43" s="17" t="s">
        <v>104</v>
      </c>
      <c r="B43" s="31" t="str">
        <f>IF(ISNUMBER(C22),C22,"")</f>
        <v/>
      </c>
      <c r="C43" s="31" t="str">
        <f>IF('03-مارس'!$B$43="","",'03-مارس'!$B$43)</f>
        <v/>
      </c>
      <c r="D43" s="31" t="str">
        <f>IF(AND(ISNUMBER(B43),ISNUMBER(C43)),B43-C43,"")</f>
        <v/>
      </c>
      <c r="E43" s="38" t="str">
        <f>IF(AND(ISNUMBER(B43),ISNUMBER(C43)),IF(C43&lt;&gt;0,(B43-C43)/ABS(C43),""),"")</f>
        <v/>
      </c>
    </row>
    <row r="44" spans="1:5" x14ac:dyDescent="0.25">
      <c r="A44" s="17" t="s">
        <v>105</v>
      </c>
      <c r="B44" s="38" t="str">
        <f>IF(AND(ISNUMBER(C22),$B$2&gt;0),IF(C22&gt;0,(D21/$B$2)/C22,""),"")</f>
        <v/>
      </c>
      <c r="C44" s="38" t="str">
        <f>IF('03-مارس'!$B$44="","",'03-مارس'!$B$44)</f>
        <v/>
      </c>
      <c r="D44" s="38" t="str">
        <f>IF(AND(ISNUMBER(B44),ISNUMBER(C44)),B44-C44,"")</f>
        <v/>
      </c>
      <c r="E44" s="38"/>
    </row>
    <row r="45" spans="1:5" x14ac:dyDescent="0.25">
      <c r="A45" s="17" t="s">
        <v>106</v>
      </c>
      <c r="B45" s="31">
        <f>IF(ISNUMBER(D17),D17,"")</f>
        <v>1482.88</v>
      </c>
      <c r="C45" s="31">
        <f>IF('03-مارس'!$B$45="","",'03-مارس'!$B$45)</f>
        <v>-2110.4166666666665</v>
      </c>
      <c r="D45" s="31">
        <f>IF(AND(ISNUMBER(B45),ISNUMBER(C45)),B45-C45,"")</f>
        <v>3593.2966666666666</v>
      </c>
      <c r="E45" s="38">
        <f>IF(AND(ISNUMBER(B45),ISNUMBER(C45)),IF(C45&lt;&gt;0,(B45-C45)/ABS(C45),""),"")</f>
        <v>1.7026479763079962</v>
      </c>
    </row>
    <row r="47" spans="1:5" ht="15" customHeight="1" x14ac:dyDescent="0.25">
      <c r="A47" s="11" t="s">
        <v>107</v>
      </c>
      <c r="B47" s="11"/>
      <c r="C47" s="11"/>
      <c r="D47" s="11"/>
      <c r="E47" s="11"/>
    </row>
    <row r="48" spans="1:5" x14ac:dyDescent="0.25">
      <c r="A48" s="11"/>
      <c r="B48" s="11"/>
      <c r="C48" s="11"/>
      <c r="D48" s="11"/>
      <c r="E48" s="11"/>
    </row>
  </sheetData>
  <mergeCells count="16">
    <mergeCell ref="A47:E48"/>
    <mergeCell ref="A19:E19"/>
    <mergeCell ref="A22:B22"/>
    <mergeCell ref="D22:E22"/>
    <mergeCell ref="A24:E24"/>
    <mergeCell ref="A39:E39"/>
    <mergeCell ref="D6:E6"/>
    <mergeCell ref="D7:E7"/>
    <mergeCell ref="D8:E8"/>
    <mergeCell ref="D9:E9"/>
    <mergeCell ref="A11:E11"/>
    <mergeCell ref="A1:E1"/>
    <mergeCell ref="D2:E2"/>
    <mergeCell ref="A3:E3"/>
    <mergeCell ref="A4:E4"/>
    <mergeCell ref="D5:E5"/>
  </mergeCells>
  <conditionalFormatting sqref="A3">
    <cfRule type="expression" dxfId="55" priority="2">
      <formula>LEFT($A$3,1)="⚠"</formula>
    </cfRule>
    <cfRule type="expression" dxfId="54" priority="3">
      <formula>LEFT($A$3,1)="✅"</formula>
    </cfRule>
    <cfRule type="expression" dxfId="53" priority="4">
      <formula>LEFT($A$3,1)="ℹ"</formula>
    </cfRule>
  </conditionalFormatting>
  <conditionalFormatting sqref="A21:E21">
    <cfRule type="expression" dxfId="52" priority="7">
      <formula>OR($H$10=1,$H$11=1,$H$12=1)</formula>
    </cfRule>
  </conditionalFormatting>
  <conditionalFormatting sqref="D2">
    <cfRule type="expression" dxfId="51" priority="5">
      <formula>LEFT($D$2,1)="✅"</formula>
    </cfRule>
    <cfRule type="expression" dxfId="50" priority="6">
      <formula>LEFT($D$2,1)="⚠"</formula>
    </cfRule>
  </conditionalFormatting>
  <dataValidations count="1">
    <dataValidation type="decimal" operator="greaterThanOrEqual" allowBlank="1" errorTitle="قيمة غير صالحة" error="أدخل رقمًا موجبًا (بالليرة السورية)." sqref="B6:B8 B13:C15" xr:uid="{00000000-0002-0000-0400-000000000000}">
      <formula1>0</formula1>
      <formula2>0</formula2>
    </dataValidation>
  </dataValidations>
  <printOptions horizontalCentered="1"/>
  <pageMargins left="0.4" right="0.4" top="0.5" bottom="0.6" header="0.511811023622047" footer="0.5"/>
  <pageSetup paperSize="9" orientation="portrait" horizontalDpi="300" verticalDpi="300"/>
  <headerFooter>
    <oddFooter>&amp;C&amp;8 &amp;A  —  صفحة &amp;P من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D8C"/>
    <pageSetUpPr fitToPage="1"/>
  </sheetPr>
  <dimension ref="A1:H48"/>
  <sheetViews>
    <sheetView showGridLines="0" rightToLeft="1" zoomScaleNormal="100" workbookViewId="0">
      <pane ySplit="3" topLeftCell="A4" activePane="bottomLeft" state="frozen"/>
      <selection pane="bottomLeft" sqref="A1:E1"/>
    </sheetView>
  </sheetViews>
  <sheetFormatPr defaultColWidth="8.7109375" defaultRowHeight="15" x14ac:dyDescent="0.25"/>
  <cols>
    <col min="1" max="1" width="40" customWidth="1"/>
    <col min="2" max="4" width="19" customWidth="1"/>
    <col min="5" max="5" width="14" customWidth="1"/>
    <col min="6" max="6" width="3" customWidth="1"/>
    <col min="7" max="7" width="38" customWidth="1"/>
    <col min="8" max="8" width="16" customWidth="1"/>
  </cols>
  <sheetData>
    <row r="1" spans="1:8" ht="31.5" customHeight="1" x14ac:dyDescent="0.25">
      <c r="A1" s="14" t="s">
        <v>111</v>
      </c>
      <c r="B1" s="14"/>
      <c r="C1" s="14"/>
      <c r="D1" s="14"/>
      <c r="E1" s="14"/>
      <c r="G1" s="19" t="s">
        <v>38</v>
      </c>
    </row>
    <row r="2" spans="1:8" x14ac:dyDescent="0.25">
      <c r="A2" s="17" t="s">
        <v>39</v>
      </c>
      <c r="B2" s="27">
        <f>IF(ISNUMBER('لوحة التحكم'!$C$14),'لوحة التحكم'!$C$14,0)</f>
        <v>12500</v>
      </c>
      <c r="C2" s="28" t="s">
        <v>12</v>
      </c>
      <c r="D2" s="5" t="str">
        <f>$H$6</f>
        <v>ℹ ربح تقديري فقط</v>
      </c>
      <c r="E2" s="5"/>
      <c r="G2" s="19" t="s">
        <v>40</v>
      </c>
      <c r="H2" s="41">
        <f>'04-أبريل'!$B$2</f>
        <v>12500</v>
      </c>
    </row>
    <row r="3" spans="1:8" ht="36" customHeight="1" x14ac:dyDescent="0.25">
      <c r="A3" s="10" t="str">
        <f>IF($H$5=0,"لا توجد بيانات لهذا الشهر بعد — أدخل المدخلات أدناه",IF($H$13&gt;0,(IF($H$7=1,"⚠ سعر الصرف غير مُدخل في لوحة التحكم.  ","")&amp;IF($H$8=1,"⚠ أكمل المبيعات والمشتريات والمصاريف.  ","")&amp;IF($H$9=1,"⚠ الصق بيانات المستودع في فقرة «بيانات المستودع».  ","")&amp;IF($H$10=1,"⚠ الصف الملصوق يخص شهرًا آخر.  ","")&amp;IF($H$11=1,"⚠ سعر صرف المستودع ("&amp;$B$21&amp;") يختلف عن سعر لوحة التحكم ("&amp;$B$2&amp;").  ","")&amp;IF($H$12=1,"⚠ ملف المستودع فيه أصناف بها أخطاء (العدد: "&amp;$E$21&amp;") — صحّحها ثم أعد التصدير.","")),IF($H$3=1,"✅ البيانات مكتملة — الربح الحقيقي محسوب","ℹ الربح الحقيقي غير متاح (يلزم مخزون هذا الشهر والشهر السابق وسعر صرف الشهرين) — المعروض ربح تقديري فقط")))</f>
        <v>ℹ الربح الحقيقي غير متاح (يلزم مخزون هذا الشهر والشهر السابق وسعر صرف الشهرين) — المعروض ربح تقديري فقط</v>
      </c>
      <c r="B3" s="10"/>
      <c r="C3" s="10"/>
      <c r="D3" s="10"/>
      <c r="E3" s="10"/>
      <c r="G3" s="19" t="s">
        <v>41</v>
      </c>
      <c r="H3" s="29">
        <f>IF(AND($B$2&gt;0,H2&gt;0,COUNT(B6:B8)=3,ISNUMBER(C22),ISNUMBER('04-أبريل'!$C$22),ISNUMBER('04-أبريل'!$D$21)),1,0)</f>
        <v>0</v>
      </c>
    </row>
    <row r="4" spans="1:8" ht="19.5" customHeight="1" x14ac:dyDescent="0.25">
      <c r="A4" s="12" t="s">
        <v>42</v>
      </c>
      <c r="B4" s="12"/>
      <c r="C4" s="12"/>
      <c r="D4" s="12"/>
      <c r="E4" s="12"/>
      <c r="G4" s="19" t="s">
        <v>43</v>
      </c>
      <c r="H4" s="29">
        <f>IF(H3=1,'04-أبريل'!$D$21*(1/$B$2-1/H2),0)</f>
        <v>0</v>
      </c>
    </row>
    <row r="5" spans="1:8" ht="15" customHeight="1" x14ac:dyDescent="0.25">
      <c r="A5" s="21" t="s">
        <v>44</v>
      </c>
      <c r="B5" s="21" t="s">
        <v>45</v>
      </c>
      <c r="C5" s="21" t="s">
        <v>46</v>
      </c>
      <c r="D5" s="4" t="s">
        <v>47</v>
      </c>
      <c r="E5" s="4"/>
      <c r="G5" s="19" t="s">
        <v>48</v>
      </c>
      <c r="H5" s="29">
        <f>IF(COUNTA(B6:B8,B13:C15,A21:E21)&gt;0,1,0)</f>
        <v>1</v>
      </c>
    </row>
    <row r="6" spans="1:8" ht="19.350000000000001" customHeight="1" x14ac:dyDescent="0.25">
      <c r="A6" s="17" t="s">
        <v>30</v>
      </c>
      <c r="B6" s="30">
        <v>163334000</v>
      </c>
      <c r="C6" s="31">
        <f>IF(AND(ISNUMBER(B6),$B$2&gt;0),B6/$B$2,"")</f>
        <v>13066.72</v>
      </c>
      <c r="D6" s="3" t="s">
        <v>49</v>
      </c>
      <c r="E6" s="3"/>
      <c r="G6" s="19" t="s">
        <v>12</v>
      </c>
      <c r="H6" s="29" t="str">
        <f>IF(H5=0,"لا بيانات",IF(H3=1,IF(H13=0,"✅ جاهز — ربح حقيقي","⚠ ربح حقيقي مع تنبيهات"),IF(H13&gt;0,"⚠ تنبيهات — راجع الصفحة",IF(COUNT(B6:B8)=3,"ℹ ربح تقديري فقط","⚠ بيانات ناقصة"))))</f>
        <v>ℹ ربح تقديري فقط</v>
      </c>
    </row>
    <row r="7" spans="1:8" ht="15" customHeight="1" x14ac:dyDescent="0.25">
      <c r="A7" s="17" t="s">
        <v>50</v>
      </c>
      <c r="B7" s="30">
        <v>91196000</v>
      </c>
      <c r="C7" s="31">
        <f>IF(AND(ISNUMBER(B7),$B$2&gt;0),B7/$B$2,"")</f>
        <v>7295.68</v>
      </c>
      <c r="D7" s="3" t="s">
        <v>51</v>
      </c>
      <c r="E7" s="3"/>
      <c r="G7" s="19" t="s">
        <v>52</v>
      </c>
      <c r="H7" s="29">
        <f>IF(AND(H5=1,$B$2&lt;=0),1,0)</f>
        <v>0</v>
      </c>
    </row>
    <row r="8" spans="1:8" ht="15" customHeight="1" x14ac:dyDescent="0.25">
      <c r="A8" s="17" t="s">
        <v>33</v>
      </c>
      <c r="B8" s="30">
        <v>26000000</v>
      </c>
      <c r="C8" s="31">
        <f>IF(AND(ISNUMBER(B8),$B$2&gt;0),B8/$B$2,"")</f>
        <v>2080</v>
      </c>
      <c r="D8" s="3" t="s">
        <v>53</v>
      </c>
      <c r="E8" s="3"/>
      <c r="G8" s="19" t="s">
        <v>54</v>
      </c>
      <c r="H8" s="29">
        <f>IF(AND(H5=1,COUNT(B6:B8)&lt;3),1,0)</f>
        <v>0</v>
      </c>
    </row>
    <row r="9" spans="1:8" ht="15" customHeight="1" x14ac:dyDescent="0.25">
      <c r="A9" s="17" t="s">
        <v>55</v>
      </c>
      <c r="B9" s="32">
        <f>IF(COUNT(B6:B8)=3,B6-B7-B8,"")</f>
        <v>46138000</v>
      </c>
      <c r="C9" s="31">
        <f>IF(AND(ISNUMBER(B9),$B$2&gt;0),B9/$B$2,"")</f>
        <v>3691.04</v>
      </c>
      <c r="D9" s="3" t="s">
        <v>56</v>
      </c>
      <c r="E9" s="3"/>
      <c r="G9" s="19" t="s">
        <v>57</v>
      </c>
      <c r="H9" s="29">
        <f>IF(AND(H5=1,H15&gt;=H14,NOT(AND(ISNUMBER(C21),ISNUMBER(D21)))),1,0)</f>
        <v>0</v>
      </c>
    </row>
    <row r="10" spans="1:8" x14ac:dyDescent="0.25">
      <c r="G10" s="19" t="s">
        <v>58</v>
      </c>
      <c r="H10" s="29">
        <f>IF(AND(ISNUMBER(A21),A21&lt;&gt;H15),1,0)</f>
        <v>0</v>
      </c>
    </row>
    <row r="11" spans="1:8" ht="19.5" customHeight="1" x14ac:dyDescent="0.25">
      <c r="A11" s="12" t="s">
        <v>59</v>
      </c>
      <c r="B11" s="12"/>
      <c r="C11" s="12"/>
      <c r="D11" s="12"/>
      <c r="E11" s="12"/>
      <c r="G11" s="19" t="s">
        <v>60</v>
      </c>
      <c r="H11" s="29">
        <f>IF(AND(ISNUMBER(B21),$B$2&gt;0,ABS(B21-$B$2)&gt;0.5),1,0)</f>
        <v>0</v>
      </c>
    </row>
    <row r="12" spans="1:8" x14ac:dyDescent="0.25">
      <c r="A12" s="21" t="s">
        <v>44</v>
      </c>
      <c r="B12" s="21" t="s">
        <v>61</v>
      </c>
      <c r="C12" s="21" t="s">
        <v>62</v>
      </c>
      <c r="D12" s="21" t="s">
        <v>63</v>
      </c>
      <c r="E12" s="21"/>
      <c r="G12" s="19" t="s">
        <v>64</v>
      </c>
      <c r="H12" s="29">
        <f>IF(N(E21)&gt;0,1,0)</f>
        <v>0</v>
      </c>
    </row>
    <row r="13" spans="1:8" x14ac:dyDescent="0.25">
      <c r="A13" s="17" t="s">
        <v>65</v>
      </c>
      <c r="B13" s="30">
        <v>1500000</v>
      </c>
      <c r="C13" s="30">
        <v>50</v>
      </c>
      <c r="D13" s="31">
        <f>IF(AND(ISNUMBER(B13),ISNUMBER(C13),$B$2&gt;0),B13/$B$2+C13,"")</f>
        <v>170</v>
      </c>
      <c r="E13" s="33"/>
      <c r="G13" s="19" t="s">
        <v>66</v>
      </c>
      <c r="H13" s="29">
        <f>SUM(H7:H12)</f>
        <v>0</v>
      </c>
    </row>
    <row r="14" spans="1:8" x14ac:dyDescent="0.25">
      <c r="A14" s="17" t="s">
        <v>67</v>
      </c>
      <c r="B14" s="30">
        <v>35913000</v>
      </c>
      <c r="C14" s="30">
        <v>6270</v>
      </c>
      <c r="D14" s="31">
        <f>IF(AND(ISNUMBER(B14),ISNUMBER(C14),$B$2&gt;0),B14/$B$2+C14,"")</f>
        <v>9143.0400000000009</v>
      </c>
      <c r="E14" s="33"/>
      <c r="G14" s="19" t="s">
        <v>68</v>
      </c>
      <c r="H14" s="34">
        <f>'لوحة التحكم'!$C$6</f>
        <v>6</v>
      </c>
    </row>
    <row r="15" spans="1:8" x14ac:dyDescent="0.25">
      <c r="A15" s="17" t="s">
        <v>69</v>
      </c>
      <c r="B15" s="30">
        <v>8730000</v>
      </c>
      <c r="C15" s="30">
        <v>5679</v>
      </c>
      <c r="D15" s="31">
        <f>IF(AND(ISNUMBER(B15),ISNUMBER(C15),$B$2&gt;0),B15/$B$2+C15,"")</f>
        <v>6377.4</v>
      </c>
      <c r="E15" s="33"/>
      <c r="G15" s="19" t="s">
        <v>70</v>
      </c>
      <c r="H15" s="29">
        <v>5</v>
      </c>
    </row>
    <row r="16" spans="1:8" x14ac:dyDescent="0.25">
      <c r="A16" s="17" t="s">
        <v>71</v>
      </c>
      <c r="B16" s="32">
        <f>IF(AND(ISNUMBER(B14),ISNUMBER(B15)),B14-B15,"")</f>
        <v>27183000</v>
      </c>
      <c r="C16" s="32">
        <f>IF(AND(ISNUMBER(C14),ISNUMBER(C15)),C14-C15,"")</f>
        <v>591</v>
      </c>
      <c r="D16" s="31">
        <f>IF(AND(ISNUMBER(D14),ISNUMBER(D15)),D14-D15,"")</f>
        <v>2765.6400000000012</v>
      </c>
      <c r="E16" s="33"/>
    </row>
    <row r="17" spans="1:5" x14ac:dyDescent="0.25">
      <c r="A17" s="35" t="s">
        <v>72</v>
      </c>
      <c r="B17" s="36"/>
      <c r="C17" s="36"/>
      <c r="D17" s="37">
        <f>IF(AND(ISNUMBER(D13),ISNUMBER(D16)),D13+D16,"")</f>
        <v>2935.6400000000012</v>
      </c>
      <c r="E17" s="36"/>
    </row>
    <row r="19" spans="1:5" ht="19.5" customHeight="1" x14ac:dyDescent="0.25">
      <c r="A19" s="12" t="s">
        <v>73</v>
      </c>
      <c r="B19" s="12"/>
      <c r="C19" s="12"/>
      <c r="D19" s="12"/>
      <c r="E19" s="12"/>
    </row>
    <row r="20" spans="1:5" ht="30" customHeight="1" x14ac:dyDescent="0.25">
      <c r="A20" s="21" t="s">
        <v>74</v>
      </c>
      <c r="B20" s="21" t="s">
        <v>75</v>
      </c>
      <c r="C20" s="21" t="s">
        <v>76</v>
      </c>
      <c r="D20" s="21" t="s">
        <v>77</v>
      </c>
      <c r="E20" s="21" t="s">
        <v>78</v>
      </c>
    </row>
    <row r="21" spans="1:5" x14ac:dyDescent="0.25">
      <c r="A21" s="20"/>
      <c r="B21" s="30"/>
      <c r="C21" s="30"/>
      <c r="D21" s="30"/>
      <c r="E21" s="30"/>
    </row>
    <row r="22" spans="1:5" ht="15" customHeight="1" x14ac:dyDescent="0.25">
      <c r="A22" s="2" t="s">
        <v>79</v>
      </c>
      <c r="B22" s="2"/>
      <c r="C22" s="37" t="str">
        <f>IF(AND(ISNUMBER(C21),ISNUMBER(D21),$B$2&gt;0),C21+D21/$B$2,"")</f>
        <v/>
      </c>
      <c r="D22" s="3" t="s">
        <v>80</v>
      </c>
      <c r="E22" s="3"/>
    </row>
    <row r="24" spans="1:5" ht="19.5" customHeight="1" x14ac:dyDescent="0.25">
      <c r="A24" s="1" t="s">
        <v>81</v>
      </c>
      <c r="B24" s="1"/>
      <c r="C24" s="1"/>
      <c r="D24" s="1"/>
      <c r="E24" s="1"/>
    </row>
    <row r="25" spans="1:5" x14ac:dyDescent="0.25">
      <c r="A25" s="21" t="s">
        <v>44</v>
      </c>
      <c r="B25" s="21" t="s">
        <v>82</v>
      </c>
      <c r="C25" s="21" t="s">
        <v>83</v>
      </c>
      <c r="D25" s="21" t="s">
        <v>84</v>
      </c>
      <c r="E25" s="21" t="s">
        <v>85</v>
      </c>
    </row>
    <row r="26" spans="1:5" x14ac:dyDescent="0.25">
      <c r="A26" s="33" t="s">
        <v>30</v>
      </c>
      <c r="B26" s="31">
        <f>IF(ISNUMBER(C6),C6,"")</f>
        <v>13066.72</v>
      </c>
      <c r="C26" s="31">
        <f>IF('04-أبريل'!$B$26="","",'04-أبريل'!$B$26)</f>
        <v>13335.28</v>
      </c>
      <c r="D26" s="31">
        <f t="shared" ref="D26:D37" si="0">IF(AND(ISNUMBER(B26),ISNUMBER(C26)),B26-C26,"")</f>
        <v>-268.56000000000131</v>
      </c>
      <c r="E26" s="38">
        <f t="shared" ref="E26:E33" si="1">IF(AND(ISNUMBER(B26),ISNUMBER(C26)),IF(C26&lt;&gt;0,(B26-C26)/ABS(C26),""),"")</f>
        <v>-2.0139059697284294E-2</v>
      </c>
    </row>
    <row r="27" spans="1:5" x14ac:dyDescent="0.25">
      <c r="A27" s="33" t="s">
        <v>86</v>
      </c>
      <c r="B27" s="31" t="str">
        <f>IF($H$3=1,'04-أبريل'!$C$22,"")</f>
        <v/>
      </c>
      <c r="C27" s="31" t="str">
        <f>IF('04-أبريل'!$B$27="","",'04-أبريل'!$B$27)</f>
        <v/>
      </c>
      <c r="D27" s="31" t="str">
        <f t="shared" si="0"/>
        <v/>
      </c>
      <c r="E27" s="38" t="str">
        <f t="shared" si="1"/>
        <v/>
      </c>
    </row>
    <row r="28" spans="1:5" x14ac:dyDescent="0.25">
      <c r="A28" s="33" t="s">
        <v>87</v>
      </c>
      <c r="B28" s="31">
        <f>IF(ISNUMBER(C7),C7,"")</f>
        <v>7295.68</v>
      </c>
      <c r="C28" s="31">
        <f>IF('04-أبريل'!$B$28="","",'04-أبريل'!$B$28)</f>
        <v>7324.4</v>
      </c>
      <c r="D28" s="31">
        <f t="shared" si="0"/>
        <v>-28.719999999999345</v>
      </c>
      <c r="E28" s="38">
        <f t="shared" si="1"/>
        <v>-3.9211402981813321E-3</v>
      </c>
    </row>
    <row r="29" spans="1:5" x14ac:dyDescent="0.25">
      <c r="A29" s="33" t="s">
        <v>88</v>
      </c>
      <c r="B29" s="31" t="str">
        <f>IF($H$3=1,C22-$H$4,"")</f>
        <v/>
      </c>
      <c r="C29" s="31" t="str">
        <f>IF('04-أبريل'!$B$29="","",'04-أبريل'!$B$29)</f>
        <v/>
      </c>
      <c r="D29" s="31" t="str">
        <f t="shared" si="0"/>
        <v/>
      </c>
      <c r="E29" s="38" t="str">
        <f t="shared" si="1"/>
        <v/>
      </c>
    </row>
    <row r="30" spans="1:5" x14ac:dyDescent="0.25">
      <c r="A30" s="17" t="s">
        <v>89</v>
      </c>
      <c r="B30" s="31" t="str">
        <f>IF($H$3=1,B27+B28-B29,"")</f>
        <v/>
      </c>
      <c r="C30" s="31" t="str">
        <f>IF('04-أبريل'!$B$30="","",'04-أبريل'!$B$30)</f>
        <v/>
      </c>
      <c r="D30" s="31" t="str">
        <f t="shared" si="0"/>
        <v/>
      </c>
      <c r="E30" s="38" t="str">
        <f t="shared" si="1"/>
        <v/>
      </c>
    </row>
    <row r="31" spans="1:5" x14ac:dyDescent="0.25">
      <c r="A31" s="17" t="s">
        <v>90</v>
      </c>
      <c r="B31" s="31" t="str">
        <f>IF($H$3=1,B26-B30,"")</f>
        <v/>
      </c>
      <c r="C31" s="31" t="str">
        <f>IF('04-أبريل'!$B$31="","",'04-أبريل'!$B$31)</f>
        <v/>
      </c>
      <c r="D31" s="31" t="str">
        <f t="shared" si="0"/>
        <v/>
      </c>
      <c r="E31" s="38" t="str">
        <f t="shared" si="1"/>
        <v/>
      </c>
    </row>
    <row r="32" spans="1:5" x14ac:dyDescent="0.25">
      <c r="A32" s="33" t="s">
        <v>91</v>
      </c>
      <c r="B32" s="31">
        <f>IF(ISNUMBER(C8),C8,"")</f>
        <v>2080</v>
      </c>
      <c r="C32" s="31">
        <f>IF('04-أبريل'!$B$32="","",'04-أبريل'!$B$32)</f>
        <v>3069.68</v>
      </c>
      <c r="D32" s="31">
        <f t="shared" si="0"/>
        <v>-989.67999999999984</v>
      </c>
      <c r="E32" s="38">
        <f t="shared" si="1"/>
        <v>-0.3224049412316593</v>
      </c>
    </row>
    <row r="33" spans="1:5" x14ac:dyDescent="0.25">
      <c r="A33" s="35" t="s">
        <v>92</v>
      </c>
      <c r="B33" s="37" t="str">
        <f>IF($H$3=1,B31-B32,"")</f>
        <v/>
      </c>
      <c r="C33" s="39" t="str">
        <f>IF('04-أبريل'!$B$33="","",'04-أبريل'!$B$33)</f>
        <v/>
      </c>
      <c r="D33" s="39" t="str">
        <f t="shared" si="0"/>
        <v/>
      </c>
      <c r="E33" s="40" t="str">
        <f t="shared" si="1"/>
        <v/>
      </c>
    </row>
    <row r="34" spans="1:5" x14ac:dyDescent="0.25">
      <c r="A34" s="33" t="s">
        <v>93</v>
      </c>
      <c r="B34" s="38" t="str">
        <f>IF(AND($H$3=1,N(B26)&gt;0),B33/B26,"")</f>
        <v/>
      </c>
      <c r="C34" s="38" t="str">
        <f>IF('04-أبريل'!$B$34="","",'04-أبريل'!$B$34)</f>
        <v/>
      </c>
      <c r="D34" s="38" t="str">
        <f t="shared" si="0"/>
        <v/>
      </c>
      <c r="E34" s="38"/>
    </row>
    <row r="35" spans="1:5" x14ac:dyDescent="0.25">
      <c r="A35" s="33" t="s">
        <v>94</v>
      </c>
      <c r="B35" s="31" t="str">
        <f>IF($H$3=1,$H$4,"")</f>
        <v/>
      </c>
      <c r="C35" s="31" t="str">
        <f>IF('04-أبريل'!$B$35="","",'04-أبريل'!$B$35)</f>
        <v/>
      </c>
      <c r="D35" s="31" t="str">
        <f t="shared" si="0"/>
        <v/>
      </c>
      <c r="E35" s="38" t="str">
        <f>IF(AND(ISNUMBER(B35),ISNUMBER(C35)),IF(C35&lt;&gt;0,(B35-C35)/ABS(C35),""),"")</f>
        <v/>
      </c>
    </row>
    <row r="36" spans="1:5" x14ac:dyDescent="0.25">
      <c r="A36" s="35" t="s">
        <v>95</v>
      </c>
      <c r="B36" s="37" t="str">
        <f>IF($H$3=1,B33+B35,"")</f>
        <v/>
      </c>
      <c r="C36" s="39" t="str">
        <f>IF('04-أبريل'!$B$36="","",'04-أبريل'!$B$36)</f>
        <v/>
      </c>
      <c r="D36" s="39" t="str">
        <f t="shared" si="0"/>
        <v/>
      </c>
      <c r="E36" s="40" t="str">
        <f>IF(AND(ISNUMBER(B36),ISNUMBER(C36)),IF(C36&lt;&gt;0,(B36-C36)/ABS(C36),""),"")</f>
        <v/>
      </c>
    </row>
    <row r="37" spans="1:5" x14ac:dyDescent="0.25">
      <c r="A37" s="33" t="s">
        <v>96</v>
      </c>
      <c r="B37" s="31">
        <f>IF(ISNUMBER(C9),C9,"")</f>
        <v>3691.04</v>
      </c>
      <c r="C37" s="31">
        <f>IF('04-أبريل'!$B$37="","",'04-أبريل'!$B$37)</f>
        <v>2941.2</v>
      </c>
      <c r="D37" s="31">
        <f t="shared" si="0"/>
        <v>749.84000000000015</v>
      </c>
      <c r="E37" s="38">
        <f>IF(AND(ISNUMBER(B37),ISNUMBER(C37)),IF(C37&lt;&gt;0,(B37-C37)/ABS(C37),""),"")</f>
        <v>0.25494356045151645</v>
      </c>
    </row>
    <row r="39" spans="1:5" ht="19.5" customHeight="1" x14ac:dyDescent="0.25">
      <c r="A39" s="12" t="s">
        <v>97</v>
      </c>
      <c r="B39" s="12"/>
      <c r="C39" s="12"/>
      <c r="D39" s="12"/>
      <c r="E39" s="12"/>
    </row>
    <row r="40" spans="1:5" x14ac:dyDescent="0.25">
      <c r="A40" s="21" t="s">
        <v>98</v>
      </c>
      <c r="B40" s="21" t="s">
        <v>99</v>
      </c>
      <c r="C40" s="21" t="s">
        <v>100</v>
      </c>
      <c r="D40" s="21" t="s">
        <v>101</v>
      </c>
      <c r="E40" s="21" t="s">
        <v>85</v>
      </c>
    </row>
    <row r="41" spans="1:5" x14ac:dyDescent="0.25">
      <c r="A41" s="17" t="s">
        <v>102</v>
      </c>
      <c r="B41" s="38">
        <f>IF(AND(ISNUMBER(B32),N(B26)&gt;0),B32/B26,"")</f>
        <v>0.15918302374276025</v>
      </c>
      <c r="C41" s="38">
        <f>IF('04-أبريل'!$B$41="","",'04-أبريل'!$B$41)</f>
        <v>0.230192391910781</v>
      </c>
      <c r="D41" s="38">
        <f>IF(AND(ISNUMBER(B41),ISNUMBER(C41)),B41-C41,"")</f>
        <v>-7.1009368168020753E-2</v>
      </c>
      <c r="E41" s="38"/>
    </row>
    <row r="42" spans="1:5" x14ac:dyDescent="0.25">
      <c r="A42" s="17" t="s">
        <v>103</v>
      </c>
      <c r="B42" s="38" t="str">
        <f>IF(AND(ISNUMBER(B30),N(B26)&gt;0),B30/B26,"")</f>
        <v/>
      </c>
      <c r="C42" s="38" t="str">
        <f>IF('04-أبريل'!$B$42="","",'04-أبريل'!$B$42)</f>
        <v/>
      </c>
      <c r="D42" s="38" t="str">
        <f>IF(AND(ISNUMBER(B42),ISNUMBER(C42)),B42-C42,"")</f>
        <v/>
      </c>
      <c r="E42" s="38"/>
    </row>
    <row r="43" spans="1:5" x14ac:dyDescent="0.25">
      <c r="A43" s="17" t="s">
        <v>104</v>
      </c>
      <c r="B43" s="31" t="str">
        <f>IF(ISNUMBER(C22),C22,"")</f>
        <v/>
      </c>
      <c r="C43" s="31" t="str">
        <f>IF('04-أبريل'!$B$43="","",'04-أبريل'!$B$43)</f>
        <v/>
      </c>
      <c r="D43" s="31" t="str">
        <f>IF(AND(ISNUMBER(B43),ISNUMBER(C43)),B43-C43,"")</f>
        <v/>
      </c>
      <c r="E43" s="38" t="str">
        <f>IF(AND(ISNUMBER(B43),ISNUMBER(C43)),IF(C43&lt;&gt;0,(B43-C43)/ABS(C43),""),"")</f>
        <v/>
      </c>
    </row>
    <row r="44" spans="1:5" x14ac:dyDescent="0.25">
      <c r="A44" s="17" t="s">
        <v>105</v>
      </c>
      <c r="B44" s="38" t="str">
        <f>IF(AND(ISNUMBER(C22),$B$2&gt;0),IF(C22&gt;0,(D21/$B$2)/C22,""),"")</f>
        <v/>
      </c>
      <c r="C44" s="38" t="str">
        <f>IF('04-أبريل'!$B$44="","",'04-أبريل'!$B$44)</f>
        <v/>
      </c>
      <c r="D44" s="38" t="str">
        <f>IF(AND(ISNUMBER(B44),ISNUMBER(C44)),B44-C44,"")</f>
        <v/>
      </c>
      <c r="E44" s="38"/>
    </row>
    <row r="45" spans="1:5" x14ac:dyDescent="0.25">
      <c r="A45" s="17" t="s">
        <v>106</v>
      </c>
      <c r="B45" s="31">
        <f>IF(ISNUMBER(D17),D17,"")</f>
        <v>2935.6400000000012</v>
      </c>
      <c r="C45" s="31">
        <f>IF('04-أبريل'!$B$45="","",'04-أبريل'!$B$45)</f>
        <v>1482.88</v>
      </c>
      <c r="D45" s="31">
        <f>IF(AND(ISNUMBER(B45),ISNUMBER(C45)),B45-C45,"")</f>
        <v>1452.7600000000011</v>
      </c>
      <c r="E45" s="38">
        <f>IF(AND(ISNUMBER(B45),ISNUMBER(C45)),IF(C45&lt;&gt;0,(B45-C45)/ABS(C45),""),"")</f>
        <v>0.97968817436340161</v>
      </c>
    </row>
    <row r="47" spans="1:5" ht="15" customHeight="1" x14ac:dyDescent="0.25">
      <c r="A47" s="11" t="s">
        <v>107</v>
      </c>
      <c r="B47" s="11"/>
      <c r="C47" s="11"/>
      <c r="D47" s="11"/>
      <c r="E47" s="11"/>
    </row>
    <row r="48" spans="1:5" x14ac:dyDescent="0.25">
      <c r="A48" s="11"/>
      <c r="B48" s="11"/>
      <c r="C48" s="11"/>
      <c r="D48" s="11"/>
      <c r="E48" s="11"/>
    </row>
  </sheetData>
  <mergeCells count="16">
    <mergeCell ref="A47:E48"/>
    <mergeCell ref="A19:E19"/>
    <mergeCell ref="A22:B22"/>
    <mergeCell ref="D22:E22"/>
    <mergeCell ref="A24:E24"/>
    <mergeCell ref="A39:E39"/>
    <mergeCell ref="D6:E6"/>
    <mergeCell ref="D7:E7"/>
    <mergeCell ref="D8:E8"/>
    <mergeCell ref="D9:E9"/>
    <mergeCell ref="A11:E11"/>
    <mergeCell ref="A1:E1"/>
    <mergeCell ref="D2:E2"/>
    <mergeCell ref="A3:E3"/>
    <mergeCell ref="A4:E4"/>
    <mergeCell ref="D5:E5"/>
  </mergeCells>
  <conditionalFormatting sqref="A3">
    <cfRule type="expression" dxfId="49" priority="2">
      <formula>LEFT($A$3,1)="⚠"</formula>
    </cfRule>
    <cfRule type="expression" dxfId="48" priority="3">
      <formula>LEFT($A$3,1)="✅"</formula>
    </cfRule>
    <cfRule type="expression" dxfId="47" priority="4">
      <formula>LEFT($A$3,1)="ℹ"</formula>
    </cfRule>
  </conditionalFormatting>
  <conditionalFormatting sqref="A21:E21">
    <cfRule type="expression" dxfId="46" priority="7">
      <formula>OR($H$10=1,$H$11=1,$H$12=1)</formula>
    </cfRule>
  </conditionalFormatting>
  <conditionalFormatting sqref="D2">
    <cfRule type="expression" dxfId="45" priority="5">
      <formula>LEFT($D$2,1)="✅"</formula>
    </cfRule>
    <cfRule type="expression" dxfId="44" priority="6">
      <formula>LEFT($D$2,1)="⚠"</formula>
    </cfRule>
  </conditionalFormatting>
  <dataValidations count="1">
    <dataValidation type="decimal" operator="greaterThanOrEqual" allowBlank="1" errorTitle="قيمة غير صالحة" error="أدخل رقمًا موجبًا (بالليرة السورية)." sqref="B6:B8 B13:C15" xr:uid="{00000000-0002-0000-0500-000000000000}">
      <formula1>0</formula1>
      <formula2>0</formula2>
    </dataValidation>
  </dataValidations>
  <printOptions horizontalCentered="1"/>
  <pageMargins left="0.4" right="0.4" top="0.5" bottom="0.6" header="0.511811023622047" footer="0.5"/>
  <pageSetup paperSize="9" orientation="portrait" horizontalDpi="300" verticalDpi="300"/>
  <headerFooter>
    <oddFooter>&amp;C&amp;8 &amp;A  —  صفحة &amp;P من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D8C"/>
    <pageSetUpPr fitToPage="1"/>
  </sheetPr>
  <dimension ref="A1:H48"/>
  <sheetViews>
    <sheetView showGridLines="0" rightToLeft="1" zoomScaleNormal="100" workbookViewId="0">
      <pane ySplit="3" topLeftCell="A14" activePane="bottomLeft" state="frozen"/>
      <selection pane="bottomLeft" activeCell="A21" sqref="A21:E21"/>
    </sheetView>
  </sheetViews>
  <sheetFormatPr defaultColWidth="8.7109375" defaultRowHeight="15" x14ac:dyDescent="0.25"/>
  <cols>
    <col min="1" max="1" width="40" customWidth="1"/>
    <col min="2" max="4" width="19" customWidth="1"/>
    <col min="5" max="5" width="14" customWidth="1"/>
    <col min="6" max="6" width="3" customWidth="1"/>
    <col min="7" max="7" width="38" customWidth="1"/>
    <col min="8" max="8" width="16" customWidth="1"/>
  </cols>
  <sheetData>
    <row r="1" spans="1:8" ht="31.5" customHeight="1" x14ac:dyDescent="0.25">
      <c r="A1" s="14" t="s">
        <v>112</v>
      </c>
      <c r="B1" s="14"/>
      <c r="C1" s="14"/>
      <c r="D1" s="14"/>
      <c r="E1" s="14"/>
      <c r="G1" s="19" t="s">
        <v>38</v>
      </c>
    </row>
    <row r="2" spans="1:8" x14ac:dyDescent="0.25">
      <c r="A2" s="17" t="s">
        <v>39</v>
      </c>
      <c r="B2" s="27">
        <f>IF(ISNUMBER('لوحة التحكم'!$C$15),'لوحة التحكم'!$C$15,0)</f>
        <v>13200</v>
      </c>
      <c r="C2" s="28" t="s">
        <v>12</v>
      </c>
      <c r="D2" s="5" t="str">
        <f>$H$6</f>
        <v>ℹ ربح تقديري فقط</v>
      </c>
      <c r="E2" s="5"/>
      <c r="G2" s="19" t="s">
        <v>40</v>
      </c>
      <c r="H2" s="41">
        <f>'05-مايو'!$B$2</f>
        <v>12500</v>
      </c>
    </row>
    <row r="3" spans="1:8" ht="36" customHeight="1" x14ac:dyDescent="0.25">
      <c r="A3" s="10" t="str">
        <f>IF($H$5=0,"لا توجد بيانات لهذا الشهر بعد — أدخل المدخلات أدناه",IF($H$13&gt;0,(IF($H$7=1,"⚠ سعر الصرف غير مُدخل في لوحة التحكم.  ","")&amp;IF($H$8=1,"⚠ أكمل المبيعات والمشتريات والمصاريف.  ","")&amp;IF($H$9=1,"⚠ الصق بيانات المستودع في فقرة «بيانات المستودع».  ","")&amp;IF($H$10=1,"⚠ الصف الملصوق يخص شهرًا آخر.  ","")&amp;IF($H$11=1,"⚠ سعر صرف المستودع ("&amp;$B$21&amp;") يختلف عن سعر لوحة التحكم ("&amp;$B$2&amp;").  ","")&amp;IF($H$12=1,"⚠ ملف المستودع فيه أصناف بها أخطاء (العدد: "&amp;$E$21&amp;") — صحّحها ثم أعد التصدير.","")),IF($H$3=1,"✅ البيانات مكتملة — الربح الحقيقي محسوب","ℹ الربح الحقيقي غير متاح (يلزم مخزون هذا الشهر والشهر السابق وسعر صرف الشهرين) — المعروض ربح تقديري فقط")))</f>
        <v>ℹ الربح الحقيقي غير متاح (يلزم مخزون هذا الشهر والشهر السابق وسعر صرف الشهرين) — المعروض ربح تقديري فقط</v>
      </c>
      <c r="B3" s="10"/>
      <c r="C3" s="10"/>
      <c r="D3" s="10"/>
      <c r="E3" s="10"/>
      <c r="G3" s="19" t="s">
        <v>41</v>
      </c>
      <c r="H3" s="29">
        <f>IF(AND($B$2&gt;0,H2&gt;0,COUNT(B6:B8)=3,ISNUMBER(C22),ISNUMBER('05-مايو'!$C$22),ISNUMBER('05-مايو'!$D$21)),1,0)</f>
        <v>0</v>
      </c>
    </row>
    <row r="4" spans="1:8" ht="19.5" customHeight="1" x14ac:dyDescent="0.25">
      <c r="A4" s="12" t="s">
        <v>42</v>
      </c>
      <c r="B4" s="12"/>
      <c r="C4" s="12"/>
      <c r="D4" s="12"/>
      <c r="E4" s="12"/>
      <c r="G4" s="19" t="s">
        <v>43</v>
      </c>
      <c r="H4" s="29">
        <f>IF(H3=1,'05-مايو'!$D$21*(1/$B$2-1/H2),0)</f>
        <v>0</v>
      </c>
    </row>
    <row r="5" spans="1:8" ht="15" customHeight="1" x14ac:dyDescent="0.25">
      <c r="A5" s="21" t="s">
        <v>44</v>
      </c>
      <c r="B5" s="21" t="s">
        <v>45</v>
      </c>
      <c r="C5" s="21" t="s">
        <v>46</v>
      </c>
      <c r="D5" s="4" t="s">
        <v>47</v>
      </c>
      <c r="E5" s="4"/>
      <c r="G5" s="19" t="s">
        <v>48</v>
      </c>
      <c r="H5" s="29">
        <f>IF(COUNTA(B6:B8,B13:C15,A21:E21)&gt;0,1,0)</f>
        <v>1</v>
      </c>
    </row>
    <row r="6" spans="1:8" ht="19.350000000000001" customHeight="1" x14ac:dyDescent="0.25">
      <c r="A6" s="17" t="s">
        <v>30</v>
      </c>
      <c r="B6" s="30">
        <v>197424000</v>
      </c>
      <c r="C6" s="31">
        <f>IF(AND(ISNUMBER(B6),$B$2&gt;0),B6/$B$2,"")</f>
        <v>14956.363636363636</v>
      </c>
      <c r="D6" s="3" t="s">
        <v>49</v>
      </c>
      <c r="E6" s="3"/>
      <c r="G6" s="19" t="s">
        <v>12</v>
      </c>
      <c r="H6" s="29" t="str">
        <f>IF(H5=0,"لا بيانات",IF(H3=1,IF(H13=0,"✅ جاهز — ربح حقيقي","⚠ ربح حقيقي مع تنبيهات"),IF(H13&gt;0,"⚠ تنبيهات — راجع الصفحة",IF(COUNT(B6:B8)=3,"ℹ ربح تقديري فقط","⚠ بيانات ناقصة"))))</f>
        <v>ℹ ربح تقديري فقط</v>
      </c>
    </row>
    <row r="7" spans="1:8" ht="15" customHeight="1" x14ac:dyDescent="0.25">
      <c r="A7" s="17" t="s">
        <v>50</v>
      </c>
      <c r="B7" s="30">
        <v>61619000</v>
      </c>
      <c r="C7" s="31">
        <f>IF(AND(ISNUMBER(B7),$B$2&gt;0),B7/$B$2,"")</f>
        <v>4668.106060606061</v>
      </c>
      <c r="D7" s="3" t="s">
        <v>51</v>
      </c>
      <c r="E7" s="3"/>
      <c r="G7" s="19" t="s">
        <v>52</v>
      </c>
      <c r="H7" s="29">
        <f>IF(AND(H5=1,$B$2&lt;=0),1,0)</f>
        <v>0</v>
      </c>
    </row>
    <row r="8" spans="1:8" ht="15" customHeight="1" x14ac:dyDescent="0.25">
      <c r="A8" s="17" t="s">
        <v>33</v>
      </c>
      <c r="B8" s="30">
        <v>32391000</v>
      </c>
      <c r="C8" s="31">
        <f>IF(AND(ISNUMBER(B8),$B$2&gt;0),B8/$B$2,"")</f>
        <v>2453.8636363636365</v>
      </c>
      <c r="D8" s="3" t="s">
        <v>53</v>
      </c>
      <c r="E8" s="3"/>
      <c r="G8" s="19" t="s">
        <v>54</v>
      </c>
      <c r="H8" s="29">
        <f>IF(AND(H5=1,COUNT(B6:B8)&lt;3),1,0)</f>
        <v>0</v>
      </c>
    </row>
    <row r="9" spans="1:8" ht="15" customHeight="1" x14ac:dyDescent="0.25">
      <c r="A9" s="17" t="s">
        <v>55</v>
      </c>
      <c r="B9" s="32">
        <f>IF(COUNT(B6:B8)=3,B6-B7-B8,"")</f>
        <v>103414000</v>
      </c>
      <c r="C9" s="31">
        <f>IF(AND(ISNUMBER(B9),$B$2&gt;0),B9/$B$2,"")</f>
        <v>7834.393939393939</v>
      </c>
      <c r="D9" s="3" t="s">
        <v>56</v>
      </c>
      <c r="E9" s="3"/>
      <c r="G9" s="19" t="s">
        <v>57</v>
      </c>
      <c r="H9" s="29">
        <f>IF(AND(H5=1,H15&gt;=H14,NOT(AND(ISNUMBER(C21),ISNUMBER(D21)))),1,0)</f>
        <v>0</v>
      </c>
    </row>
    <row r="10" spans="1:8" x14ac:dyDescent="0.25">
      <c r="G10" s="19" t="s">
        <v>58</v>
      </c>
      <c r="H10" s="29">
        <f>IF(AND(ISNUMBER(A21),A21&lt;&gt;H15),1,0)</f>
        <v>0</v>
      </c>
    </row>
    <row r="11" spans="1:8" ht="19.5" customHeight="1" x14ac:dyDescent="0.25">
      <c r="A11" s="12" t="s">
        <v>59</v>
      </c>
      <c r="B11" s="12"/>
      <c r="C11" s="12"/>
      <c r="D11" s="12"/>
      <c r="E11" s="12"/>
      <c r="G11" s="19" t="s">
        <v>60</v>
      </c>
      <c r="H11" s="29">
        <f>IF(AND(ISNUMBER(B21),$B$2&gt;0,ABS(B21-$B$2)&gt;0.5),1,0)</f>
        <v>0</v>
      </c>
    </row>
    <row r="12" spans="1:8" x14ac:dyDescent="0.25">
      <c r="A12" s="21" t="s">
        <v>44</v>
      </c>
      <c r="B12" s="21" t="s">
        <v>61</v>
      </c>
      <c r="C12" s="21" t="s">
        <v>62</v>
      </c>
      <c r="D12" s="21" t="s">
        <v>63</v>
      </c>
      <c r="E12" s="21"/>
      <c r="G12" s="19" t="s">
        <v>64</v>
      </c>
      <c r="H12" s="29">
        <f>IF(N(E21)&gt;0,1,0)</f>
        <v>0</v>
      </c>
    </row>
    <row r="13" spans="1:8" x14ac:dyDescent="0.25">
      <c r="A13" s="17" t="s">
        <v>65</v>
      </c>
      <c r="B13" s="30">
        <v>584000</v>
      </c>
      <c r="C13" s="30">
        <v>686</v>
      </c>
      <c r="D13" s="31">
        <f>IF(AND(ISNUMBER(B13),ISNUMBER(C13),$B$2&gt;0),B13/$B$2+C13,"")</f>
        <v>730.24242424242425</v>
      </c>
      <c r="E13" s="33"/>
      <c r="G13" s="19" t="s">
        <v>66</v>
      </c>
      <c r="H13" s="29">
        <f>SUM(H7:H12)</f>
        <v>0</v>
      </c>
    </row>
    <row r="14" spans="1:8" x14ac:dyDescent="0.25">
      <c r="A14" s="17" t="s">
        <v>67</v>
      </c>
      <c r="B14" s="30">
        <v>35652000</v>
      </c>
      <c r="C14" s="30">
        <v>11283</v>
      </c>
      <c r="D14" s="31">
        <f>IF(AND(ISNUMBER(B14),ISNUMBER(C14),$B$2&gt;0),B14/$B$2+C14,"")</f>
        <v>13983.909090909092</v>
      </c>
      <c r="E14" s="33"/>
      <c r="G14" s="19" t="s">
        <v>68</v>
      </c>
      <c r="H14" s="34">
        <f>'لوحة التحكم'!$C$6</f>
        <v>6</v>
      </c>
    </row>
    <row r="15" spans="1:8" x14ac:dyDescent="0.25">
      <c r="A15" s="17" t="s">
        <v>69</v>
      </c>
      <c r="B15" s="30">
        <v>6647000</v>
      </c>
      <c r="C15" s="30">
        <v>5101</v>
      </c>
      <c r="D15" s="31">
        <f>IF(AND(ISNUMBER(B15),ISNUMBER(C15),$B$2&gt;0),B15/$B$2+C15,"")</f>
        <v>5604.560606060606</v>
      </c>
      <c r="E15" s="33"/>
      <c r="G15" s="19" t="s">
        <v>70</v>
      </c>
      <c r="H15" s="29">
        <v>6</v>
      </c>
    </row>
    <row r="16" spans="1:8" x14ac:dyDescent="0.25">
      <c r="A16" s="17" t="s">
        <v>71</v>
      </c>
      <c r="B16" s="32">
        <f>IF(AND(ISNUMBER(B14),ISNUMBER(B15)),B14-B15,"")</f>
        <v>29005000</v>
      </c>
      <c r="C16" s="32">
        <f>IF(AND(ISNUMBER(C14),ISNUMBER(C15)),C14-C15,"")</f>
        <v>6182</v>
      </c>
      <c r="D16" s="31">
        <f>IF(AND(ISNUMBER(D14),ISNUMBER(D15)),D14-D15,"")</f>
        <v>8379.3484848484859</v>
      </c>
      <c r="E16" s="33"/>
    </row>
    <row r="17" spans="1:5" x14ac:dyDescent="0.25">
      <c r="A17" s="35" t="s">
        <v>72</v>
      </c>
      <c r="B17" s="36"/>
      <c r="C17" s="36"/>
      <c r="D17" s="37">
        <f>IF(AND(ISNUMBER(D13),ISNUMBER(D16)),D13+D16,"")</f>
        <v>9109.5909090909099</v>
      </c>
      <c r="E17" s="36"/>
    </row>
    <row r="19" spans="1:5" ht="19.5" customHeight="1" x14ac:dyDescent="0.25">
      <c r="A19" s="12" t="s">
        <v>73</v>
      </c>
      <c r="B19" s="12"/>
      <c r="C19" s="12"/>
      <c r="D19" s="12"/>
      <c r="E19" s="12"/>
    </row>
    <row r="20" spans="1:5" ht="30" customHeight="1" x14ac:dyDescent="0.25">
      <c r="A20" s="21" t="s">
        <v>74</v>
      </c>
      <c r="B20" s="21" t="s">
        <v>75</v>
      </c>
      <c r="C20" s="21" t="s">
        <v>76</v>
      </c>
      <c r="D20" s="21" t="s">
        <v>77</v>
      </c>
      <c r="E20" s="21" t="s">
        <v>78</v>
      </c>
    </row>
    <row r="21" spans="1:5" x14ac:dyDescent="0.25">
      <c r="A21" s="20">
        <v>6</v>
      </c>
      <c r="B21" s="30">
        <v>13200</v>
      </c>
      <c r="C21" s="30">
        <v>29259.8</v>
      </c>
      <c r="D21" s="30">
        <v>204304214</v>
      </c>
      <c r="E21" s="30">
        <v>0</v>
      </c>
    </row>
    <row r="22" spans="1:5" ht="15" customHeight="1" x14ac:dyDescent="0.25">
      <c r="A22" s="2" t="s">
        <v>79</v>
      </c>
      <c r="B22" s="2"/>
      <c r="C22" s="37">
        <f>IF(AND(ISNUMBER(C21),ISNUMBER(D21),$B$2&gt;0),C21+D21/$B$2,"")</f>
        <v>44737.391969696968</v>
      </c>
      <c r="D22" s="3" t="s">
        <v>80</v>
      </c>
      <c r="E22" s="3"/>
    </row>
    <row r="24" spans="1:5" ht="19.5" customHeight="1" x14ac:dyDescent="0.25">
      <c r="A24" s="1" t="s">
        <v>81</v>
      </c>
      <c r="B24" s="1"/>
      <c r="C24" s="1"/>
      <c r="D24" s="1"/>
      <c r="E24" s="1"/>
    </row>
    <row r="25" spans="1:5" x14ac:dyDescent="0.25">
      <c r="A25" s="21" t="s">
        <v>44</v>
      </c>
      <c r="B25" s="21" t="s">
        <v>82</v>
      </c>
      <c r="C25" s="21" t="s">
        <v>83</v>
      </c>
      <c r="D25" s="21" t="s">
        <v>84</v>
      </c>
      <c r="E25" s="21" t="s">
        <v>85</v>
      </c>
    </row>
    <row r="26" spans="1:5" x14ac:dyDescent="0.25">
      <c r="A26" s="33" t="s">
        <v>30</v>
      </c>
      <c r="B26" s="31">
        <f>IF(ISNUMBER(C6),C6,"")</f>
        <v>14956.363636363636</v>
      </c>
      <c r="C26" s="31">
        <f>IF('05-مايو'!$B$26="","",'05-مايو'!$B$26)</f>
        <v>13066.72</v>
      </c>
      <c r="D26" s="31">
        <f t="shared" ref="D26:D37" si="0">IF(AND(ISNUMBER(B26),ISNUMBER(C26)),B26-C26,"")</f>
        <v>1889.6436363636367</v>
      </c>
      <c r="E26" s="38">
        <f t="shared" ref="E26:E33" si="1">IF(AND(ISNUMBER(B26),ISNUMBER(C26)),IF(C26&lt;&gt;0,(B26-C26)/ABS(C26),""),"")</f>
        <v>0.14461499415030221</v>
      </c>
    </row>
    <row r="27" spans="1:5" x14ac:dyDescent="0.25">
      <c r="A27" s="33" t="s">
        <v>86</v>
      </c>
      <c r="B27" s="31" t="str">
        <f>IF($H$3=1,'05-مايو'!$C$22,"")</f>
        <v/>
      </c>
      <c r="C27" s="31" t="str">
        <f>IF('05-مايو'!$B$27="","",'05-مايو'!$B$27)</f>
        <v/>
      </c>
      <c r="D27" s="31" t="str">
        <f t="shared" si="0"/>
        <v/>
      </c>
      <c r="E27" s="38" t="str">
        <f t="shared" si="1"/>
        <v/>
      </c>
    </row>
    <row r="28" spans="1:5" x14ac:dyDescent="0.25">
      <c r="A28" s="33" t="s">
        <v>87</v>
      </c>
      <c r="B28" s="31">
        <f>IF(ISNUMBER(C7),C7,"")</f>
        <v>4668.106060606061</v>
      </c>
      <c r="C28" s="31">
        <f>IF('05-مايو'!$B$28="","",'05-مايو'!$B$28)</f>
        <v>7295.68</v>
      </c>
      <c r="D28" s="31">
        <f t="shared" si="0"/>
        <v>-2627.5739393939393</v>
      </c>
      <c r="E28" s="38">
        <f t="shared" si="1"/>
        <v>-0.36015476821817011</v>
      </c>
    </row>
    <row r="29" spans="1:5" x14ac:dyDescent="0.25">
      <c r="A29" s="33" t="s">
        <v>88</v>
      </c>
      <c r="B29" s="31" t="str">
        <f>IF($H$3=1,C22-$H$4,"")</f>
        <v/>
      </c>
      <c r="C29" s="31" t="str">
        <f>IF('05-مايو'!$B$29="","",'05-مايو'!$B$29)</f>
        <v/>
      </c>
      <c r="D29" s="31" t="str">
        <f t="shared" si="0"/>
        <v/>
      </c>
      <c r="E29" s="38" t="str">
        <f t="shared" si="1"/>
        <v/>
      </c>
    </row>
    <row r="30" spans="1:5" x14ac:dyDescent="0.25">
      <c r="A30" s="17" t="s">
        <v>89</v>
      </c>
      <c r="B30" s="31" t="str">
        <f>IF($H$3=1,B27+B28-B29,"")</f>
        <v/>
      </c>
      <c r="C30" s="31" t="str">
        <f>IF('05-مايو'!$B$30="","",'05-مايو'!$B$30)</f>
        <v/>
      </c>
      <c r="D30" s="31" t="str">
        <f t="shared" si="0"/>
        <v/>
      </c>
      <c r="E30" s="38" t="str">
        <f t="shared" si="1"/>
        <v/>
      </c>
    </row>
    <row r="31" spans="1:5" x14ac:dyDescent="0.25">
      <c r="A31" s="17" t="s">
        <v>90</v>
      </c>
      <c r="B31" s="31" t="str">
        <f>IF($H$3=1,B26-B30,"")</f>
        <v/>
      </c>
      <c r="C31" s="31" t="str">
        <f>IF('05-مايو'!$B$31="","",'05-مايو'!$B$31)</f>
        <v/>
      </c>
      <c r="D31" s="31" t="str">
        <f t="shared" si="0"/>
        <v/>
      </c>
      <c r="E31" s="38" t="str">
        <f t="shared" si="1"/>
        <v/>
      </c>
    </row>
    <row r="32" spans="1:5" x14ac:dyDescent="0.25">
      <c r="A32" s="33" t="s">
        <v>91</v>
      </c>
      <c r="B32" s="31">
        <f>IF(ISNUMBER(C8),C8,"")</f>
        <v>2453.8636363636365</v>
      </c>
      <c r="C32" s="31">
        <f>IF('05-مايو'!$B$32="","",'05-مايو'!$B$32)</f>
        <v>2080</v>
      </c>
      <c r="D32" s="31">
        <f t="shared" si="0"/>
        <v>373.86363636363649</v>
      </c>
      <c r="E32" s="38">
        <f t="shared" si="1"/>
        <v>0.17974213286713292</v>
      </c>
    </row>
    <row r="33" spans="1:5" x14ac:dyDescent="0.25">
      <c r="A33" s="35" t="s">
        <v>92</v>
      </c>
      <c r="B33" s="37" t="str">
        <f>IF($H$3=1,B31-B32,"")</f>
        <v/>
      </c>
      <c r="C33" s="39" t="str">
        <f>IF('05-مايو'!$B$33="","",'05-مايو'!$B$33)</f>
        <v/>
      </c>
      <c r="D33" s="39" t="str">
        <f t="shared" si="0"/>
        <v/>
      </c>
      <c r="E33" s="40" t="str">
        <f t="shared" si="1"/>
        <v/>
      </c>
    </row>
    <row r="34" spans="1:5" x14ac:dyDescent="0.25">
      <c r="A34" s="33" t="s">
        <v>93</v>
      </c>
      <c r="B34" s="38" t="str">
        <f>IF(AND($H$3=1,N(B26)&gt;0),B33/B26,"")</f>
        <v/>
      </c>
      <c r="C34" s="38" t="str">
        <f>IF('05-مايو'!$B$34="","",'05-مايو'!$B$34)</f>
        <v/>
      </c>
      <c r="D34" s="38" t="str">
        <f t="shared" si="0"/>
        <v/>
      </c>
      <c r="E34" s="38"/>
    </row>
    <row r="35" spans="1:5" x14ac:dyDescent="0.25">
      <c r="A35" s="33" t="s">
        <v>94</v>
      </c>
      <c r="B35" s="31" t="str">
        <f>IF($H$3=1,$H$4,"")</f>
        <v/>
      </c>
      <c r="C35" s="31" t="str">
        <f>IF('05-مايو'!$B$35="","",'05-مايو'!$B$35)</f>
        <v/>
      </c>
      <c r="D35" s="31" t="str">
        <f t="shared" si="0"/>
        <v/>
      </c>
      <c r="E35" s="38" t="str">
        <f>IF(AND(ISNUMBER(B35),ISNUMBER(C35)),IF(C35&lt;&gt;0,(B35-C35)/ABS(C35),""),"")</f>
        <v/>
      </c>
    </row>
    <row r="36" spans="1:5" x14ac:dyDescent="0.25">
      <c r="A36" s="35" t="s">
        <v>95</v>
      </c>
      <c r="B36" s="37" t="str">
        <f>IF($H$3=1,B33+B35,"")</f>
        <v/>
      </c>
      <c r="C36" s="39" t="str">
        <f>IF('05-مايو'!$B$36="","",'05-مايو'!$B$36)</f>
        <v/>
      </c>
      <c r="D36" s="39" t="str">
        <f t="shared" si="0"/>
        <v/>
      </c>
      <c r="E36" s="40" t="str">
        <f>IF(AND(ISNUMBER(B36),ISNUMBER(C36)),IF(C36&lt;&gt;0,(B36-C36)/ABS(C36),""),"")</f>
        <v/>
      </c>
    </row>
    <row r="37" spans="1:5" x14ac:dyDescent="0.25">
      <c r="A37" s="33" t="s">
        <v>96</v>
      </c>
      <c r="B37" s="31">
        <f>IF(ISNUMBER(C9),C9,"")</f>
        <v>7834.393939393939</v>
      </c>
      <c r="C37" s="31">
        <f>IF('05-مايو'!$B$37="","",'05-مايو'!$B$37)</f>
        <v>3691.04</v>
      </c>
      <c r="D37" s="31">
        <f t="shared" si="0"/>
        <v>4143.3539393939391</v>
      </c>
      <c r="E37" s="38">
        <f>IF(AND(ISNUMBER(B37),ISNUMBER(C37)),IF(C37&lt;&gt;0,(B37-C37)/ABS(C37),""),"")</f>
        <v>1.1225437652786041</v>
      </c>
    </row>
    <row r="39" spans="1:5" ht="19.5" customHeight="1" x14ac:dyDescent="0.25">
      <c r="A39" s="12" t="s">
        <v>97</v>
      </c>
      <c r="B39" s="12"/>
      <c r="C39" s="12"/>
      <c r="D39" s="12"/>
      <c r="E39" s="12"/>
    </row>
    <row r="40" spans="1:5" x14ac:dyDescent="0.25">
      <c r="A40" s="21" t="s">
        <v>98</v>
      </c>
      <c r="B40" s="21" t="s">
        <v>99</v>
      </c>
      <c r="C40" s="21" t="s">
        <v>100</v>
      </c>
      <c r="D40" s="21" t="s">
        <v>101</v>
      </c>
      <c r="E40" s="21" t="s">
        <v>85</v>
      </c>
    </row>
    <row r="41" spans="1:5" x14ac:dyDescent="0.25">
      <c r="A41" s="17" t="s">
        <v>102</v>
      </c>
      <c r="B41" s="38">
        <f>IF(AND(ISNUMBER(B32),N(B26)&gt;0),B32/B26,"")</f>
        <v>0.16406819839533188</v>
      </c>
      <c r="C41" s="38">
        <f>IF('05-مايو'!$B$41="","",'05-مايو'!$B$41)</f>
        <v>0.15918302374276025</v>
      </c>
      <c r="D41" s="38">
        <f>IF(AND(ISNUMBER(B41),ISNUMBER(C41)),B41-C41,"")</f>
        <v>4.8851746525716278E-3</v>
      </c>
      <c r="E41" s="38"/>
    </row>
    <row r="42" spans="1:5" x14ac:dyDescent="0.25">
      <c r="A42" s="17" t="s">
        <v>103</v>
      </c>
      <c r="B42" s="38" t="str">
        <f>IF(AND(ISNUMBER(B30),N(B26)&gt;0),B30/B26,"")</f>
        <v/>
      </c>
      <c r="C42" s="38" t="str">
        <f>IF('05-مايو'!$B$42="","",'05-مايو'!$B$42)</f>
        <v/>
      </c>
      <c r="D42" s="38" t="str">
        <f>IF(AND(ISNUMBER(B42),ISNUMBER(C42)),B42-C42,"")</f>
        <v/>
      </c>
      <c r="E42" s="38"/>
    </row>
    <row r="43" spans="1:5" x14ac:dyDescent="0.25">
      <c r="A43" s="17" t="s">
        <v>104</v>
      </c>
      <c r="B43" s="31">
        <f>IF(ISNUMBER(C22),C22,"")</f>
        <v>44737.391969696968</v>
      </c>
      <c r="C43" s="31" t="str">
        <f>IF('05-مايو'!$B$43="","",'05-مايو'!$B$43)</f>
        <v/>
      </c>
      <c r="D43" s="31" t="str">
        <f>IF(AND(ISNUMBER(B43),ISNUMBER(C43)),B43-C43,"")</f>
        <v/>
      </c>
      <c r="E43" s="38" t="str">
        <f>IF(AND(ISNUMBER(B43),ISNUMBER(C43)),IF(C43&lt;&gt;0,(B43-C43)/ABS(C43),""),"")</f>
        <v/>
      </c>
    </row>
    <row r="44" spans="1:5" x14ac:dyDescent="0.25">
      <c r="A44" s="17" t="s">
        <v>105</v>
      </c>
      <c r="B44" s="38">
        <f>IF(AND(ISNUMBER(C22),$B$2&gt;0),IF(C22&gt;0,(D21/$B$2)/C22,""),"")</f>
        <v>0.34596545056047906</v>
      </c>
      <c r="C44" s="38" t="str">
        <f>IF('05-مايو'!$B$44="","",'05-مايو'!$B$44)</f>
        <v/>
      </c>
      <c r="D44" s="38" t="str">
        <f>IF(AND(ISNUMBER(B44),ISNUMBER(C44)),B44-C44,"")</f>
        <v/>
      </c>
      <c r="E44" s="38"/>
    </row>
    <row r="45" spans="1:5" x14ac:dyDescent="0.25">
      <c r="A45" s="17" t="s">
        <v>106</v>
      </c>
      <c r="B45" s="31">
        <f>IF(ISNUMBER(D17),D17,"")</f>
        <v>9109.5909090909099</v>
      </c>
      <c r="C45" s="31">
        <f>IF('05-مايو'!$B$45="","",'05-مايو'!$B$45)</f>
        <v>2935.6400000000012</v>
      </c>
      <c r="D45" s="31">
        <f>IF(AND(ISNUMBER(B45),ISNUMBER(C45)),B45-C45,"")</f>
        <v>6173.9509090909087</v>
      </c>
      <c r="E45" s="38">
        <f>IF(AND(ISNUMBER(B45),ISNUMBER(C45)),IF(C45&lt;&gt;0,(B45-C45)/ABS(C45),""),"")</f>
        <v>2.1031021886508245</v>
      </c>
    </row>
    <row r="47" spans="1:5" ht="15" customHeight="1" x14ac:dyDescent="0.25">
      <c r="A47" s="11" t="s">
        <v>107</v>
      </c>
      <c r="B47" s="11"/>
      <c r="C47" s="11"/>
      <c r="D47" s="11"/>
      <c r="E47" s="11"/>
    </row>
    <row r="48" spans="1:5" x14ac:dyDescent="0.25">
      <c r="A48" s="11"/>
      <c r="B48" s="11"/>
      <c r="C48" s="11"/>
      <c r="D48" s="11"/>
      <c r="E48" s="11"/>
    </row>
  </sheetData>
  <mergeCells count="16">
    <mergeCell ref="A47:E48"/>
    <mergeCell ref="A19:E19"/>
    <mergeCell ref="A22:B22"/>
    <mergeCell ref="D22:E22"/>
    <mergeCell ref="A24:E24"/>
    <mergeCell ref="A39:E39"/>
    <mergeCell ref="D6:E6"/>
    <mergeCell ref="D7:E7"/>
    <mergeCell ref="D8:E8"/>
    <mergeCell ref="D9:E9"/>
    <mergeCell ref="A11:E11"/>
    <mergeCell ref="A1:E1"/>
    <mergeCell ref="D2:E2"/>
    <mergeCell ref="A3:E3"/>
    <mergeCell ref="A4:E4"/>
    <mergeCell ref="D5:E5"/>
  </mergeCells>
  <conditionalFormatting sqref="A3">
    <cfRule type="expression" dxfId="43" priority="2">
      <formula>LEFT($A$3,1)="⚠"</formula>
    </cfRule>
    <cfRule type="expression" dxfId="42" priority="3">
      <formula>LEFT($A$3,1)="✅"</formula>
    </cfRule>
    <cfRule type="expression" dxfId="41" priority="4">
      <formula>LEFT($A$3,1)="ℹ"</formula>
    </cfRule>
  </conditionalFormatting>
  <conditionalFormatting sqref="A21:E21">
    <cfRule type="expression" dxfId="40" priority="7">
      <formula>OR($H$10=1,$H$11=1,$H$12=1)</formula>
    </cfRule>
  </conditionalFormatting>
  <conditionalFormatting sqref="D2">
    <cfRule type="expression" dxfId="39" priority="5">
      <formula>LEFT($D$2,1)="✅"</formula>
    </cfRule>
    <cfRule type="expression" dxfId="38" priority="6">
      <formula>LEFT($D$2,1)="⚠"</formula>
    </cfRule>
  </conditionalFormatting>
  <dataValidations count="1">
    <dataValidation type="decimal" operator="greaterThanOrEqual" allowBlank="1" errorTitle="قيمة غير صالحة" error="أدخل رقمًا موجبًا (بالليرة السورية)." sqref="B6:B8 B13:C15" xr:uid="{00000000-0002-0000-0600-000000000000}">
      <formula1>0</formula1>
      <formula2>0</formula2>
    </dataValidation>
  </dataValidations>
  <printOptions horizontalCentered="1"/>
  <pageMargins left="0.4" right="0.4" top="0.5" bottom="0.6" header="0.511811023622047" footer="0.5"/>
  <pageSetup paperSize="9" orientation="portrait" horizontalDpi="300" verticalDpi="300"/>
  <headerFooter>
    <oddFooter>&amp;C&amp;8 &amp;A  —  صفحة &amp;P من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D8C"/>
    <pageSetUpPr fitToPage="1"/>
  </sheetPr>
  <dimension ref="A1:H48"/>
  <sheetViews>
    <sheetView showGridLines="0" rightToLeft="1" zoomScaleNormal="100" workbookViewId="0">
      <pane ySplit="3" topLeftCell="A10" activePane="bottomLeft" state="frozen"/>
      <selection pane="bottomLeft" activeCell="A21" sqref="A21:E21"/>
    </sheetView>
  </sheetViews>
  <sheetFormatPr defaultColWidth="8.7109375" defaultRowHeight="15" x14ac:dyDescent="0.25"/>
  <cols>
    <col min="1" max="1" width="40" customWidth="1"/>
    <col min="2" max="4" width="19" customWidth="1"/>
    <col min="5" max="5" width="14" customWidth="1"/>
    <col min="6" max="6" width="3" customWidth="1"/>
    <col min="7" max="7" width="38" customWidth="1"/>
    <col min="8" max="8" width="16" customWidth="1"/>
  </cols>
  <sheetData>
    <row r="1" spans="1:8" ht="31.5" customHeight="1" x14ac:dyDescent="0.25">
      <c r="A1" s="14" t="s">
        <v>113</v>
      </c>
      <c r="B1" s="14"/>
      <c r="C1" s="14"/>
      <c r="D1" s="14"/>
      <c r="E1" s="14"/>
      <c r="G1" s="19" t="s">
        <v>38</v>
      </c>
    </row>
    <row r="2" spans="1:8" x14ac:dyDescent="0.25">
      <c r="A2" s="17" t="s">
        <v>39</v>
      </c>
      <c r="B2" s="27">
        <f>IF(ISNUMBER('لوحة التحكم'!$C$16),'لوحة التحكم'!$C$16,0)</f>
        <v>13300</v>
      </c>
      <c r="C2" s="28" t="s">
        <v>12</v>
      </c>
      <c r="D2" s="5" t="str">
        <f>$H$6</f>
        <v>✅ جاهز — ربح حقيقي</v>
      </c>
      <c r="E2" s="5"/>
      <c r="G2" s="19" t="s">
        <v>40</v>
      </c>
      <c r="H2" s="41">
        <f>'06-يونيو'!$B$2</f>
        <v>13200</v>
      </c>
    </row>
    <row r="3" spans="1:8" ht="36" customHeight="1" x14ac:dyDescent="0.25">
      <c r="A3" s="10" t="str">
        <f>IF($H$5=0,"لا توجد بيانات لهذا الشهر بعد — أدخل المدخلات أدناه",IF($H$13&gt;0,(IF($H$7=1,"⚠ سعر الصرف غير مُدخل في لوحة التحكم.  ","")&amp;IF($H$8=1,"⚠ أكمل المبيعات والمشتريات والمصاريف.  ","")&amp;IF($H$9=1,"⚠ الصق بيانات المستودع في فقرة «بيانات المستودع».  ","")&amp;IF($H$10=1,"⚠ الصف الملصوق يخص شهرًا آخر.  ","")&amp;IF($H$11=1,"⚠ سعر صرف المستودع ("&amp;$B$21&amp;") يختلف عن سعر لوحة التحكم ("&amp;$B$2&amp;").  ","")&amp;IF($H$12=1,"⚠ ملف المستودع فيه أصناف بها أخطاء (العدد: "&amp;$E$21&amp;") — صحّحها ثم أعد التصدير.","")),IF($H$3=1,"✅ البيانات مكتملة — الربح الحقيقي محسوب","ℹ الربح الحقيقي غير متاح (يلزم مخزون هذا الشهر والشهر السابق وسعر صرف الشهرين) — المعروض ربح تقديري فقط")))</f>
        <v>✅ البيانات مكتملة — الربح الحقيقي محسوب</v>
      </c>
      <c r="B3" s="10"/>
      <c r="C3" s="10"/>
      <c r="D3" s="10"/>
      <c r="E3" s="10"/>
      <c r="G3" s="19" t="s">
        <v>41</v>
      </c>
      <c r="H3" s="29">
        <f>IF(AND($B$2&gt;0,H2&gt;0,COUNT(B6:B8)=3,ISNUMBER(C22),ISNUMBER('06-يونيو'!$C$22),ISNUMBER('06-يونيو'!$D$21)),1,0)</f>
        <v>1</v>
      </c>
    </row>
    <row r="4" spans="1:8" ht="19.5" customHeight="1" x14ac:dyDescent="0.25">
      <c r="A4" s="12" t="s">
        <v>42</v>
      </c>
      <c r="B4" s="12"/>
      <c r="C4" s="12"/>
      <c r="D4" s="12"/>
      <c r="E4" s="12"/>
      <c r="G4" s="19" t="s">
        <v>43</v>
      </c>
      <c r="H4" s="29">
        <f>IF(H3=1,'06-يونيو'!$D$21*(1/$B$2-1/H2),0)</f>
        <v>-116.37287195260953</v>
      </c>
    </row>
    <row r="5" spans="1:8" ht="15" customHeight="1" x14ac:dyDescent="0.25">
      <c r="A5" s="21" t="s">
        <v>44</v>
      </c>
      <c r="B5" s="21" t="s">
        <v>45</v>
      </c>
      <c r="C5" s="21" t="s">
        <v>46</v>
      </c>
      <c r="D5" s="4" t="s">
        <v>47</v>
      </c>
      <c r="E5" s="4"/>
      <c r="G5" s="19" t="s">
        <v>48</v>
      </c>
      <c r="H5" s="29">
        <f>IF(COUNTA(B6:B8,B13:C15,A21:E21)&gt;0,1,0)</f>
        <v>1</v>
      </c>
    </row>
    <row r="6" spans="1:8" ht="15" customHeight="1" x14ac:dyDescent="0.25">
      <c r="A6" s="17" t="s">
        <v>30</v>
      </c>
      <c r="B6" s="30">
        <v>191042000</v>
      </c>
      <c r="C6" s="31">
        <f>IF(AND(ISNUMBER(B6),$B$2&gt;0),B6/$B$2,"")</f>
        <v>14364.060150375939</v>
      </c>
      <c r="D6" s="3" t="s">
        <v>49</v>
      </c>
      <c r="E6" s="3"/>
      <c r="G6" s="19" t="s">
        <v>12</v>
      </c>
      <c r="H6" s="29" t="str">
        <f>IF(H5=0,"لا بيانات",IF(H3=1,IF(H13=0,"✅ جاهز — ربح حقيقي","⚠ ربح حقيقي مع تنبيهات"),IF(H13&gt;0,"⚠ تنبيهات — راجع الصفحة",IF(COUNT(B6:B8)=3,"ℹ ربح تقديري فقط","⚠ بيانات ناقصة"))))</f>
        <v>✅ جاهز — ربح حقيقي</v>
      </c>
    </row>
    <row r="7" spans="1:8" ht="15" customHeight="1" x14ac:dyDescent="0.25">
      <c r="A7" s="17" t="s">
        <v>50</v>
      </c>
      <c r="B7" s="30">
        <v>140673000</v>
      </c>
      <c r="C7" s="31">
        <f>IF(AND(ISNUMBER(B7),$B$2&gt;0),B7/$B$2,"")</f>
        <v>10576.917293233082</v>
      </c>
      <c r="D7" s="3" t="s">
        <v>51</v>
      </c>
      <c r="E7" s="3"/>
      <c r="G7" s="19" t="s">
        <v>52</v>
      </c>
      <c r="H7" s="29">
        <f>IF(AND(H5=1,$B$2&lt;=0),1,0)</f>
        <v>0</v>
      </c>
    </row>
    <row r="8" spans="1:8" ht="15" customHeight="1" x14ac:dyDescent="0.25">
      <c r="A8" s="17" t="s">
        <v>33</v>
      </c>
      <c r="B8" s="30">
        <v>29190000</v>
      </c>
      <c r="C8" s="31">
        <f>IF(AND(ISNUMBER(B8),$B$2&gt;0),B8/$B$2,"")</f>
        <v>2194.7368421052633</v>
      </c>
      <c r="D8" s="3" t="s">
        <v>53</v>
      </c>
      <c r="E8" s="3"/>
      <c r="G8" s="19" t="s">
        <v>54</v>
      </c>
      <c r="H8" s="29">
        <f>IF(AND(H5=1,COUNT(B6:B8)&lt;3),1,0)</f>
        <v>0</v>
      </c>
    </row>
    <row r="9" spans="1:8" ht="15" customHeight="1" x14ac:dyDescent="0.25">
      <c r="A9" s="17" t="s">
        <v>55</v>
      </c>
      <c r="B9" s="32">
        <f>IF(COUNT(B6:B8)=3,B6-B7-B8,"")</f>
        <v>21179000</v>
      </c>
      <c r="C9" s="31">
        <f>IF(AND(ISNUMBER(B9),$B$2&gt;0),B9/$B$2,"")</f>
        <v>1592.406015037594</v>
      </c>
      <c r="D9" s="3" t="s">
        <v>56</v>
      </c>
      <c r="E9" s="3"/>
      <c r="G9" s="19" t="s">
        <v>57</v>
      </c>
      <c r="H9" s="29">
        <f>IF(AND(H5=1,H15&gt;=H14,NOT(AND(ISNUMBER(C21),ISNUMBER(D21)))),1,0)</f>
        <v>0</v>
      </c>
    </row>
    <row r="10" spans="1:8" x14ac:dyDescent="0.25">
      <c r="G10" s="19" t="s">
        <v>58</v>
      </c>
      <c r="H10" s="29">
        <f>IF(AND(ISNUMBER(A21),A21&lt;&gt;H15),1,0)</f>
        <v>0</v>
      </c>
    </row>
    <row r="11" spans="1:8" ht="19.5" customHeight="1" x14ac:dyDescent="0.25">
      <c r="A11" s="12" t="s">
        <v>59</v>
      </c>
      <c r="B11" s="12"/>
      <c r="C11" s="12"/>
      <c r="D11" s="12"/>
      <c r="E11" s="12"/>
      <c r="G11" s="19" t="s">
        <v>60</v>
      </c>
      <c r="H11" s="29">
        <f>IF(AND(ISNUMBER(B21),$B$2&gt;0,ABS(B21-$B$2)&gt;0.5),1,0)</f>
        <v>0</v>
      </c>
    </row>
    <row r="12" spans="1:8" x14ac:dyDescent="0.25">
      <c r="A12" s="21" t="s">
        <v>44</v>
      </c>
      <c r="B12" s="21" t="s">
        <v>61</v>
      </c>
      <c r="C12" s="21" t="s">
        <v>62</v>
      </c>
      <c r="D12" s="21" t="s">
        <v>63</v>
      </c>
      <c r="E12" s="21"/>
      <c r="G12" s="19" t="s">
        <v>64</v>
      </c>
      <c r="H12" s="29">
        <f>IF(N(E21)&gt;0,1,0)</f>
        <v>0</v>
      </c>
    </row>
    <row r="13" spans="1:8" x14ac:dyDescent="0.25">
      <c r="A13" s="17" t="s">
        <v>65</v>
      </c>
      <c r="B13" s="30">
        <v>4287000</v>
      </c>
      <c r="C13" s="30">
        <v>330</v>
      </c>
      <c r="D13" s="31">
        <f>IF(AND(ISNUMBER(B13),ISNUMBER(C13),$B$2&gt;0),B13/$B$2+C13,"")</f>
        <v>652.33082706766913</v>
      </c>
      <c r="E13" s="33"/>
      <c r="G13" s="19" t="s">
        <v>66</v>
      </c>
      <c r="H13" s="29">
        <f>SUM(H7:H12)</f>
        <v>0</v>
      </c>
    </row>
    <row r="14" spans="1:8" x14ac:dyDescent="0.25">
      <c r="A14" s="17" t="s">
        <v>67</v>
      </c>
      <c r="B14" s="30">
        <v>46227000</v>
      </c>
      <c r="C14" s="30">
        <v>10118</v>
      </c>
      <c r="D14" s="31">
        <f>IF(AND(ISNUMBER(B14),ISNUMBER(C14),$B$2&gt;0),B14/$B$2+C14,"")</f>
        <v>13593.714285714286</v>
      </c>
      <c r="E14" s="33"/>
      <c r="G14" s="19" t="s">
        <v>68</v>
      </c>
      <c r="H14" s="34">
        <f>'لوحة التحكم'!$C$6</f>
        <v>6</v>
      </c>
    </row>
    <row r="15" spans="1:8" x14ac:dyDescent="0.25">
      <c r="A15" s="17" t="s">
        <v>69</v>
      </c>
      <c r="B15" s="30">
        <v>8341000</v>
      </c>
      <c r="C15" s="30">
        <v>7147</v>
      </c>
      <c r="D15" s="31">
        <f>IF(AND(ISNUMBER(B15),ISNUMBER(C15),$B$2&gt;0),B15/$B$2+C15,"")</f>
        <v>7774.1428571428569</v>
      </c>
      <c r="E15" s="33"/>
      <c r="G15" s="19" t="s">
        <v>70</v>
      </c>
      <c r="H15" s="29">
        <v>7</v>
      </c>
    </row>
    <row r="16" spans="1:8" x14ac:dyDescent="0.25">
      <c r="A16" s="17" t="s">
        <v>71</v>
      </c>
      <c r="B16" s="32">
        <f>IF(AND(ISNUMBER(B14),ISNUMBER(B15)),B14-B15,"")</f>
        <v>37886000</v>
      </c>
      <c r="C16" s="32">
        <f>IF(AND(ISNUMBER(C14),ISNUMBER(C15)),C14-C15,"")</f>
        <v>2971</v>
      </c>
      <c r="D16" s="31">
        <f>IF(AND(ISNUMBER(D14),ISNUMBER(D15)),D14-D15,"")</f>
        <v>5819.5714285714294</v>
      </c>
      <c r="E16" s="33"/>
    </row>
    <row r="17" spans="1:5" x14ac:dyDescent="0.25">
      <c r="A17" s="35" t="s">
        <v>72</v>
      </c>
      <c r="B17" s="36"/>
      <c r="C17" s="36"/>
      <c r="D17" s="37">
        <f>IF(AND(ISNUMBER(D13),ISNUMBER(D16)),D13+D16,"")</f>
        <v>6471.9022556390983</v>
      </c>
      <c r="E17" s="36"/>
    </row>
    <row r="19" spans="1:5" ht="19.5" customHeight="1" x14ac:dyDescent="0.25">
      <c r="A19" s="12" t="s">
        <v>73</v>
      </c>
      <c r="B19" s="12"/>
      <c r="C19" s="12"/>
      <c r="D19" s="12"/>
      <c r="E19" s="12"/>
    </row>
    <row r="20" spans="1:5" ht="30" customHeight="1" x14ac:dyDescent="0.25">
      <c r="A20" s="21" t="s">
        <v>74</v>
      </c>
      <c r="B20" s="21" t="s">
        <v>75</v>
      </c>
      <c r="C20" s="21" t="s">
        <v>76</v>
      </c>
      <c r="D20" s="21" t="s">
        <v>77</v>
      </c>
      <c r="E20" s="21" t="s">
        <v>78</v>
      </c>
    </row>
    <row r="21" spans="1:5" x14ac:dyDescent="0.25">
      <c r="A21" s="20">
        <v>7</v>
      </c>
      <c r="B21" s="30">
        <v>13300</v>
      </c>
      <c r="C21" s="30">
        <v>34979.919999999998</v>
      </c>
      <c r="D21" s="30">
        <v>179697728</v>
      </c>
      <c r="E21" s="30">
        <v>0</v>
      </c>
    </row>
    <row r="22" spans="1:5" ht="15" customHeight="1" x14ac:dyDescent="0.25">
      <c r="A22" s="2" t="s">
        <v>79</v>
      </c>
      <c r="B22" s="2"/>
      <c r="C22" s="37">
        <f>IF(AND(ISNUMBER(C21),ISNUMBER(D21),$B$2&gt;0),C21+D21/$B$2,"")</f>
        <v>48491.027368421055</v>
      </c>
      <c r="D22" s="3" t="s">
        <v>80</v>
      </c>
      <c r="E22" s="3"/>
    </row>
    <row r="24" spans="1:5" ht="19.5" customHeight="1" x14ac:dyDescent="0.25">
      <c r="A24" s="1" t="s">
        <v>81</v>
      </c>
      <c r="B24" s="1"/>
      <c r="C24" s="1"/>
      <c r="D24" s="1"/>
      <c r="E24" s="1"/>
    </row>
    <row r="25" spans="1:5" x14ac:dyDescent="0.25">
      <c r="A25" s="21" t="s">
        <v>44</v>
      </c>
      <c r="B25" s="21" t="s">
        <v>82</v>
      </c>
      <c r="C25" s="21" t="s">
        <v>83</v>
      </c>
      <c r="D25" s="21" t="s">
        <v>84</v>
      </c>
      <c r="E25" s="21" t="s">
        <v>85</v>
      </c>
    </row>
    <row r="26" spans="1:5" x14ac:dyDescent="0.25">
      <c r="A26" s="33" t="s">
        <v>30</v>
      </c>
      <c r="B26" s="31">
        <f>IF(ISNUMBER(C6),C6,"")</f>
        <v>14364.060150375939</v>
      </c>
      <c r="C26" s="31">
        <f>IF('06-يونيو'!$B$26="","",'06-يونيو'!$B$26)</f>
        <v>14956.363636363636</v>
      </c>
      <c r="D26" s="31">
        <f t="shared" ref="D26:D37" si="0">IF(AND(ISNUMBER(B26),ISNUMBER(C26)),B26-C26,"")</f>
        <v>-592.30348598769706</v>
      </c>
      <c r="E26" s="38">
        <f t="shared" ref="E26:E33" si="1">IF(AND(ISNUMBER(B26),ISNUMBER(C26)),IF(C26&lt;&gt;0,(B26-C26)/ABS(C26),""),"")</f>
        <v>-3.9602105190035666E-2</v>
      </c>
    </row>
    <row r="27" spans="1:5" x14ac:dyDescent="0.25">
      <c r="A27" s="33" t="s">
        <v>86</v>
      </c>
      <c r="B27" s="31">
        <f>IF($H$3=1,'06-يونيو'!$C$22,"")</f>
        <v>44737.391969696968</v>
      </c>
      <c r="C27" s="31" t="str">
        <f>IF('06-يونيو'!$B$27="","",'06-يونيو'!$B$27)</f>
        <v/>
      </c>
      <c r="D27" s="31" t="str">
        <f t="shared" si="0"/>
        <v/>
      </c>
      <c r="E27" s="38" t="str">
        <f t="shared" si="1"/>
        <v/>
      </c>
    </row>
    <row r="28" spans="1:5" x14ac:dyDescent="0.25">
      <c r="A28" s="33" t="s">
        <v>87</v>
      </c>
      <c r="B28" s="31">
        <f>IF(ISNUMBER(C7),C7,"")</f>
        <v>10576.917293233082</v>
      </c>
      <c r="C28" s="31">
        <f>IF('06-يونيو'!$B$28="","",'06-يونيو'!$B$28)</f>
        <v>4668.106060606061</v>
      </c>
      <c r="D28" s="31">
        <f t="shared" si="0"/>
        <v>5908.8112326270211</v>
      </c>
      <c r="E28" s="38">
        <f t="shared" si="1"/>
        <v>1.2657834153536518</v>
      </c>
    </row>
    <row r="29" spans="1:5" x14ac:dyDescent="0.25">
      <c r="A29" s="33" t="s">
        <v>88</v>
      </c>
      <c r="B29" s="31">
        <f>IF($H$3=1,C22-$H$4,"")</f>
        <v>48607.400240373667</v>
      </c>
      <c r="C29" s="31" t="str">
        <f>IF('06-يونيو'!$B$29="","",'06-يونيو'!$B$29)</f>
        <v/>
      </c>
      <c r="D29" s="31" t="str">
        <f t="shared" si="0"/>
        <v/>
      </c>
      <c r="E29" s="38" t="str">
        <f t="shared" si="1"/>
        <v/>
      </c>
    </row>
    <row r="30" spans="1:5" x14ac:dyDescent="0.25">
      <c r="A30" s="17" t="s">
        <v>89</v>
      </c>
      <c r="B30" s="31">
        <f>IF($H$3=1,B27+B28-B29,"")</f>
        <v>6706.909022556385</v>
      </c>
      <c r="C30" s="31" t="str">
        <f>IF('06-يونيو'!$B$30="","",'06-يونيو'!$B$30)</f>
        <v/>
      </c>
      <c r="D30" s="31" t="str">
        <f t="shared" si="0"/>
        <v/>
      </c>
      <c r="E30" s="38" t="str">
        <f t="shared" si="1"/>
        <v/>
      </c>
    </row>
    <row r="31" spans="1:5" x14ac:dyDescent="0.25">
      <c r="A31" s="17" t="s">
        <v>90</v>
      </c>
      <c r="B31" s="31">
        <f>IF($H$3=1,B26-B30,"")</f>
        <v>7657.1511278195539</v>
      </c>
      <c r="C31" s="31" t="str">
        <f>IF('06-يونيو'!$B$31="","",'06-يونيو'!$B$31)</f>
        <v/>
      </c>
      <c r="D31" s="31" t="str">
        <f t="shared" si="0"/>
        <v/>
      </c>
      <c r="E31" s="38" t="str">
        <f t="shared" si="1"/>
        <v/>
      </c>
    </row>
    <row r="32" spans="1:5" x14ac:dyDescent="0.25">
      <c r="A32" s="33" t="s">
        <v>91</v>
      </c>
      <c r="B32" s="31">
        <f>IF(ISNUMBER(C8),C8,"")</f>
        <v>2194.7368421052633</v>
      </c>
      <c r="C32" s="31">
        <f>IF('06-يونيو'!$B$32="","",'06-يونيو'!$B$32)</f>
        <v>2453.8636363636365</v>
      </c>
      <c r="D32" s="31">
        <f t="shared" si="0"/>
        <v>-259.12679425837314</v>
      </c>
      <c r="E32" s="38">
        <f t="shared" si="1"/>
        <v>-0.10559950863543964</v>
      </c>
    </row>
    <row r="33" spans="1:5" x14ac:dyDescent="0.25">
      <c r="A33" s="35" t="s">
        <v>92</v>
      </c>
      <c r="B33" s="37">
        <f>IF($H$3=1,B31-B32,"")</f>
        <v>5462.4142857142906</v>
      </c>
      <c r="C33" s="39" t="str">
        <f>IF('06-يونيو'!$B$33="","",'06-يونيو'!$B$33)</f>
        <v/>
      </c>
      <c r="D33" s="39" t="str">
        <f t="shared" si="0"/>
        <v/>
      </c>
      <c r="E33" s="40" t="str">
        <f t="shared" si="1"/>
        <v/>
      </c>
    </row>
    <row r="34" spans="1:5" x14ac:dyDescent="0.25">
      <c r="A34" s="33" t="s">
        <v>93</v>
      </c>
      <c r="B34" s="38">
        <f>IF(AND($H$3=1,N(B26)&gt;0),B33/B26,"")</f>
        <v>0.38028344552506815</v>
      </c>
      <c r="C34" s="38" t="str">
        <f>IF('06-يونيو'!$B$34="","",'06-يونيو'!$B$34)</f>
        <v/>
      </c>
      <c r="D34" s="38" t="str">
        <f t="shared" si="0"/>
        <v/>
      </c>
      <c r="E34" s="38"/>
    </row>
    <row r="35" spans="1:5" x14ac:dyDescent="0.25">
      <c r="A35" s="33" t="s">
        <v>94</v>
      </c>
      <c r="B35" s="31">
        <f>IF($H$3=1,$H$4,"")</f>
        <v>-116.37287195260953</v>
      </c>
      <c r="C35" s="31" t="str">
        <f>IF('06-يونيو'!$B$35="","",'06-يونيو'!$B$35)</f>
        <v/>
      </c>
      <c r="D35" s="31" t="str">
        <f t="shared" si="0"/>
        <v/>
      </c>
      <c r="E35" s="38" t="str">
        <f>IF(AND(ISNUMBER(B35),ISNUMBER(C35)),IF(C35&lt;&gt;0,(B35-C35)/ABS(C35),""),"")</f>
        <v/>
      </c>
    </row>
    <row r="36" spans="1:5" x14ac:dyDescent="0.25">
      <c r="A36" s="35" t="s">
        <v>95</v>
      </c>
      <c r="B36" s="37">
        <f>IF($H$3=1,B33+B35,"")</f>
        <v>5346.0414137616808</v>
      </c>
      <c r="C36" s="39" t="str">
        <f>IF('06-يونيو'!$B$36="","",'06-يونيو'!$B$36)</f>
        <v/>
      </c>
      <c r="D36" s="39" t="str">
        <f t="shared" si="0"/>
        <v/>
      </c>
      <c r="E36" s="40" t="str">
        <f>IF(AND(ISNUMBER(B36),ISNUMBER(C36)),IF(C36&lt;&gt;0,(B36-C36)/ABS(C36),""),"")</f>
        <v/>
      </c>
    </row>
    <row r="37" spans="1:5" x14ac:dyDescent="0.25">
      <c r="A37" s="33" t="s">
        <v>96</v>
      </c>
      <c r="B37" s="31">
        <f>IF(ISNUMBER(C9),C9,"")</f>
        <v>1592.406015037594</v>
      </c>
      <c r="C37" s="31">
        <f>IF('06-يونيو'!$B$37="","",'06-يونيو'!$B$37)</f>
        <v>7834.393939393939</v>
      </c>
      <c r="D37" s="31">
        <f t="shared" si="0"/>
        <v>-6241.9879243563446</v>
      </c>
      <c r="E37" s="38">
        <f>IF(AND(ISNUMBER(B37),ISNUMBER(C37)),IF(C37&lt;&gt;0,(B37-C37)/ABS(C37),""),"")</f>
        <v>-0.796741646213315</v>
      </c>
    </row>
    <row r="39" spans="1:5" ht="19.5" customHeight="1" x14ac:dyDescent="0.25">
      <c r="A39" s="12" t="s">
        <v>97</v>
      </c>
      <c r="B39" s="12"/>
      <c r="C39" s="12"/>
      <c r="D39" s="12"/>
      <c r="E39" s="12"/>
    </row>
    <row r="40" spans="1:5" x14ac:dyDescent="0.25">
      <c r="A40" s="21" t="s">
        <v>98</v>
      </c>
      <c r="B40" s="21" t="s">
        <v>99</v>
      </c>
      <c r="C40" s="21" t="s">
        <v>100</v>
      </c>
      <c r="D40" s="21" t="s">
        <v>101</v>
      </c>
      <c r="E40" s="21" t="s">
        <v>85</v>
      </c>
    </row>
    <row r="41" spans="1:5" x14ac:dyDescent="0.25">
      <c r="A41" s="17" t="s">
        <v>102</v>
      </c>
      <c r="B41" s="38">
        <f>IF(AND(ISNUMBER(B32),N(B26)&gt;0),B32/B26,"")</f>
        <v>0.15279362653238557</v>
      </c>
      <c r="C41" s="38">
        <f>IF('06-يونيو'!$B$41="","",'06-يونيو'!$B$41)</f>
        <v>0.16406819839533188</v>
      </c>
      <c r="D41" s="38">
        <f>IF(AND(ISNUMBER(B41),ISNUMBER(C41)),B41-C41,"")</f>
        <v>-1.1274571862946309E-2</v>
      </c>
      <c r="E41" s="38"/>
    </row>
    <row r="42" spans="1:5" x14ac:dyDescent="0.25">
      <c r="A42" s="17" t="s">
        <v>103</v>
      </c>
      <c r="B42" s="38">
        <f>IF(AND(ISNUMBER(B30),N(B26)&gt;0),B30/B26,"")</f>
        <v>0.46692292794254631</v>
      </c>
      <c r="C42" s="38" t="str">
        <f>IF('06-يونيو'!$B$42="","",'06-يونيو'!$B$42)</f>
        <v/>
      </c>
      <c r="D42" s="38" t="str">
        <f>IF(AND(ISNUMBER(B42),ISNUMBER(C42)),B42-C42,"")</f>
        <v/>
      </c>
      <c r="E42" s="38"/>
    </row>
    <row r="43" spans="1:5" x14ac:dyDescent="0.25">
      <c r="A43" s="17" t="s">
        <v>104</v>
      </c>
      <c r="B43" s="31">
        <f>IF(ISNUMBER(C22),C22,"")</f>
        <v>48491.027368421055</v>
      </c>
      <c r="C43" s="31">
        <f>IF('06-يونيو'!$B$43="","",'06-يونيو'!$B$43)</f>
        <v>44737.391969696968</v>
      </c>
      <c r="D43" s="31">
        <f>IF(AND(ISNUMBER(B43),ISNUMBER(C43)),B43-C43,"")</f>
        <v>3753.6353987240873</v>
      </c>
      <c r="E43" s="38">
        <f>IF(AND(ISNUMBER(B43),ISNUMBER(C43)),IF(C43&lt;&gt;0,(B43-C43)/ABS(C43),""),"")</f>
        <v>8.3903759997154631E-2</v>
      </c>
    </row>
    <row r="44" spans="1:5" x14ac:dyDescent="0.25">
      <c r="A44" s="17" t="s">
        <v>105</v>
      </c>
      <c r="B44" s="38">
        <f>IF(AND(ISNUMBER(C22),$B$2&gt;0),IF(C22&gt;0,(D21/$B$2)/C22,""),"")</f>
        <v>0.27863108087538541</v>
      </c>
      <c r="C44" s="38">
        <f>IF('06-يونيو'!$B$44="","",'06-يونيو'!$B$44)</f>
        <v>0.34596545056047906</v>
      </c>
      <c r="D44" s="38">
        <f>IF(AND(ISNUMBER(B44),ISNUMBER(C44)),B44-C44,"")</f>
        <v>-6.7334369685093654E-2</v>
      </c>
      <c r="E44" s="38"/>
    </row>
    <row r="45" spans="1:5" x14ac:dyDescent="0.25">
      <c r="A45" s="17" t="s">
        <v>106</v>
      </c>
      <c r="B45" s="31">
        <f>IF(ISNUMBER(D17),D17,"")</f>
        <v>6471.9022556390983</v>
      </c>
      <c r="C45" s="31">
        <f>IF('06-يونيو'!$B$45="","",'06-يونيو'!$B$45)</f>
        <v>9109.5909090909099</v>
      </c>
      <c r="D45" s="31">
        <f>IF(AND(ISNUMBER(B45),ISNUMBER(C45)),B45-C45,"")</f>
        <v>-2637.6886534518117</v>
      </c>
      <c r="E45" s="38">
        <f>IF(AND(ISNUMBER(B45),ISNUMBER(C45)),IF(C45&lt;&gt;0,(B45-C45)/ABS(C45),""),"")</f>
        <v>-0.2895507251395375</v>
      </c>
    </row>
    <row r="47" spans="1:5" ht="15" customHeight="1" x14ac:dyDescent="0.25">
      <c r="A47" s="11" t="s">
        <v>107</v>
      </c>
      <c r="B47" s="11"/>
      <c r="C47" s="11"/>
      <c r="D47" s="11"/>
      <c r="E47" s="11"/>
    </row>
    <row r="48" spans="1:5" x14ac:dyDescent="0.25">
      <c r="A48" s="11"/>
      <c r="B48" s="11"/>
      <c r="C48" s="11"/>
      <c r="D48" s="11"/>
      <c r="E48" s="11"/>
    </row>
  </sheetData>
  <mergeCells count="16">
    <mergeCell ref="A47:E48"/>
    <mergeCell ref="A19:E19"/>
    <mergeCell ref="A22:B22"/>
    <mergeCell ref="D22:E22"/>
    <mergeCell ref="A24:E24"/>
    <mergeCell ref="A39:E39"/>
    <mergeCell ref="D6:E6"/>
    <mergeCell ref="D7:E7"/>
    <mergeCell ref="D8:E8"/>
    <mergeCell ref="D9:E9"/>
    <mergeCell ref="A11:E11"/>
    <mergeCell ref="A1:E1"/>
    <mergeCell ref="D2:E2"/>
    <mergeCell ref="A3:E3"/>
    <mergeCell ref="A4:E4"/>
    <mergeCell ref="D5:E5"/>
  </mergeCells>
  <conditionalFormatting sqref="A3">
    <cfRule type="expression" dxfId="37" priority="2">
      <formula>LEFT($A$3,1)="⚠"</formula>
    </cfRule>
    <cfRule type="expression" dxfId="36" priority="3">
      <formula>LEFT($A$3,1)="✅"</formula>
    </cfRule>
    <cfRule type="expression" dxfId="35" priority="4">
      <formula>LEFT($A$3,1)="ℹ"</formula>
    </cfRule>
  </conditionalFormatting>
  <conditionalFormatting sqref="A21:E21">
    <cfRule type="expression" dxfId="34" priority="7">
      <formula>OR($H$10=1,$H$11=1,$H$12=1)</formula>
    </cfRule>
  </conditionalFormatting>
  <conditionalFormatting sqref="D2">
    <cfRule type="expression" dxfId="33" priority="5">
      <formula>LEFT($D$2,1)="✅"</formula>
    </cfRule>
    <cfRule type="expression" dxfId="32" priority="6">
      <formula>LEFT($D$2,1)="⚠"</formula>
    </cfRule>
  </conditionalFormatting>
  <dataValidations count="1">
    <dataValidation type="decimal" operator="greaterThanOrEqual" allowBlank="1" errorTitle="قيمة غير صالحة" error="أدخل رقمًا موجبًا (بالليرة السورية)." sqref="B6:B8 B13:C15" xr:uid="{00000000-0002-0000-0700-000000000000}">
      <formula1>0</formula1>
      <formula2>0</formula2>
    </dataValidation>
  </dataValidations>
  <printOptions horizontalCentered="1"/>
  <pageMargins left="0.4" right="0.4" top="0.5" bottom="0.6" header="0.511811023622047" footer="0.5"/>
  <pageSetup paperSize="9" orientation="portrait" horizontalDpi="300" verticalDpi="300"/>
  <headerFooter>
    <oddFooter>&amp;C&amp;8 &amp;A  —  صفحة &amp;P من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D8C"/>
    <pageSetUpPr fitToPage="1"/>
  </sheetPr>
  <dimension ref="A1:H48"/>
  <sheetViews>
    <sheetView showGridLines="0" rightToLeft="1" zoomScaleNormal="100" workbookViewId="0">
      <pane ySplit="3" topLeftCell="A14" activePane="bottomLeft" state="frozen"/>
      <selection pane="bottomLeft" sqref="A1:E1"/>
    </sheetView>
  </sheetViews>
  <sheetFormatPr defaultColWidth="8.7109375" defaultRowHeight="15" x14ac:dyDescent="0.25"/>
  <cols>
    <col min="1" max="1" width="40" customWidth="1"/>
    <col min="2" max="4" width="19" customWidth="1"/>
    <col min="5" max="5" width="14" customWidth="1"/>
    <col min="6" max="6" width="3" customWidth="1"/>
    <col min="7" max="7" width="38" customWidth="1"/>
    <col min="8" max="8" width="16" customWidth="1"/>
  </cols>
  <sheetData>
    <row r="1" spans="1:8" ht="31.5" customHeight="1" x14ac:dyDescent="0.25">
      <c r="A1" s="14" t="s">
        <v>114</v>
      </c>
      <c r="B1" s="14"/>
      <c r="C1" s="14"/>
      <c r="D1" s="14"/>
      <c r="E1" s="14"/>
      <c r="G1" s="19" t="s">
        <v>38</v>
      </c>
    </row>
    <row r="2" spans="1:8" x14ac:dyDescent="0.25">
      <c r="A2" s="17" t="s">
        <v>39</v>
      </c>
      <c r="B2" s="27">
        <f>IF(ISNUMBER('لوحة التحكم'!$C$17),'لوحة التحكم'!$C$17,0)</f>
        <v>13200</v>
      </c>
      <c r="C2" s="28" t="s">
        <v>12</v>
      </c>
      <c r="D2" s="5" t="str">
        <f>$H$6</f>
        <v>✅ جاهز — ربح حقيقي</v>
      </c>
      <c r="E2" s="5"/>
      <c r="G2" s="19" t="s">
        <v>40</v>
      </c>
      <c r="H2" s="41">
        <f>'07-يوليو'!$B$2</f>
        <v>13300</v>
      </c>
    </row>
    <row r="3" spans="1:8" ht="36" customHeight="1" x14ac:dyDescent="0.25">
      <c r="A3" s="10" t="str">
        <f>IF($H$5=0,"لا توجد بيانات لهذا الشهر بعد — أدخل المدخلات أدناه",IF($H$13&gt;0,(IF($H$7=1,"⚠ سعر الصرف غير مُدخل في لوحة التحكم.  ","")&amp;IF($H$8=1,"⚠ أكمل المبيعات والمشتريات والمصاريف.  ","")&amp;IF($H$9=1,"⚠ الصق بيانات المستودع في فقرة «بيانات المستودع».  ","")&amp;IF($H$10=1,"⚠ الصف الملصوق يخص شهرًا آخر.  ","")&amp;IF($H$11=1,"⚠ سعر صرف المستودع ("&amp;$B$21&amp;") يختلف عن سعر لوحة التحكم ("&amp;$B$2&amp;").  ","")&amp;IF($H$12=1,"⚠ ملف المستودع فيه أصناف بها أخطاء (العدد: "&amp;$E$21&amp;") — صحّحها ثم أعد التصدير.","")),IF($H$3=1,"✅ البيانات مكتملة — الربح الحقيقي محسوب","ℹ الربح الحقيقي غير متاح (يلزم مخزون هذا الشهر والشهر السابق وسعر صرف الشهرين) — المعروض ربح تقديري فقط")))</f>
        <v>✅ البيانات مكتملة — الربح الحقيقي محسوب</v>
      </c>
      <c r="B3" s="10"/>
      <c r="C3" s="10"/>
      <c r="D3" s="10"/>
      <c r="E3" s="10"/>
      <c r="G3" s="19" t="s">
        <v>41</v>
      </c>
      <c r="H3" s="29">
        <f>IF(AND($B$2&gt;0,H2&gt;0,COUNT(B6:B8)=3,ISNUMBER(C22),ISNUMBER('07-يوليو'!$C$22),ISNUMBER('07-يوليو'!$D$21)),1,0)</f>
        <v>1</v>
      </c>
    </row>
    <row r="4" spans="1:8" ht="19.5" customHeight="1" x14ac:dyDescent="0.25">
      <c r="A4" s="12" t="s">
        <v>42</v>
      </c>
      <c r="B4" s="12"/>
      <c r="C4" s="12"/>
      <c r="D4" s="12"/>
      <c r="E4" s="12"/>
      <c r="G4" s="19" t="s">
        <v>43</v>
      </c>
      <c r="H4" s="29">
        <f>IF(H3=1,'07-يوليو'!$D$21*(1/$B$2-1/H2),0)</f>
        <v>102.35687400319043</v>
      </c>
    </row>
    <row r="5" spans="1:8" ht="15" customHeight="1" x14ac:dyDescent="0.25">
      <c r="A5" s="21" t="s">
        <v>44</v>
      </c>
      <c r="B5" s="21" t="s">
        <v>45</v>
      </c>
      <c r="C5" s="21" t="s">
        <v>46</v>
      </c>
      <c r="D5" s="4" t="s">
        <v>47</v>
      </c>
      <c r="E5" s="4"/>
      <c r="G5" s="19" t="s">
        <v>48</v>
      </c>
      <c r="H5" s="29">
        <f>IF(COUNTA(B6:B8,B13:C15,A21:E21)&gt;0,1,0)</f>
        <v>1</v>
      </c>
    </row>
    <row r="6" spans="1:8" ht="15" customHeight="1" x14ac:dyDescent="0.25">
      <c r="A6" s="17" t="s">
        <v>30</v>
      </c>
      <c r="B6" s="30">
        <v>227528000</v>
      </c>
      <c r="C6" s="31">
        <f>IF(AND(ISNUMBER(B6),$B$2&gt;0),B6/$B$2,"")</f>
        <v>17236.969696969696</v>
      </c>
      <c r="D6" s="3" t="s">
        <v>49</v>
      </c>
      <c r="E6" s="3"/>
      <c r="G6" s="19" t="s">
        <v>12</v>
      </c>
      <c r="H6" s="29" t="str">
        <f>IF(H5=0,"لا بيانات",IF(H3=1,IF(H13=0,"✅ جاهز — ربح حقيقي","⚠ ربح حقيقي مع تنبيهات"),IF(H13&gt;0,"⚠ تنبيهات — راجع الصفحة",IF(COUNT(B6:B8)=3,"ℹ ربح تقديري فقط","⚠ بيانات ناقصة"))))</f>
        <v>✅ جاهز — ربح حقيقي</v>
      </c>
    </row>
    <row r="7" spans="1:8" ht="15" customHeight="1" x14ac:dyDescent="0.25">
      <c r="A7" s="17" t="s">
        <v>50</v>
      </c>
      <c r="B7" s="30">
        <v>77982000</v>
      </c>
      <c r="C7" s="31">
        <f>IF(AND(ISNUMBER(B7),$B$2&gt;0),B7/$B$2,"")</f>
        <v>5907.727272727273</v>
      </c>
      <c r="D7" s="3" t="s">
        <v>51</v>
      </c>
      <c r="E7" s="3"/>
      <c r="G7" s="19" t="s">
        <v>52</v>
      </c>
      <c r="H7" s="29">
        <f>IF(AND(H5=1,$B$2&lt;=0),1,0)</f>
        <v>0</v>
      </c>
    </row>
    <row r="8" spans="1:8" ht="15" customHeight="1" x14ac:dyDescent="0.25">
      <c r="A8" s="17" t="s">
        <v>33</v>
      </c>
      <c r="B8" s="30">
        <v>32207000</v>
      </c>
      <c r="C8" s="31">
        <f>IF(AND(ISNUMBER(B8),$B$2&gt;0),B8/$B$2,"")</f>
        <v>2439.9242424242425</v>
      </c>
      <c r="D8" s="3" t="s">
        <v>53</v>
      </c>
      <c r="E8" s="3"/>
      <c r="G8" s="19" t="s">
        <v>54</v>
      </c>
      <c r="H8" s="29">
        <f>IF(AND(H5=1,COUNT(B6:B8)&lt;3),1,0)</f>
        <v>0</v>
      </c>
    </row>
    <row r="9" spans="1:8" ht="15" customHeight="1" x14ac:dyDescent="0.25">
      <c r="A9" s="17" t="s">
        <v>55</v>
      </c>
      <c r="B9" s="32">
        <f>IF(COUNT(B6:B8)=3,B6-B7-B8,"")</f>
        <v>117339000</v>
      </c>
      <c r="C9" s="31">
        <f>IF(AND(ISNUMBER(B9),$B$2&gt;0),B9/$B$2,"")</f>
        <v>8889.318181818182</v>
      </c>
      <c r="D9" s="3" t="s">
        <v>56</v>
      </c>
      <c r="E9" s="3"/>
      <c r="G9" s="19" t="s">
        <v>57</v>
      </c>
      <c r="H9" s="29">
        <f>IF(AND(H5=1,H15&gt;=H14,NOT(AND(ISNUMBER(C21),ISNUMBER(D21)))),1,0)</f>
        <v>0</v>
      </c>
    </row>
    <row r="10" spans="1:8" x14ac:dyDescent="0.25">
      <c r="G10" s="19" t="s">
        <v>58</v>
      </c>
      <c r="H10" s="29">
        <f>IF(AND(ISNUMBER(A21),A21&lt;&gt;H15),1,0)</f>
        <v>0</v>
      </c>
    </row>
    <row r="11" spans="1:8" ht="19.5" customHeight="1" x14ac:dyDescent="0.25">
      <c r="A11" s="12" t="s">
        <v>59</v>
      </c>
      <c r="B11" s="12"/>
      <c r="C11" s="12"/>
      <c r="D11" s="12"/>
      <c r="E11" s="12"/>
      <c r="G11" s="19" t="s">
        <v>60</v>
      </c>
      <c r="H11" s="29">
        <f>IF(AND(ISNUMBER(B21),$B$2&gt;0,ABS(B21-$B$2)&gt;0.5),1,0)</f>
        <v>0</v>
      </c>
    </row>
    <row r="12" spans="1:8" x14ac:dyDescent="0.25">
      <c r="A12" s="21" t="s">
        <v>44</v>
      </c>
      <c r="B12" s="21" t="s">
        <v>61</v>
      </c>
      <c r="C12" s="21" t="s">
        <v>62</v>
      </c>
      <c r="D12" s="21" t="s">
        <v>63</v>
      </c>
      <c r="E12" s="21"/>
      <c r="G12" s="19" t="s">
        <v>64</v>
      </c>
      <c r="H12" s="29">
        <f>IF(N(E21)&gt;0,1,0)</f>
        <v>0</v>
      </c>
    </row>
    <row r="13" spans="1:8" x14ac:dyDescent="0.25">
      <c r="A13" s="17" t="s">
        <v>65</v>
      </c>
      <c r="B13" s="30">
        <v>3000000</v>
      </c>
      <c r="C13" s="30">
        <v>2160</v>
      </c>
      <c r="D13" s="31">
        <f>IF(AND(ISNUMBER(B13),ISNUMBER(C13),$B$2&gt;0),B13/$B$2+C13,"")</f>
        <v>2387.2727272727275</v>
      </c>
      <c r="E13" s="33"/>
      <c r="G13" s="19" t="s">
        <v>66</v>
      </c>
      <c r="H13" s="29">
        <f>SUM(H7:H12)</f>
        <v>0</v>
      </c>
    </row>
    <row r="14" spans="1:8" x14ac:dyDescent="0.25">
      <c r="A14" s="17" t="s">
        <v>67</v>
      </c>
      <c r="B14" s="30">
        <v>37916000</v>
      </c>
      <c r="C14" s="30">
        <v>21688</v>
      </c>
      <c r="D14" s="31">
        <f>IF(AND(ISNUMBER(B14),ISNUMBER(C14),$B$2&gt;0),B14/$B$2+C14,"")</f>
        <v>24560.424242424244</v>
      </c>
      <c r="E14" s="33"/>
      <c r="G14" s="19" t="s">
        <v>68</v>
      </c>
      <c r="H14" s="34">
        <f>'لوحة التحكم'!$C$6</f>
        <v>6</v>
      </c>
    </row>
    <row r="15" spans="1:8" x14ac:dyDescent="0.25">
      <c r="A15" s="17" t="s">
        <v>69</v>
      </c>
      <c r="B15" s="30">
        <v>4786000</v>
      </c>
      <c r="C15" s="30">
        <v>4626</v>
      </c>
      <c r="D15" s="31">
        <f>IF(AND(ISNUMBER(B15),ISNUMBER(C15),$B$2&gt;0),B15/$B$2+C15,"")</f>
        <v>4988.575757575758</v>
      </c>
      <c r="E15" s="33"/>
      <c r="G15" s="19" t="s">
        <v>70</v>
      </c>
      <c r="H15" s="29">
        <v>8</v>
      </c>
    </row>
    <row r="16" spans="1:8" x14ac:dyDescent="0.25">
      <c r="A16" s="17" t="s">
        <v>71</v>
      </c>
      <c r="B16" s="32">
        <f>IF(AND(ISNUMBER(B14),ISNUMBER(B15)),B14-B15,"")</f>
        <v>33130000</v>
      </c>
      <c r="C16" s="32">
        <f>IF(AND(ISNUMBER(C14),ISNUMBER(C15)),C14-C15,"")</f>
        <v>17062</v>
      </c>
      <c r="D16" s="31">
        <f>IF(AND(ISNUMBER(D14),ISNUMBER(D15)),D14-D15,"")</f>
        <v>19571.848484848488</v>
      </c>
      <c r="E16" s="33"/>
    </row>
    <row r="17" spans="1:5" x14ac:dyDescent="0.25">
      <c r="A17" s="35" t="s">
        <v>72</v>
      </c>
      <c r="B17" s="36"/>
      <c r="C17" s="36"/>
      <c r="D17" s="37">
        <f>IF(AND(ISNUMBER(D13),ISNUMBER(D16)),D13+D16,"")</f>
        <v>21959.121212121216</v>
      </c>
      <c r="E17" s="36"/>
    </row>
    <row r="19" spans="1:5" ht="19.5" customHeight="1" x14ac:dyDescent="0.25">
      <c r="A19" s="12" t="s">
        <v>73</v>
      </c>
      <c r="B19" s="12"/>
      <c r="C19" s="12"/>
      <c r="D19" s="12"/>
      <c r="E19" s="12"/>
    </row>
    <row r="20" spans="1:5" ht="30" customHeight="1" x14ac:dyDescent="0.25">
      <c r="A20" s="21" t="s">
        <v>74</v>
      </c>
      <c r="B20" s="21" t="s">
        <v>75</v>
      </c>
      <c r="C20" s="21" t="s">
        <v>76</v>
      </c>
      <c r="D20" s="21" t="s">
        <v>77</v>
      </c>
      <c r="E20" s="21" t="s">
        <v>78</v>
      </c>
    </row>
    <row r="21" spans="1:5" x14ac:dyDescent="0.25">
      <c r="A21" s="20">
        <v>8</v>
      </c>
      <c r="B21" s="30">
        <v>13200</v>
      </c>
      <c r="C21" s="30">
        <v>33915.3001</v>
      </c>
      <c r="D21" s="30">
        <v>185179118.00000101</v>
      </c>
      <c r="E21" s="30">
        <v>0</v>
      </c>
    </row>
    <row r="22" spans="1:5" ht="15" customHeight="1" x14ac:dyDescent="0.25">
      <c r="A22" s="2" t="s">
        <v>79</v>
      </c>
      <c r="B22" s="2"/>
      <c r="C22" s="37">
        <f>IF(AND(ISNUMBER(C21),ISNUMBER(D21),$B$2&gt;0),C21+D21/$B$2,"")</f>
        <v>47944.021160606135</v>
      </c>
      <c r="D22" s="3" t="s">
        <v>80</v>
      </c>
      <c r="E22" s="3"/>
    </row>
    <row r="24" spans="1:5" ht="19.5" customHeight="1" x14ac:dyDescent="0.25">
      <c r="A24" s="1" t="s">
        <v>81</v>
      </c>
      <c r="B24" s="1"/>
      <c r="C24" s="1"/>
      <c r="D24" s="1"/>
      <c r="E24" s="1"/>
    </row>
    <row r="25" spans="1:5" x14ac:dyDescent="0.25">
      <c r="A25" s="21" t="s">
        <v>44</v>
      </c>
      <c r="B25" s="21" t="s">
        <v>82</v>
      </c>
      <c r="C25" s="21" t="s">
        <v>83</v>
      </c>
      <c r="D25" s="21" t="s">
        <v>84</v>
      </c>
      <c r="E25" s="21" t="s">
        <v>85</v>
      </c>
    </row>
    <row r="26" spans="1:5" x14ac:dyDescent="0.25">
      <c r="A26" s="33" t="s">
        <v>30</v>
      </c>
      <c r="B26" s="31">
        <f>IF(ISNUMBER(C6),C6,"")</f>
        <v>17236.969696969696</v>
      </c>
      <c r="C26" s="31">
        <f>IF('07-يوليو'!$B$26="","",'07-يوليو'!$B$26)</f>
        <v>14364.060150375939</v>
      </c>
      <c r="D26" s="31">
        <f t="shared" ref="D26:D37" si="0">IF(AND(ISNUMBER(B26),ISNUMBER(C26)),B26-C26,"")</f>
        <v>2872.9095465937571</v>
      </c>
      <c r="E26" s="38">
        <f t="shared" ref="E26:E33" si="1">IF(AND(ISNUMBER(B26),ISNUMBER(C26)),IF(C26&lt;&gt;0,(B26-C26)/ABS(C26),""),"")</f>
        <v>0.20000678892440915</v>
      </c>
    </row>
    <row r="27" spans="1:5" x14ac:dyDescent="0.25">
      <c r="A27" s="33" t="s">
        <v>86</v>
      </c>
      <c r="B27" s="31">
        <f>IF($H$3=1,'07-يوليو'!$C$22,"")</f>
        <v>48491.027368421055</v>
      </c>
      <c r="C27" s="31">
        <f>IF('07-يوليو'!$B$27="","",'07-يوليو'!$B$27)</f>
        <v>44737.391969696968</v>
      </c>
      <c r="D27" s="31">
        <f t="shared" si="0"/>
        <v>3753.6353987240873</v>
      </c>
      <c r="E27" s="38">
        <f t="shared" si="1"/>
        <v>8.3903759997154631E-2</v>
      </c>
    </row>
    <row r="28" spans="1:5" x14ac:dyDescent="0.25">
      <c r="A28" s="33" t="s">
        <v>87</v>
      </c>
      <c r="B28" s="31">
        <f>IF(ISNUMBER(C7),C7,"")</f>
        <v>5907.727272727273</v>
      </c>
      <c r="C28" s="31">
        <f>IF('07-يوليو'!$B$28="","",'07-يوليو'!$B$28)</f>
        <v>10576.917293233082</v>
      </c>
      <c r="D28" s="31">
        <f t="shared" si="0"/>
        <v>-4669.1900205058091</v>
      </c>
      <c r="E28" s="38">
        <f t="shared" si="1"/>
        <v>-0.44145093424272791</v>
      </c>
    </row>
    <row r="29" spans="1:5" x14ac:dyDescent="0.25">
      <c r="A29" s="33" t="s">
        <v>88</v>
      </c>
      <c r="B29" s="31">
        <f>IF($H$3=1,C22-$H$4,"")</f>
        <v>47841.664286602943</v>
      </c>
      <c r="C29" s="31">
        <f>IF('07-يوليو'!$B$29="","",'07-يوليو'!$B$29)</f>
        <v>48607.400240373667</v>
      </c>
      <c r="D29" s="31">
        <f t="shared" si="0"/>
        <v>-765.73595377072343</v>
      </c>
      <c r="E29" s="38">
        <f t="shared" si="1"/>
        <v>-1.5753485065730741E-2</v>
      </c>
    </row>
    <row r="30" spans="1:5" x14ac:dyDescent="0.25">
      <c r="A30" s="17" t="s">
        <v>89</v>
      </c>
      <c r="B30" s="31">
        <f>IF($H$3=1,B27+B28-B29,"")</f>
        <v>6557.0903545453839</v>
      </c>
      <c r="C30" s="31">
        <f>IF('07-يوليو'!$B$30="","",'07-يوليو'!$B$30)</f>
        <v>6706.909022556385</v>
      </c>
      <c r="D30" s="31">
        <f t="shared" si="0"/>
        <v>-149.81866801100114</v>
      </c>
      <c r="E30" s="38">
        <f t="shared" si="1"/>
        <v>-2.2337960378937226E-2</v>
      </c>
    </row>
    <row r="31" spans="1:5" x14ac:dyDescent="0.25">
      <c r="A31" s="17" t="s">
        <v>90</v>
      </c>
      <c r="B31" s="31">
        <f>IF($H$3=1,B26-B30,"")</f>
        <v>10679.879342424312</v>
      </c>
      <c r="C31" s="31">
        <f>IF('07-يوليو'!$B$31="","",'07-يوليو'!$B$31)</f>
        <v>7657.1511278195539</v>
      </c>
      <c r="D31" s="31">
        <f t="shared" si="0"/>
        <v>3022.7282146047583</v>
      </c>
      <c r="E31" s="38">
        <f t="shared" si="1"/>
        <v>0.39475885536890387</v>
      </c>
    </row>
    <row r="32" spans="1:5" x14ac:dyDescent="0.25">
      <c r="A32" s="33" t="s">
        <v>91</v>
      </c>
      <c r="B32" s="31">
        <f>IF(ISNUMBER(C8),C8,"")</f>
        <v>2439.9242424242425</v>
      </c>
      <c r="C32" s="31">
        <f>IF('07-يوليو'!$B$32="","",'07-يوليو'!$B$32)</f>
        <v>2194.7368421052633</v>
      </c>
      <c r="D32" s="31">
        <f t="shared" si="0"/>
        <v>245.18740031897914</v>
      </c>
      <c r="E32" s="38">
        <f t="shared" si="1"/>
        <v>0.11171608168011039</v>
      </c>
    </row>
    <row r="33" spans="1:5" x14ac:dyDescent="0.25">
      <c r="A33" s="35" t="s">
        <v>92</v>
      </c>
      <c r="B33" s="37">
        <f>IF($H$3=1,B31-B32,"")</f>
        <v>8239.9551000000702</v>
      </c>
      <c r="C33" s="39">
        <f>IF('07-يوليو'!$B$33="","",'07-يوليو'!$B$33)</f>
        <v>5462.4142857142906</v>
      </c>
      <c r="D33" s="39">
        <f t="shared" si="0"/>
        <v>2777.5408142857796</v>
      </c>
      <c r="E33" s="40">
        <f t="shared" si="1"/>
        <v>0.50848226974468225</v>
      </c>
    </row>
    <row r="34" spans="1:5" x14ac:dyDescent="0.25">
      <c r="A34" s="33" t="s">
        <v>93</v>
      </c>
      <c r="B34" s="38">
        <f>IF(AND($H$3=1,N(B26)&gt;0),B33/B26,"")</f>
        <v>0.47803965806406656</v>
      </c>
      <c r="C34" s="38">
        <f>IF('07-يوليو'!$B$34="","",'07-يوليو'!$B$34)</f>
        <v>0.38028344552506815</v>
      </c>
      <c r="D34" s="38">
        <f t="shared" si="0"/>
        <v>9.775621253899841E-2</v>
      </c>
      <c r="E34" s="38"/>
    </row>
    <row r="35" spans="1:5" x14ac:dyDescent="0.25">
      <c r="A35" s="33" t="s">
        <v>94</v>
      </c>
      <c r="B35" s="31">
        <f>IF($H$3=1,$H$4,"")</f>
        <v>102.35687400319043</v>
      </c>
      <c r="C35" s="31">
        <f>IF('07-يوليو'!$B$35="","",'07-يوليو'!$B$35)</f>
        <v>-116.37287195260953</v>
      </c>
      <c r="D35" s="31">
        <f t="shared" si="0"/>
        <v>218.72974595579996</v>
      </c>
      <c r="E35" s="38">
        <f>IF(AND(ISNUMBER(B35),ISNUMBER(C35)),IF(C35&lt;&gt;0,(B35-C35)/ABS(C35),""),"")</f>
        <v>1.8795595767789692</v>
      </c>
    </row>
    <row r="36" spans="1:5" x14ac:dyDescent="0.25">
      <c r="A36" s="35" t="s">
        <v>95</v>
      </c>
      <c r="B36" s="37">
        <f>IF($H$3=1,B33+B35,"")</f>
        <v>8342.3119740032598</v>
      </c>
      <c r="C36" s="39">
        <f>IF('07-يوليو'!$B$36="","",'07-يوليو'!$B$36)</f>
        <v>5346.0414137616808</v>
      </c>
      <c r="D36" s="39">
        <f t="shared" si="0"/>
        <v>2996.270560241579</v>
      </c>
      <c r="E36" s="40">
        <f>IF(AND(ISNUMBER(B36),ISNUMBER(C36)),IF(C36&lt;&gt;0,(B36-C36)/ABS(C36),""),"")</f>
        <v>0.56046527296414783</v>
      </c>
    </row>
    <row r="37" spans="1:5" x14ac:dyDescent="0.25">
      <c r="A37" s="33" t="s">
        <v>96</v>
      </c>
      <c r="B37" s="31">
        <f>IF(ISNUMBER(C9),C9,"")</f>
        <v>8889.318181818182</v>
      </c>
      <c r="C37" s="31">
        <f>IF('07-يوليو'!$B$37="","",'07-يوليو'!$B$37)</f>
        <v>1592.406015037594</v>
      </c>
      <c r="D37" s="31">
        <f t="shared" si="0"/>
        <v>7296.9121667805884</v>
      </c>
      <c r="E37" s="38">
        <f>IF(AND(ISNUMBER(B37),ISNUMBER(C37)),IF(C37&lt;&gt;0,(B37-C37)/ABS(C37),""),"")</f>
        <v>4.5823188922131273</v>
      </c>
    </row>
    <row r="39" spans="1:5" ht="19.5" customHeight="1" x14ac:dyDescent="0.25">
      <c r="A39" s="12" t="s">
        <v>97</v>
      </c>
      <c r="B39" s="12"/>
      <c r="C39" s="12"/>
      <c r="D39" s="12"/>
      <c r="E39" s="12"/>
    </row>
    <row r="40" spans="1:5" x14ac:dyDescent="0.25">
      <c r="A40" s="21" t="s">
        <v>98</v>
      </c>
      <c r="B40" s="21" t="s">
        <v>99</v>
      </c>
      <c r="C40" s="21" t="s">
        <v>100</v>
      </c>
      <c r="D40" s="21" t="s">
        <v>101</v>
      </c>
      <c r="E40" s="21" t="s">
        <v>85</v>
      </c>
    </row>
    <row r="41" spans="1:5" x14ac:dyDescent="0.25">
      <c r="A41" s="17" t="s">
        <v>102</v>
      </c>
      <c r="B41" s="38">
        <f>IF(AND(ISNUMBER(B32),N(B26)&gt;0),B32/B26,"")</f>
        <v>0.14155180900812209</v>
      </c>
      <c r="C41" s="38">
        <f>IF('07-يوليو'!$B$41="","",'07-يوليو'!$B$41)</f>
        <v>0.15279362653238557</v>
      </c>
      <c r="D41" s="38">
        <f>IF(AND(ISNUMBER(B41),ISNUMBER(C41)),B41-C41,"")</f>
        <v>-1.1241817524263481E-2</v>
      </c>
      <c r="E41" s="38"/>
    </row>
    <row r="42" spans="1:5" x14ac:dyDescent="0.25">
      <c r="A42" s="17" t="s">
        <v>103</v>
      </c>
      <c r="B42" s="38">
        <f>IF(AND(ISNUMBER(B30),N(B26)&gt;0),B30/B26,"")</f>
        <v>0.3804085329278114</v>
      </c>
      <c r="C42" s="38">
        <f>IF('07-يوليو'!$B$42="","",'07-يوليو'!$B$42)</f>
        <v>0.46692292794254631</v>
      </c>
      <c r="D42" s="38">
        <f>IF(AND(ISNUMBER(B42),ISNUMBER(C42)),B42-C42,"")</f>
        <v>-8.6514395014734902E-2</v>
      </c>
      <c r="E42" s="38"/>
    </row>
    <row r="43" spans="1:5" x14ac:dyDescent="0.25">
      <c r="A43" s="17" t="s">
        <v>104</v>
      </c>
      <c r="B43" s="31">
        <f>IF(ISNUMBER(C22),C22,"")</f>
        <v>47944.021160606135</v>
      </c>
      <c r="C43" s="31">
        <f>IF('07-يوليو'!$B$43="","",'07-يوليو'!$B$43)</f>
        <v>48491.027368421055</v>
      </c>
      <c r="D43" s="31">
        <f>IF(AND(ISNUMBER(B43),ISNUMBER(C43)),B43-C43,"")</f>
        <v>-547.00620781492034</v>
      </c>
      <c r="E43" s="38">
        <f>IF(AND(ISNUMBER(B43),ISNUMBER(C43)),IF(C43&lt;&gt;0,(B43-C43)/ABS(C43),""),"")</f>
        <v>-1.1280565446859323E-2</v>
      </c>
    </row>
    <row r="44" spans="1:5" x14ac:dyDescent="0.25">
      <c r="A44" s="17" t="s">
        <v>105</v>
      </c>
      <c r="B44" s="38">
        <f>IF(AND(ISNUMBER(C22),$B$2&gt;0),IF(C22&gt;0,(D21/$B$2)/C22,""),"")</f>
        <v>0.29260626707993009</v>
      </c>
      <c r="C44" s="38">
        <f>IF('07-يوليو'!$B$44="","",'07-يوليو'!$B$44)</f>
        <v>0.27863108087538541</v>
      </c>
      <c r="D44" s="38">
        <f>IF(AND(ISNUMBER(B44),ISNUMBER(C44)),B44-C44,"")</f>
        <v>1.3975186204544687E-2</v>
      </c>
      <c r="E44" s="38"/>
    </row>
    <row r="45" spans="1:5" x14ac:dyDescent="0.25">
      <c r="A45" s="17" t="s">
        <v>106</v>
      </c>
      <c r="B45" s="31">
        <f>IF(ISNUMBER(D17),D17,"")</f>
        <v>21959.121212121216</v>
      </c>
      <c r="C45" s="31">
        <f>IF('07-يوليو'!$B$45="","",'07-يوليو'!$B$45)</f>
        <v>6471.9022556390983</v>
      </c>
      <c r="D45" s="31">
        <f>IF(AND(ISNUMBER(B45),ISNUMBER(C45)),B45-C45,"")</f>
        <v>15487.218956482116</v>
      </c>
      <c r="E45" s="38">
        <f>IF(AND(ISNUMBER(B45),ISNUMBER(C45)),IF(C45&lt;&gt;0,(B45-C45)/ABS(C45),""),"")</f>
        <v>2.3929933340677065</v>
      </c>
    </row>
    <row r="47" spans="1:5" ht="15" customHeight="1" x14ac:dyDescent="0.25">
      <c r="A47" s="11" t="s">
        <v>107</v>
      </c>
      <c r="B47" s="11"/>
      <c r="C47" s="11"/>
      <c r="D47" s="11"/>
      <c r="E47" s="11"/>
    </row>
    <row r="48" spans="1:5" x14ac:dyDescent="0.25">
      <c r="A48" s="11"/>
      <c r="B48" s="11"/>
      <c r="C48" s="11"/>
      <c r="D48" s="11"/>
      <c r="E48" s="11"/>
    </row>
  </sheetData>
  <mergeCells count="16">
    <mergeCell ref="A47:E48"/>
    <mergeCell ref="A19:E19"/>
    <mergeCell ref="A22:B22"/>
    <mergeCell ref="D22:E22"/>
    <mergeCell ref="A24:E24"/>
    <mergeCell ref="A39:E39"/>
    <mergeCell ref="D6:E6"/>
    <mergeCell ref="D7:E7"/>
    <mergeCell ref="D8:E8"/>
    <mergeCell ref="D9:E9"/>
    <mergeCell ref="A11:E11"/>
    <mergeCell ref="A1:E1"/>
    <mergeCell ref="D2:E2"/>
    <mergeCell ref="A3:E3"/>
    <mergeCell ref="A4:E4"/>
    <mergeCell ref="D5:E5"/>
  </mergeCells>
  <conditionalFormatting sqref="A3">
    <cfRule type="expression" dxfId="31" priority="2">
      <formula>LEFT($A$3,1)="⚠"</formula>
    </cfRule>
    <cfRule type="expression" dxfId="30" priority="3">
      <formula>LEFT($A$3,1)="✅"</formula>
    </cfRule>
    <cfRule type="expression" dxfId="29" priority="4">
      <formula>LEFT($A$3,1)="ℹ"</formula>
    </cfRule>
  </conditionalFormatting>
  <conditionalFormatting sqref="A21:E21">
    <cfRule type="expression" dxfId="28" priority="7">
      <formula>OR($H$10=1,$H$11=1,$H$12=1)</formula>
    </cfRule>
  </conditionalFormatting>
  <conditionalFormatting sqref="D2">
    <cfRule type="expression" dxfId="27" priority="5">
      <formula>LEFT($D$2,1)="✅"</formula>
    </cfRule>
    <cfRule type="expression" dxfId="26" priority="6">
      <formula>LEFT($D$2,1)="⚠"</formula>
    </cfRule>
  </conditionalFormatting>
  <dataValidations count="1">
    <dataValidation type="decimal" operator="greaterThanOrEqual" allowBlank="1" errorTitle="قيمة غير صالحة" error="أدخل رقمًا موجبًا (بالليرة السورية)." sqref="B6:B8 B13:C15" xr:uid="{00000000-0002-0000-0800-000000000000}">
      <formula1>0</formula1>
      <formula2>0</formula2>
    </dataValidation>
  </dataValidations>
  <printOptions horizontalCentered="1"/>
  <pageMargins left="0.4" right="0.4" top="0.5" bottom="0.6" header="0.511811023622047" footer="0.5"/>
  <pageSetup paperSize="9" orientation="portrait" horizontalDpi="300" verticalDpi="300"/>
  <headerFooter>
    <oddFooter>&amp;C&amp;8 &amp;A  —  صفحة &amp;P من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D8C"/>
    <pageSetUpPr fitToPage="1"/>
  </sheetPr>
  <dimension ref="A1:H48"/>
  <sheetViews>
    <sheetView showGridLines="0" rightToLeft="1" zoomScaleNormal="100" workbookViewId="0">
      <pane ySplit="3" topLeftCell="A30" activePane="bottomLeft" state="frozen"/>
      <selection pane="bottomLeft" activeCell="A21" sqref="A21:E21"/>
    </sheetView>
  </sheetViews>
  <sheetFormatPr defaultColWidth="8.7109375" defaultRowHeight="15" x14ac:dyDescent="0.25"/>
  <cols>
    <col min="1" max="1" width="40" customWidth="1"/>
    <col min="2" max="4" width="19" customWidth="1"/>
    <col min="5" max="5" width="14" customWidth="1"/>
    <col min="6" max="6" width="3" customWidth="1"/>
    <col min="7" max="7" width="38" customWidth="1"/>
    <col min="8" max="8" width="16" customWidth="1"/>
  </cols>
  <sheetData>
    <row r="1" spans="1:8" ht="31.5" customHeight="1" x14ac:dyDescent="0.25">
      <c r="A1" s="14" t="s">
        <v>115</v>
      </c>
      <c r="B1" s="14"/>
      <c r="C1" s="14"/>
      <c r="D1" s="14"/>
      <c r="E1" s="14"/>
      <c r="G1" s="19" t="s">
        <v>38</v>
      </c>
    </row>
    <row r="2" spans="1:8" x14ac:dyDescent="0.25">
      <c r="A2" s="17" t="s">
        <v>39</v>
      </c>
      <c r="B2" s="27">
        <f>IF(ISNUMBER('لوحة التحكم'!$C$18),'لوحة التحكم'!$C$18,0)</f>
        <v>13800</v>
      </c>
      <c r="C2" s="28" t="s">
        <v>12</v>
      </c>
      <c r="D2" s="5" t="str">
        <f>$H$6</f>
        <v>✅ جاهز — ربح حقيقي</v>
      </c>
      <c r="E2" s="5"/>
      <c r="G2" s="19" t="s">
        <v>40</v>
      </c>
      <c r="H2" s="41">
        <f>'08-أغسطس'!$B$2</f>
        <v>13200</v>
      </c>
    </row>
    <row r="3" spans="1:8" ht="36" customHeight="1" x14ac:dyDescent="0.25">
      <c r="A3" s="10" t="str">
        <f>IF($H$5=0,"لا توجد بيانات لهذا الشهر بعد — أدخل المدخلات أدناه",IF($H$13&gt;0,(IF($H$7=1,"⚠ سعر الصرف غير مُدخل في لوحة التحكم.  ","")&amp;IF($H$8=1,"⚠ أكمل المبيعات والمشتريات والمصاريف.  ","")&amp;IF($H$9=1,"⚠ الصق بيانات المستودع في فقرة «بيانات المستودع».  ","")&amp;IF($H$10=1,"⚠ الصف الملصوق يخص شهرًا آخر.  ","")&amp;IF($H$11=1,"⚠ سعر صرف المستودع ("&amp;$B$21&amp;") يختلف عن سعر لوحة التحكم ("&amp;$B$2&amp;").  ","")&amp;IF($H$12=1,"⚠ ملف المستودع فيه أصناف بها أخطاء (العدد: "&amp;$E$21&amp;") — صحّحها ثم أعد التصدير.","")),IF($H$3=1,"✅ البيانات مكتملة — الربح الحقيقي محسوب","ℹ الربح الحقيقي غير متاح (يلزم مخزون هذا الشهر والشهر السابق وسعر صرف الشهرين) — المعروض ربح تقديري فقط")))</f>
        <v>✅ البيانات مكتملة — الربح الحقيقي محسوب</v>
      </c>
      <c r="B3" s="10"/>
      <c r="C3" s="10"/>
      <c r="D3" s="10"/>
      <c r="E3" s="10"/>
      <c r="G3" s="19" t="s">
        <v>41</v>
      </c>
      <c r="H3" s="29">
        <f>IF(AND($B$2&gt;0,H2&gt;0,COUNT(B6:B8)=3,ISNUMBER(C22),ISNUMBER('08-أغسطس'!$C$22),ISNUMBER('08-أغسطس'!$D$21)),1,0)</f>
        <v>1</v>
      </c>
    </row>
    <row r="4" spans="1:8" ht="19.5" customHeight="1" x14ac:dyDescent="0.25">
      <c r="A4" s="12" t="s">
        <v>42</v>
      </c>
      <c r="B4" s="12"/>
      <c r="C4" s="12"/>
      <c r="D4" s="12"/>
      <c r="E4" s="12"/>
      <c r="G4" s="19" t="s">
        <v>43</v>
      </c>
      <c r="H4" s="29">
        <f>IF(H3=1,'08-أغسطس'!$D$21*(1/$B$2-1/H2),0)</f>
        <v>-609.94439393939763</v>
      </c>
    </row>
    <row r="5" spans="1:8" ht="15" customHeight="1" x14ac:dyDescent="0.25">
      <c r="A5" s="21" t="s">
        <v>44</v>
      </c>
      <c r="B5" s="21" t="s">
        <v>45</v>
      </c>
      <c r="C5" s="21" t="s">
        <v>46</v>
      </c>
      <c r="D5" s="4" t="s">
        <v>47</v>
      </c>
      <c r="E5" s="4"/>
      <c r="G5" s="19" t="s">
        <v>48</v>
      </c>
      <c r="H5" s="29">
        <f>IF(COUNTA(B6:B8,B13:C15,A21:E21)&gt;0,1,0)</f>
        <v>1</v>
      </c>
    </row>
    <row r="6" spans="1:8" ht="15" customHeight="1" x14ac:dyDescent="0.25">
      <c r="A6" s="17" t="s">
        <v>30</v>
      </c>
      <c r="B6" s="30">
        <v>171287000</v>
      </c>
      <c r="C6" s="31">
        <f>IF(AND(ISNUMBER(B6),$B$2&gt;0),B6/$B$2,"")</f>
        <v>12412.101449275362</v>
      </c>
      <c r="D6" s="3" t="s">
        <v>49</v>
      </c>
      <c r="E6" s="3"/>
      <c r="G6" s="19" t="s">
        <v>12</v>
      </c>
      <c r="H6" s="29" t="str">
        <f>IF(H5=0,"لا بيانات",IF(H3=1,IF(H13=0,"✅ جاهز — ربح حقيقي","⚠ ربح حقيقي مع تنبيهات"),IF(H13&gt;0,"⚠ تنبيهات — راجع الصفحة",IF(COUNT(B6:B8)=3,"ℹ ربح تقديري فقط","⚠ بيانات ناقصة"))))</f>
        <v>✅ جاهز — ربح حقيقي</v>
      </c>
    </row>
    <row r="7" spans="1:8" ht="15" customHeight="1" x14ac:dyDescent="0.25">
      <c r="A7" s="17" t="s">
        <v>50</v>
      </c>
      <c r="B7" s="30">
        <v>70292000</v>
      </c>
      <c r="C7" s="31">
        <f>IF(AND(ISNUMBER(B7),$B$2&gt;0),B7/$B$2,"")</f>
        <v>5093.623188405797</v>
      </c>
      <c r="D7" s="3" t="s">
        <v>51</v>
      </c>
      <c r="E7" s="3"/>
      <c r="G7" s="19" t="s">
        <v>52</v>
      </c>
      <c r="H7" s="29">
        <f>IF(AND(H5=1,$B$2&lt;=0),1,0)</f>
        <v>0</v>
      </c>
    </row>
    <row r="8" spans="1:8" ht="15" customHeight="1" x14ac:dyDescent="0.25">
      <c r="A8" s="17" t="s">
        <v>33</v>
      </c>
      <c r="B8" s="30">
        <v>43828000</v>
      </c>
      <c r="C8" s="31">
        <f>IF(AND(ISNUMBER(B8),$B$2&gt;0),B8/$B$2,"")</f>
        <v>3175.942028985507</v>
      </c>
      <c r="D8" s="3" t="s">
        <v>53</v>
      </c>
      <c r="E8" s="3"/>
      <c r="G8" s="19" t="s">
        <v>54</v>
      </c>
      <c r="H8" s="29">
        <f>IF(AND(H5=1,COUNT(B6:B8)&lt;3),1,0)</f>
        <v>0</v>
      </c>
    </row>
    <row r="9" spans="1:8" ht="15" customHeight="1" x14ac:dyDescent="0.25">
      <c r="A9" s="17" t="s">
        <v>55</v>
      </c>
      <c r="B9" s="32">
        <f>IF(COUNT(B6:B8)=3,B6-B7-B8,"")</f>
        <v>57167000</v>
      </c>
      <c r="C9" s="31">
        <f>IF(AND(ISNUMBER(B9),$B$2&gt;0),B9/$B$2,"")</f>
        <v>4142.536231884058</v>
      </c>
      <c r="D9" s="3" t="s">
        <v>56</v>
      </c>
      <c r="E9" s="3"/>
      <c r="G9" s="19" t="s">
        <v>57</v>
      </c>
      <c r="H9" s="29">
        <f>IF(AND(H5=1,H15&gt;=H14,NOT(AND(ISNUMBER(C21),ISNUMBER(D21)))),1,0)</f>
        <v>0</v>
      </c>
    </row>
    <row r="10" spans="1:8" x14ac:dyDescent="0.25">
      <c r="G10" s="19" t="s">
        <v>58</v>
      </c>
      <c r="H10" s="29">
        <f>IF(AND(ISNUMBER(A21),A21&lt;&gt;H15),1,0)</f>
        <v>0</v>
      </c>
    </row>
    <row r="11" spans="1:8" ht="19.5" customHeight="1" x14ac:dyDescent="0.25">
      <c r="A11" s="12" t="s">
        <v>59</v>
      </c>
      <c r="B11" s="12"/>
      <c r="C11" s="12"/>
      <c r="D11" s="12"/>
      <c r="E11" s="12"/>
      <c r="G11" s="19" t="s">
        <v>60</v>
      </c>
      <c r="H11" s="29">
        <f>IF(AND(ISNUMBER(B21),$B$2&gt;0,ABS(B21-$B$2)&gt;0.5),1,0)</f>
        <v>0</v>
      </c>
    </row>
    <row r="12" spans="1:8" x14ac:dyDescent="0.25">
      <c r="A12" s="21" t="s">
        <v>44</v>
      </c>
      <c r="B12" s="21" t="s">
        <v>61</v>
      </c>
      <c r="C12" s="21" t="s">
        <v>62</v>
      </c>
      <c r="D12" s="21" t="s">
        <v>63</v>
      </c>
      <c r="E12" s="21"/>
      <c r="G12" s="19" t="s">
        <v>64</v>
      </c>
      <c r="H12" s="29">
        <f>IF(N(E21)&gt;0,1,0)</f>
        <v>0</v>
      </c>
    </row>
    <row r="13" spans="1:8" x14ac:dyDescent="0.25">
      <c r="A13" s="17" t="s">
        <v>65</v>
      </c>
      <c r="B13" s="30">
        <v>165000</v>
      </c>
      <c r="C13" s="30">
        <v>30</v>
      </c>
      <c r="D13" s="31">
        <f>IF(AND(ISNUMBER(B13),ISNUMBER(C13),$B$2&gt;0),B13/$B$2+C13,"")</f>
        <v>41.956521739130437</v>
      </c>
      <c r="E13" s="33"/>
      <c r="G13" s="19" t="s">
        <v>66</v>
      </c>
      <c r="H13" s="29">
        <f>SUM(H7:H12)</f>
        <v>0</v>
      </c>
    </row>
    <row r="14" spans="1:8" x14ac:dyDescent="0.25">
      <c r="A14" s="17" t="s">
        <v>67</v>
      </c>
      <c r="B14" s="30">
        <v>53992000</v>
      </c>
      <c r="C14" s="30">
        <v>34034</v>
      </c>
      <c r="D14" s="31">
        <f>IF(AND(ISNUMBER(B14),ISNUMBER(C14),$B$2&gt;0),B14/$B$2+C14,"")</f>
        <v>37946.463768115944</v>
      </c>
      <c r="E14" s="33"/>
      <c r="G14" s="19" t="s">
        <v>68</v>
      </c>
      <c r="H14" s="34">
        <f>'لوحة التحكم'!$C$6</f>
        <v>6</v>
      </c>
    </row>
    <row r="15" spans="1:8" x14ac:dyDescent="0.25">
      <c r="A15" s="17" t="s">
        <v>69</v>
      </c>
      <c r="B15" s="30">
        <v>65000</v>
      </c>
      <c r="C15" s="30">
        <v>80438</v>
      </c>
      <c r="D15" s="31">
        <f>IF(AND(ISNUMBER(B15),ISNUMBER(C15),$B$2&gt;0),B15/$B$2+C15,"")</f>
        <v>80442.710144927536</v>
      </c>
      <c r="E15" s="33"/>
      <c r="G15" s="19" t="s">
        <v>70</v>
      </c>
      <c r="H15" s="29">
        <v>9</v>
      </c>
    </row>
    <row r="16" spans="1:8" x14ac:dyDescent="0.25">
      <c r="A16" s="17" t="s">
        <v>71</v>
      </c>
      <c r="B16" s="32">
        <f>IF(AND(ISNUMBER(B14),ISNUMBER(B15)),B14-B15,"")</f>
        <v>53927000</v>
      </c>
      <c r="C16" s="32">
        <f>IF(AND(ISNUMBER(C14),ISNUMBER(C15)),C14-C15,"")</f>
        <v>-46404</v>
      </c>
      <c r="D16" s="31">
        <f>IF(AND(ISNUMBER(D14),ISNUMBER(D15)),D14-D15,"")</f>
        <v>-42496.246376811592</v>
      </c>
      <c r="E16" s="33"/>
    </row>
    <row r="17" spans="1:5" x14ac:dyDescent="0.25">
      <c r="A17" s="35" t="s">
        <v>72</v>
      </c>
      <c r="B17" s="36"/>
      <c r="C17" s="36"/>
      <c r="D17" s="37">
        <f>IF(AND(ISNUMBER(D13),ISNUMBER(D16)),D13+D16,"")</f>
        <v>-42454.289855072464</v>
      </c>
      <c r="E17" s="36"/>
    </row>
    <row r="19" spans="1:5" ht="19.5" customHeight="1" x14ac:dyDescent="0.25">
      <c r="A19" s="12" t="s">
        <v>73</v>
      </c>
      <c r="B19" s="12"/>
      <c r="C19" s="12"/>
      <c r="D19" s="12"/>
      <c r="E19" s="12"/>
    </row>
    <row r="20" spans="1:5" ht="30" customHeight="1" x14ac:dyDescent="0.25">
      <c r="A20" s="21" t="s">
        <v>74</v>
      </c>
      <c r="B20" s="21" t="s">
        <v>75</v>
      </c>
      <c r="C20" s="21" t="s">
        <v>76</v>
      </c>
      <c r="D20" s="21" t="s">
        <v>77</v>
      </c>
      <c r="E20" s="21" t="s">
        <v>78</v>
      </c>
    </row>
    <row r="21" spans="1:5" x14ac:dyDescent="0.25">
      <c r="A21" s="20">
        <v>9</v>
      </c>
      <c r="B21" s="30">
        <v>13800</v>
      </c>
      <c r="C21" s="30">
        <v>34743.51</v>
      </c>
      <c r="D21" s="30">
        <v>140170124</v>
      </c>
      <c r="E21" s="30">
        <v>0</v>
      </c>
    </row>
    <row r="22" spans="1:5" ht="15" customHeight="1" x14ac:dyDescent="0.25">
      <c r="A22" s="2" t="s">
        <v>79</v>
      </c>
      <c r="B22" s="2"/>
      <c r="C22" s="37">
        <f>IF(AND(ISNUMBER(C21),ISNUMBER(D21),$B$2&gt;0),C21+D21/$B$2,"")</f>
        <v>44900.765362318845</v>
      </c>
      <c r="D22" s="3" t="s">
        <v>80</v>
      </c>
      <c r="E22" s="3"/>
    </row>
    <row r="24" spans="1:5" ht="19.5" customHeight="1" x14ac:dyDescent="0.25">
      <c r="A24" s="1" t="s">
        <v>81</v>
      </c>
      <c r="B24" s="1"/>
      <c r="C24" s="1"/>
      <c r="D24" s="1"/>
      <c r="E24" s="1"/>
    </row>
    <row r="25" spans="1:5" x14ac:dyDescent="0.25">
      <c r="A25" s="21" t="s">
        <v>44</v>
      </c>
      <c r="B25" s="21" t="s">
        <v>82</v>
      </c>
      <c r="C25" s="21" t="s">
        <v>83</v>
      </c>
      <c r="D25" s="21" t="s">
        <v>84</v>
      </c>
      <c r="E25" s="21" t="s">
        <v>85</v>
      </c>
    </row>
    <row r="26" spans="1:5" x14ac:dyDescent="0.25">
      <c r="A26" s="33" t="s">
        <v>30</v>
      </c>
      <c r="B26" s="31">
        <f>IF(ISNUMBER(C6),C6,"")</f>
        <v>12412.101449275362</v>
      </c>
      <c r="C26" s="31">
        <f>IF('08-أغسطس'!$B$26="","",'08-أغسطس'!$B$26)</f>
        <v>17236.969696969696</v>
      </c>
      <c r="D26" s="31">
        <f t="shared" ref="D26:D37" si="0">IF(AND(ISNUMBER(B26),ISNUMBER(C26)),B26-C26,"")</f>
        <v>-4824.8682476943341</v>
      </c>
      <c r="E26" s="38">
        <f t="shared" ref="E26:E33" si="1">IF(AND(ISNUMBER(B26),ISNUMBER(C26)),IF(C26&lt;&gt;0,(B26-C26)/ABS(C26),""),"")</f>
        <v>-0.27991394847915513</v>
      </c>
    </row>
    <row r="27" spans="1:5" x14ac:dyDescent="0.25">
      <c r="A27" s="33" t="s">
        <v>86</v>
      </c>
      <c r="B27" s="31">
        <f>IF($H$3=1,'08-أغسطس'!$C$22,"")</f>
        <v>47944.021160606135</v>
      </c>
      <c r="C27" s="31">
        <f>IF('08-أغسطس'!$B$27="","",'08-أغسطس'!$B$27)</f>
        <v>48491.027368421055</v>
      </c>
      <c r="D27" s="31">
        <f t="shared" si="0"/>
        <v>-547.00620781492034</v>
      </c>
      <c r="E27" s="38">
        <f t="shared" si="1"/>
        <v>-1.1280565446859323E-2</v>
      </c>
    </row>
    <row r="28" spans="1:5" x14ac:dyDescent="0.25">
      <c r="A28" s="33" t="s">
        <v>87</v>
      </c>
      <c r="B28" s="31">
        <f>IF(ISNUMBER(C7),C7,"")</f>
        <v>5093.623188405797</v>
      </c>
      <c r="C28" s="31">
        <f>IF('08-أغسطس'!$B$28="","",'08-أغسطس'!$B$28)</f>
        <v>5907.727272727273</v>
      </c>
      <c r="D28" s="31">
        <f t="shared" si="0"/>
        <v>-814.10408432147597</v>
      </c>
      <c r="E28" s="38">
        <f t="shared" si="1"/>
        <v>-0.13780326117621353</v>
      </c>
    </row>
    <row r="29" spans="1:5" x14ac:dyDescent="0.25">
      <c r="A29" s="33" t="s">
        <v>88</v>
      </c>
      <c r="B29" s="31">
        <f>IF($H$3=1,C22-$H$4,"")</f>
        <v>45510.709756258242</v>
      </c>
      <c r="C29" s="31">
        <f>IF('08-أغسطس'!$B$29="","",'08-أغسطس'!$B$29)</f>
        <v>47841.664286602943</v>
      </c>
      <c r="D29" s="31">
        <f t="shared" si="0"/>
        <v>-2330.9545303447012</v>
      </c>
      <c r="E29" s="38">
        <f t="shared" si="1"/>
        <v>-4.8722270955725011E-2</v>
      </c>
    </row>
    <row r="30" spans="1:5" x14ac:dyDescent="0.25">
      <c r="A30" s="17" t="s">
        <v>89</v>
      </c>
      <c r="B30" s="31">
        <f>IF($H$3=1,B27+B28-B29,"")</f>
        <v>7526.9345927536924</v>
      </c>
      <c r="C30" s="31">
        <f>IF('08-أغسطس'!$B$30="","",'08-أغسطس'!$B$30)</f>
        <v>6557.0903545453839</v>
      </c>
      <c r="D30" s="31">
        <f t="shared" si="0"/>
        <v>969.84423820830852</v>
      </c>
      <c r="E30" s="38">
        <f t="shared" si="1"/>
        <v>0.14790771298980365</v>
      </c>
    </row>
    <row r="31" spans="1:5" x14ac:dyDescent="0.25">
      <c r="A31" s="17" t="s">
        <v>90</v>
      </c>
      <c r="B31" s="31">
        <f>IF($H$3=1,B26-B30,"")</f>
        <v>4885.1668565216696</v>
      </c>
      <c r="C31" s="31">
        <f>IF('08-أغسطس'!$B$31="","",'08-أغسطس'!$B$31)</f>
        <v>10679.879342424312</v>
      </c>
      <c r="D31" s="31">
        <f t="shared" si="0"/>
        <v>-5794.7124859026426</v>
      </c>
      <c r="E31" s="38">
        <f t="shared" si="1"/>
        <v>-0.54258220529551915</v>
      </c>
    </row>
    <row r="32" spans="1:5" x14ac:dyDescent="0.25">
      <c r="A32" s="33" t="s">
        <v>91</v>
      </c>
      <c r="B32" s="31">
        <f>IF(ISNUMBER(C8),C8,"")</f>
        <v>3175.942028985507</v>
      </c>
      <c r="C32" s="31">
        <f>IF('08-أغسطس'!$B$32="","",'08-أغسطس'!$B$32)</f>
        <v>2439.9242424242425</v>
      </c>
      <c r="D32" s="31">
        <f t="shared" si="0"/>
        <v>736.01778656126453</v>
      </c>
      <c r="E32" s="38">
        <f t="shared" si="1"/>
        <v>0.30165599970840784</v>
      </c>
    </row>
    <row r="33" spans="1:5" x14ac:dyDescent="0.25">
      <c r="A33" s="35" t="s">
        <v>92</v>
      </c>
      <c r="B33" s="37">
        <f>IF($H$3=1,B31-B32,"")</f>
        <v>1709.2248275361626</v>
      </c>
      <c r="C33" s="39">
        <f>IF('08-أغسطس'!$B$33="","",'08-أغسطس'!$B$33)</f>
        <v>8239.9551000000702</v>
      </c>
      <c r="D33" s="39">
        <f t="shared" si="0"/>
        <v>-6530.7302724639076</v>
      </c>
      <c r="E33" s="40">
        <f t="shared" si="1"/>
        <v>-0.79256867218413019</v>
      </c>
    </row>
    <row r="34" spans="1:5" x14ac:dyDescent="0.25">
      <c r="A34" s="33" t="s">
        <v>93</v>
      </c>
      <c r="B34" s="38">
        <f>IF(AND($H$3=1,N(B26)&gt;0),B33/B26,"")</f>
        <v>0.13770632108682529</v>
      </c>
      <c r="C34" s="38">
        <f>IF('08-أغسطس'!$B$34="","",'08-أغسطس'!$B$34)</f>
        <v>0.47803965806406656</v>
      </c>
      <c r="D34" s="38">
        <f t="shared" si="0"/>
        <v>-0.34033333697724127</v>
      </c>
      <c r="E34" s="38"/>
    </row>
    <row r="35" spans="1:5" x14ac:dyDescent="0.25">
      <c r="A35" s="33" t="s">
        <v>94</v>
      </c>
      <c r="B35" s="31">
        <f>IF($H$3=1,$H$4,"")</f>
        <v>-609.94439393939763</v>
      </c>
      <c r="C35" s="31">
        <f>IF('08-أغسطس'!$B$35="","",'08-أغسطس'!$B$35)</f>
        <v>102.35687400319043</v>
      </c>
      <c r="D35" s="31">
        <f t="shared" si="0"/>
        <v>-712.30126794258808</v>
      </c>
      <c r="E35" s="38">
        <f>IF(AND(ISNUMBER(B35),ISNUMBER(C35)),IF(C35&lt;&gt;0,(B35-C35)/ABS(C35),""),"")</f>
        <v>-6.9589978677971924</v>
      </c>
    </row>
    <row r="36" spans="1:5" x14ac:dyDescent="0.25">
      <c r="A36" s="35" t="s">
        <v>95</v>
      </c>
      <c r="B36" s="37">
        <f>IF($H$3=1,B33+B35,"")</f>
        <v>1099.2804335967649</v>
      </c>
      <c r="C36" s="39">
        <f>IF('08-أغسطس'!$B$36="","",'08-أغسطس'!$B$36)</f>
        <v>8342.3119740032598</v>
      </c>
      <c r="D36" s="39">
        <f t="shared" si="0"/>
        <v>-7243.031540406495</v>
      </c>
      <c r="E36" s="40">
        <f>IF(AND(ISNUMBER(B36),ISNUMBER(C36)),IF(C36&lt;&gt;0,(B36-C36)/ABS(C36),""),"")</f>
        <v>-0.86822832363229774</v>
      </c>
    </row>
    <row r="37" spans="1:5" x14ac:dyDescent="0.25">
      <c r="A37" s="33" t="s">
        <v>96</v>
      </c>
      <c r="B37" s="31">
        <f>IF(ISNUMBER(C9),C9,"")</f>
        <v>4142.536231884058</v>
      </c>
      <c r="C37" s="31">
        <f>IF('08-أغسطس'!$B$37="","",'08-أغسطس'!$B$37)</f>
        <v>8889.318181818182</v>
      </c>
      <c r="D37" s="31">
        <f t="shared" si="0"/>
        <v>-4746.781949934124</v>
      </c>
      <c r="E37" s="38">
        <f>IF(AND(ISNUMBER(B37),ISNUMBER(C37)),IF(C37&lt;&gt;0,(B37-C37)/ABS(C37),""),"")</f>
        <v>-0.53398718021399905</v>
      </c>
    </row>
    <row r="39" spans="1:5" ht="19.5" customHeight="1" x14ac:dyDescent="0.25">
      <c r="A39" s="12" t="s">
        <v>97</v>
      </c>
      <c r="B39" s="12"/>
      <c r="C39" s="12"/>
      <c r="D39" s="12"/>
      <c r="E39" s="12"/>
    </row>
    <row r="40" spans="1:5" x14ac:dyDescent="0.25">
      <c r="A40" s="21" t="s">
        <v>98</v>
      </c>
      <c r="B40" s="21" t="s">
        <v>99</v>
      </c>
      <c r="C40" s="21" t="s">
        <v>100</v>
      </c>
      <c r="D40" s="21" t="s">
        <v>101</v>
      </c>
      <c r="E40" s="21" t="s">
        <v>85</v>
      </c>
    </row>
    <row r="41" spans="1:5" x14ac:dyDescent="0.25">
      <c r="A41" s="17" t="s">
        <v>102</v>
      </c>
      <c r="B41" s="38">
        <f>IF(AND(ISNUMBER(B32),N(B26)&gt;0),B32/B26,"")</f>
        <v>0.2558746431427954</v>
      </c>
      <c r="C41" s="38">
        <f>IF('08-أغسطس'!$B$41="","",'08-أغسطس'!$B$41)</f>
        <v>0.14155180900812209</v>
      </c>
      <c r="D41" s="38">
        <f>IF(AND(ISNUMBER(B41),ISNUMBER(C41)),B41-C41,"")</f>
        <v>0.11432283413467331</v>
      </c>
      <c r="E41" s="38"/>
    </row>
    <row r="42" spans="1:5" x14ac:dyDescent="0.25">
      <c r="A42" s="17" t="s">
        <v>103</v>
      </c>
      <c r="B42" s="38">
        <f>IF(AND(ISNUMBER(B30),N(B26)&gt;0),B30/B26,"")</f>
        <v>0.60641903577037926</v>
      </c>
      <c r="C42" s="38">
        <f>IF('08-أغسطس'!$B$42="","",'08-أغسطس'!$B$42)</f>
        <v>0.3804085329278114</v>
      </c>
      <c r="D42" s="38">
        <f>IF(AND(ISNUMBER(B42),ISNUMBER(C42)),B42-C42,"")</f>
        <v>0.22601050284256785</v>
      </c>
      <c r="E42" s="38"/>
    </row>
    <row r="43" spans="1:5" x14ac:dyDescent="0.25">
      <c r="A43" s="17" t="s">
        <v>104</v>
      </c>
      <c r="B43" s="31">
        <f>IF(ISNUMBER(C22),C22,"")</f>
        <v>44900.765362318845</v>
      </c>
      <c r="C43" s="31">
        <f>IF('08-أغسطس'!$B$43="","",'08-أغسطس'!$B$43)</f>
        <v>47944.021160606135</v>
      </c>
      <c r="D43" s="31">
        <f>IF(AND(ISNUMBER(B43),ISNUMBER(C43)),B43-C43,"")</f>
        <v>-3043.2557982872895</v>
      </c>
      <c r="E43" s="38">
        <f>IF(AND(ISNUMBER(B43),ISNUMBER(C43)),IF(C43&lt;&gt;0,(B43-C43)/ABS(C43),""),"")</f>
        <v>-6.3475188868551191E-2</v>
      </c>
    </row>
    <row r="44" spans="1:5" x14ac:dyDescent="0.25">
      <c r="A44" s="17" t="s">
        <v>105</v>
      </c>
      <c r="B44" s="38">
        <f>IF(AND(ISNUMBER(C22),$B$2&gt;0),IF(C22&gt;0,(D21/$B$2)/C22,""),"")</f>
        <v>0.22621563976374684</v>
      </c>
      <c r="C44" s="38">
        <f>IF('08-أغسطس'!$B$44="","",'08-أغسطس'!$B$44)</f>
        <v>0.29260626707993009</v>
      </c>
      <c r="D44" s="38">
        <f>IF(AND(ISNUMBER(B44),ISNUMBER(C44)),B44-C44,"")</f>
        <v>-6.6390627316183254E-2</v>
      </c>
      <c r="E44" s="38"/>
    </row>
    <row r="45" spans="1:5" x14ac:dyDescent="0.25">
      <c r="A45" s="17" t="s">
        <v>106</v>
      </c>
      <c r="B45" s="31">
        <f>IF(ISNUMBER(D17),D17,"")</f>
        <v>-42454.289855072464</v>
      </c>
      <c r="C45" s="31">
        <f>IF('08-أغسطس'!$B$45="","",'08-أغسطس'!$B$45)</f>
        <v>21959.121212121216</v>
      </c>
      <c r="D45" s="31">
        <f>IF(AND(ISNUMBER(B45),ISNUMBER(C45)),B45-C45,"")</f>
        <v>-64413.41106719368</v>
      </c>
      <c r="E45" s="38">
        <f>IF(AND(ISNUMBER(B45),ISNUMBER(C45)),IF(C45&lt;&gt;0,(B45-C45)/ABS(C45),""),"")</f>
        <v>-2.9333328253426698</v>
      </c>
    </row>
    <row r="47" spans="1:5" ht="15" customHeight="1" x14ac:dyDescent="0.25">
      <c r="A47" s="11" t="s">
        <v>107</v>
      </c>
      <c r="B47" s="11"/>
      <c r="C47" s="11"/>
      <c r="D47" s="11"/>
      <c r="E47" s="11"/>
    </row>
    <row r="48" spans="1:5" x14ac:dyDescent="0.25">
      <c r="A48" s="11"/>
      <c r="B48" s="11"/>
      <c r="C48" s="11"/>
      <c r="D48" s="11"/>
      <c r="E48" s="11"/>
    </row>
  </sheetData>
  <mergeCells count="16">
    <mergeCell ref="A47:E48"/>
    <mergeCell ref="A19:E19"/>
    <mergeCell ref="A22:B22"/>
    <mergeCell ref="D22:E22"/>
    <mergeCell ref="A24:E24"/>
    <mergeCell ref="A39:E39"/>
    <mergeCell ref="D6:E6"/>
    <mergeCell ref="D7:E7"/>
    <mergeCell ref="D8:E8"/>
    <mergeCell ref="D9:E9"/>
    <mergeCell ref="A11:E11"/>
    <mergeCell ref="A1:E1"/>
    <mergeCell ref="D2:E2"/>
    <mergeCell ref="A3:E3"/>
    <mergeCell ref="A4:E4"/>
    <mergeCell ref="D5:E5"/>
  </mergeCells>
  <conditionalFormatting sqref="A3">
    <cfRule type="expression" dxfId="25" priority="2">
      <formula>LEFT($A$3,1)="⚠"</formula>
    </cfRule>
    <cfRule type="expression" dxfId="24" priority="3">
      <formula>LEFT($A$3,1)="✅"</formula>
    </cfRule>
    <cfRule type="expression" dxfId="23" priority="4">
      <formula>LEFT($A$3,1)="ℹ"</formula>
    </cfRule>
  </conditionalFormatting>
  <conditionalFormatting sqref="A21:E21">
    <cfRule type="expression" dxfId="22" priority="7">
      <formula>OR($H$10=1,$H$11=1,$H$12=1)</formula>
    </cfRule>
  </conditionalFormatting>
  <conditionalFormatting sqref="D2">
    <cfRule type="expression" dxfId="21" priority="5">
      <formula>LEFT($D$2,1)="✅"</formula>
    </cfRule>
    <cfRule type="expression" dxfId="20" priority="6">
      <formula>LEFT($D$2,1)="⚠"</formula>
    </cfRule>
  </conditionalFormatting>
  <dataValidations count="1">
    <dataValidation type="decimal" operator="greaterThanOrEqual" allowBlank="1" errorTitle="قيمة غير صالحة" error="أدخل رقمًا موجبًا (بالليرة السورية)." sqref="B6:B8 B13:C15" xr:uid="{00000000-0002-0000-0900-000000000000}">
      <formula1>0</formula1>
      <formula2>0</formula2>
    </dataValidation>
  </dataValidations>
  <printOptions horizontalCentered="1"/>
  <pageMargins left="0.4" right="0.4" top="0.5" bottom="0.6" header="0.511811023622047" footer="0.5"/>
  <pageSetup paperSize="9" orientation="portrait" horizontalDpi="300" verticalDpi="300"/>
  <headerFooter>
    <oddFooter>&amp;C&amp;8 &amp;A  —  صفحة &amp;P من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D8C"/>
    <pageSetUpPr fitToPage="1"/>
  </sheetPr>
  <dimension ref="A1:H48"/>
  <sheetViews>
    <sheetView showGridLines="0" rightToLeft="1" zoomScaleNormal="100" workbookViewId="0">
      <pane ySplit="3" topLeftCell="A4" activePane="bottomLeft" state="frozen"/>
      <selection pane="bottomLeft" sqref="A1:E1"/>
    </sheetView>
  </sheetViews>
  <sheetFormatPr defaultColWidth="8.7109375" defaultRowHeight="15" x14ac:dyDescent="0.25"/>
  <cols>
    <col min="1" max="1" width="40" customWidth="1"/>
    <col min="2" max="4" width="19" customWidth="1"/>
    <col min="5" max="5" width="14" customWidth="1"/>
    <col min="6" max="6" width="3" customWidth="1"/>
    <col min="7" max="7" width="38" customWidth="1"/>
    <col min="8" max="8" width="16" customWidth="1"/>
  </cols>
  <sheetData>
    <row r="1" spans="1:8" ht="31.5" customHeight="1" x14ac:dyDescent="0.25">
      <c r="A1" s="14" t="s">
        <v>116</v>
      </c>
      <c r="B1" s="14"/>
      <c r="C1" s="14"/>
      <c r="D1" s="14"/>
      <c r="E1" s="14"/>
      <c r="G1" s="19" t="s">
        <v>38</v>
      </c>
    </row>
    <row r="2" spans="1:8" x14ac:dyDescent="0.25">
      <c r="A2" s="17" t="s">
        <v>39</v>
      </c>
      <c r="B2" s="27">
        <f>IF(ISNUMBER('لوحة التحكم'!$C$19),'لوحة التحكم'!$C$19,0)</f>
        <v>14200</v>
      </c>
      <c r="C2" s="28" t="s">
        <v>12</v>
      </c>
      <c r="D2" s="5" t="str">
        <f>$H$6</f>
        <v>لا بيانات</v>
      </c>
      <c r="E2" s="5"/>
      <c r="G2" s="19" t="s">
        <v>40</v>
      </c>
      <c r="H2" s="41">
        <f>'09-سبتمبر'!$B$2</f>
        <v>13800</v>
      </c>
    </row>
    <row r="3" spans="1:8" ht="36" customHeight="1" x14ac:dyDescent="0.25">
      <c r="A3" s="10" t="str">
        <f>IF($H$5=0,"لا توجد بيانات لهذا الشهر بعد — أدخل المدخلات أدناه",IF($H$13&gt;0,(IF($H$7=1,"⚠ سعر الصرف غير مُدخل في لوحة التحكم.  ","")&amp;IF($H$8=1,"⚠ أكمل المبيعات والمشتريات والمصاريف.  ","")&amp;IF($H$9=1,"⚠ الصق بيانات المستودع في فقرة «بيانات المستودع».  ","")&amp;IF($H$10=1,"⚠ الصف الملصوق يخص شهرًا آخر.  ","")&amp;IF($H$11=1,"⚠ سعر صرف المستودع ("&amp;$B$21&amp;") يختلف عن سعر لوحة التحكم ("&amp;$B$2&amp;").  ","")&amp;IF($H$12=1,"⚠ ملف المستودع فيه أصناف بها أخطاء (العدد: "&amp;$E$21&amp;") — صحّحها ثم أعد التصدير.","")),IF($H$3=1,"✅ البيانات مكتملة — الربح الحقيقي محسوب","ℹ الربح الحقيقي غير متاح (يلزم مخزون هذا الشهر والشهر السابق وسعر صرف الشهرين) — المعروض ربح تقديري فقط")))</f>
        <v>لا توجد بيانات لهذا الشهر بعد — أدخل المدخلات أدناه</v>
      </c>
      <c r="B3" s="10"/>
      <c r="C3" s="10"/>
      <c r="D3" s="10"/>
      <c r="E3" s="10"/>
      <c r="G3" s="19" t="s">
        <v>41</v>
      </c>
      <c r="H3" s="29">
        <f>IF(AND($B$2&gt;0,H2&gt;0,COUNT(B6:B8)=3,ISNUMBER(C22),ISNUMBER('09-سبتمبر'!$C$22),ISNUMBER('09-سبتمبر'!$D$21)),1,0)</f>
        <v>0</v>
      </c>
    </row>
    <row r="4" spans="1:8" ht="19.5" customHeight="1" x14ac:dyDescent="0.25">
      <c r="A4" s="12" t="s">
        <v>42</v>
      </c>
      <c r="B4" s="12"/>
      <c r="C4" s="12"/>
      <c r="D4" s="12"/>
      <c r="E4" s="12"/>
      <c r="G4" s="19" t="s">
        <v>43</v>
      </c>
      <c r="H4" s="29">
        <f>IF(H3=1,'09-سبتمبر'!$D$21*(1/$B$2-1/H2),0)</f>
        <v>0</v>
      </c>
    </row>
    <row r="5" spans="1:8" ht="15" customHeight="1" x14ac:dyDescent="0.25">
      <c r="A5" s="21" t="s">
        <v>44</v>
      </c>
      <c r="B5" s="21" t="s">
        <v>45</v>
      </c>
      <c r="C5" s="21" t="s">
        <v>46</v>
      </c>
      <c r="D5" s="4" t="s">
        <v>47</v>
      </c>
      <c r="E5" s="4"/>
      <c r="G5" s="19" t="s">
        <v>48</v>
      </c>
      <c r="H5" s="29">
        <f>IF(COUNTA(B6:B8,B13:C15,A21:E21)&gt;0,1,0)</f>
        <v>0</v>
      </c>
    </row>
    <row r="6" spans="1:8" ht="15" customHeight="1" x14ac:dyDescent="0.25">
      <c r="A6" s="17" t="s">
        <v>30</v>
      </c>
      <c r="B6" s="30"/>
      <c r="C6" s="31" t="str">
        <f>IF(AND(ISNUMBER(B6),$B$2&gt;0),B6/$B$2,"")</f>
        <v/>
      </c>
      <c r="D6" s="3" t="s">
        <v>49</v>
      </c>
      <c r="E6" s="3"/>
      <c r="G6" s="19" t="s">
        <v>12</v>
      </c>
      <c r="H6" s="29" t="str">
        <f>IF(H5=0,"لا بيانات",IF(H3=1,IF(H13=0,"✅ جاهز — ربح حقيقي","⚠ ربح حقيقي مع تنبيهات"),IF(H13&gt;0,"⚠ تنبيهات — راجع الصفحة",IF(COUNT(B6:B8)=3,"ℹ ربح تقديري فقط","⚠ بيانات ناقصة"))))</f>
        <v>لا بيانات</v>
      </c>
    </row>
    <row r="7" spans="1:8" ht="15" customHeight="1" x14ac:dyDescent="0.25">
      <c r="A7" s="17" t="s">
        <v>50</v>
      </c>
      <c r="B7" s="30"/>
      <c r="C7" s="31" t="str">
        <f>IF(AND(ISNUMBER(B7),$B$2&gt;0),B7/$B$2,"")</f>
        <v/>
      </c>
      <c r="D7" s="3" t="s">
        <v>51</v>
      </c>
      <c r="E7" s="3"/>
      <c r="G7" s="19" t="s">
        <v>52</v>
      </c>
      <c r="H7" s="29">
        <f>IF(AND(H5=1,$B$2&lt;=0),1,0)</f>
        <v>0</v>
      </c>
    </row>
    <row r="8" spans="1:8" ht="15" customHeight="1" x14ac:dyDescent="0.25">
      <c r="A8" s="17" t="s">
        <v>33</v>
      </c>
      <c r="B8" s="30"/>
      <c r="C8" s="31" t="str">
        <f>IF(AND(ISNUMBER(B8),$B$2&gt;0),B8/$B$2,"")</f>
        <v/>
      </c>
      <c r="D8" s="3" t="s">
        <v>53</v>
      </c>
      <c r="E8" s="3"/>
      <c r="G8" s="19" t="s">
        <v>54</v>
      </c>
      <c r="H8" s="29">
        <f>IF(AND(H5=1,COUNT(B6:B8)&lt;3),1,0)</f>
        <v>0</v>
      </c>
    </row>
    <row r="9" spans="1:8" ht="15" customHeight="1" x14ac:dyDescent="0.25">
      <c r="A9" s="17" t="s">
        <v>55</v>
      </c>
      <c r="B9" s="32" t="str">
        <f>IF(COUNT(B6:B8)=3,B6-B7-B8,"")</f>
        <v/>
      </c>
      <c r="C9" s="31" t="str">
        <f>IF(AND(ISNUMBER(B9),$B$2&gt;0),B9/$B$2,"")</f>
        <v/>
      </c>
      <c r="D9" s="3" t="s">
        <v>56</v>
      </c>
      <c r="E9" s="3"/>
      <c r="G9" s="19" t="s">
        <v>57</v>
      </c>
      <c r="H9" s="29">
        <f>IF(AND(H5=1,H15&gt;=H14,NOT(AND(ISNUMBER(C21),ISNUMBER(D21)))),1,0)</f>
        <v>0</v>
      </c>
    </row>
    <row r="10" spans="1:8" x14ac:dyDescent="0.25">
      <c r="G10" s="19" t="s">
        <v>58</v>
      </c>
      <c r="H10" s="29">
        <f>IF(AND(ISNUMBER(A21),A21&lt;&gt;H15),1,0)</f>
        <v>0</v>
      </c>
    </row>
    <row r="11" spans="1:8" ht="19.5" customHeight="1" x14ac:dyDescent="0.25">
      <c r="A11" s="12" t="s">
        <v>59</v>
      </c>
      <c r="B11" s="12"/>
      <c r="C11" s="12"/>
      <c r="D11" s="12"/>
      <c r="E11" s="12"/>
      <c r="G11" s="19" t="s">
        <v>60</v>
      </c>
      <c r="H11" s="29">
        <f>IF(AND(ISNUMBER(B21),$B$2&gt;0,ABS(B21-$B$2)&gt;0.5),1,0)</f>
        <v>0</v>
      </c>
    </row>
    <row r="12" spans="1:8" x14ac:dyDescent="0.25">
      <c r="A12" s="21" t="s">
        <v>44</v>
      </c>
      <c r="B12" s="21" t="s">
        <v>61</v>
      </c>
      <c r="C12" s="21" t="s">
        <v>62</v>
      </c>
      <c r="D12" s="21" t="s">
        <v>63</v>
      </c>
      <c r="E12" s="21"/>
      <c r="G12" s="19" t="s">
        <v>64</v>
      </c>
      <c r="H12" s="29">
        <f>IF(N(E21)&gt;0,1,0)</f>
        <v>0</v>
      </c>
    </row>
    <row r="13" spans="1:8" x14ac:dyDescent="0.25">
      <c r="A13" s="17" t="s">
        <v>65</v>
      </c>
      <c r="B13" s="30"/>
      <c r="C13" s="30"/>
      <c r="D13" s="31" t="str">
        <f>IF(AND(ISNUMBER(B13),ISNUMBER(C13),$B$2&gt;0),B13/$B$2+C13,"")</f>
        <v/>
      </c>
      <c r="E13" s="33"/>
      <c r="G13" s="19" t="s">
        <v>66</v>
      </c>
      <c r="H13" s="29">
        <f>SUM(H7:H12)</f>
        <v>0</v>
      </c>
    </row>
    <row r="14" spans="1:8" x14ac:dyDescent="0.25">
      <c r="A14" s="17" t="s">
        <v>67</v>
      </c>
      <c r="B14" s="30"/>
      <c r="C14" s="30"/>
      <c r="D14" s="31" t="str">
        <f>IF(AND(ISNUMBER(B14),ISNUMBER(C14),$B$2&gt;0),B14/$B$2+C14,"")</f>
        <v/>
      </c>
      <c r="E14" s="33"/>
      <c r="G14" s="19" t="s">
        <v>68</v>
      </c>
      <c r="H14" s="34">
        <f>'لوحة التحكم'!$C$6</f>
        <v>6</v>
      </c>
    </row>
    <row r="15" spans="1:8" x14ac:dyDescent="0.25">
      <c r="A15" s="17" t="s">
        <v>69</v>
      </c>
      <c r="B15" s="30"/>
      <c r="C15" s="30"/>
      <c r="D15" s="31" t="str">
        <f>IF(AND(ISNUMBER(B15),ISNUMBER(C15),$B$2&gt;0),B15/$B$2+C15,"")</f>
        <v/>
      </c>
      <c r="E15" s="33"/>
      <c r="G15" s="19" t="s">
        <v>70</v>
      </c>
      <c r="H15" s="29">
        <v>10</v>
      </c>
    </row>
    <row r="16" spans="1:8" x14ac:dyDescent="0.25">
      <c r="A16" s="17" t="s">
        <v>71</v>
      </c>
      <c r="B16" s="32" t="str">
        <f>IF(AND(ISNUMBER(B14),ISNUMBER(B15)),B14-B15,"")</f>
        <v/>
      </c>
      <c r="C16" s="32" t="str">
        <f>IF(AND(ISNUMBER(C14),ISNUMBER(C15)),C14-C15,"")</f>
        <v/>
      </c>
      <c r="D16" s="31" t="str">
        <f>IF(AND(ISNUMBER(D14),ISNUMBER(D15)),D14-D15,"")</f>
        <v/>
      </c>
      <c r="E16" s="33"/>
    </row>
    <row r="17" spans="1:5" x14ac:dyDescent="0.25">
      <c r="A17" s="35" t="s">
        <v>72</v>
      </c>
      <c r="B17" s="36"/>
      <c r="C17" s="36"/>
      <c r="D17" s="37" t="str">
        <f>IF(AND(ISNUMBER(D13),ISNUMBER(D16)),D13+D16,"")</f>
        <v/>
      </c>
      <c r="E17" s="36"/>
    </row>
    <row r="19" spans="1:5" ht="19.5" customHeight="1" x14ac:dyDescent="0.25">
      <c r="A19" s="12" t="s">
        <v>73</v>
      </c>
      <c r="B19" s="12"/>
      <c r="C19" s="12"/>
      <c r="D19" s="12"/>
      <c r="E19" s="12"/>
    </row>
    <row r="20" spans="1:5" ht="30" customHeight="1" x14ac:dyDescent="0.25">
      <c r="A20" s="21" t="s">
        <v>74</v>
      </c>
      <c r="B20" s="21" t="s">
        <v>75</v>
      </c>
      <c r="C20" s="21" t="s">
        <v>76</v>
      </c>
      <c r="D20" s="21" t="s">
        <v>77</v>
      </c>
      <c r="E20" s="21" t="s">
        <v>78</v>
      </c>
    </row>
    <row r="21" spans="1:5" x14ac:dyDescent="0.25">
      <c r="A21" s="20"/>
      <c r="B21" s="30"/>
      <c r="C21" s="30"/>
      <c r="D21" s="30"/>
      <c r="E21" s="30"/>
    </row>
    <row r="22" spans="1:5" ht="15" customHeight="1" x14ac:dyDescent="0.25">
      <c r="A22" s="2" t="s">
        <v>79</v>
      </c>
      <c r="B22" s="2"/>
      <c r="C22" s="37" t="str">
        <f>IF(AND(ISNUMBER(C21),ISNUMBER(D21),$B$2&gt;0),C21+D21/$B$2,"")</f>
        <v/>
      </c>
      <c r="D22" s="3" t="s">
        <v>80</v>
      </c>
      <c r="E22" s="3"/>
    </row>
    <row r="24" spans="1:5" ht="19.5" customHeight="1" x14ac:dyDescent="0.25">
      <c r="A24" s="1" t="s">
        <v>81</v>
      </c>
      <c r="B24" s="1"/>
      <c r="C24" s="1"/>
      <c r="D24" s="1"/>
      <c r="E24" s="1"/>
    </row>
    <row r="25" spans="1:5" x14ac:dyDescent="0.25">
      <c r="A25" s="21" t="s">
        <v>44</v>
      </c>
      <c r="B25" s="21" t="s">
        <v>82</v>
      </c>
      <c r="C25" s="21" t="s">
        <v>83</v>
      </c>
      <c r="D25" s="21" t="s">
        <v>84</v>
      </c>
      <c r="E25" s="21" t="s">
        <v>85</v>
      </c>
    </row>
    <row r="26" spans="1:5" x14ac:dyDescent="0.25">
      <c r="A26" s="33" t="s">
        <v>30</v>
      </c>
      <c r="B26" s="31" t="str">
        <f>IF(ISNUMBER(C6),C6,"")</f>
        <v/>
      </c>
      <c r="C26" s="31">
        <f>IF('09-سبتمبر'!$B$26="","",'09-سبتمبر'!$B$26)</f>
        <v>12412.101449275362</v>
      </c>
      <c r="D26" s="31" t="str">
        <f t="shared" ref="D26:D37" si="0">IF(AND(ISNUMBER(B26),ISNUMBER(C26)),B26-C26,"")</f>
        <v/>
      </c>
      <c r="E26" s="38" t="str">
        <f t="shared" ref="E26:E33" si="1">IF(AND(ISNUMBER(B26),ISNUMBER(C26)),IF(C26&lt;&gt;0,(B26-C26)/ABS(C26),""),"")</f>
        <v/>
      </c>
    </row>
    <row r="27" spans="1:5" x14ac:dyDescent="0.25">
      <c r="A27" s="33" t="s">
        <v>86</v>
      </c>
      <c r="B27" s="31" t="str">
        <f>IF($H$3=1,'09-سبتمبر'!$C$22,"")</f>
        <v/>
      </c>
      <c r="C27" s="31">
        <f>IF('09-سبتمبر'!$B$27="","",'09-سبتمبر'!$B$27)</f>
        <v>47944.021160606135</v>
      </c>
      <c r="D27" s="31" t="str">
        <f t="shared" si="0"/>
        <v/>
      </c>
      <c r="E27" s="38" t="str">
        <f t="shared" si="1"/>
        <v/>
      </c>
    </row>
    <row r="28" spans="1:5" x14ac:dyDescent="0.25">
      <c r="A28" s="33" t="s">
        <v>87</v>
      </c>
      <c r="B28" s="31" t="str">
        <f>IF(ISNUMBER(C7),C7,"")</f>
        <v/>
      </c>
      <c r="C28" s="31">
        <f>IF('09-سبتمبر'!$B$28="","",'09-سبتمبر'!$B$28)</f>
        <v>5093.623188405797</v>
      </c>
      <c r="D28" s="31" t="str">
        <f t="shared" si="0"/>
        <v/>
      </c>
      <c r="E28" s="38" t="str">
        <f t="shared" si="1"/>
        <v/>
      </c>
    </row>
    <row r="29" spans="1:5" x14ac:dyDescent="0.25">
      <c r="A29" s="33" t="s">
        <v>88</v>
      </c>
      <c r="B29" s="31" t="str">
        <f>IF($H$3=1,C22-$H$4,"")</f>
        <v/>
      </c>
      <c r="C29" s="31">
        <f>IF('09-سبتمبر'!$B$29="","",'09-سبتمبر'!$B$29)</f>
        <v>45510.709756258242</v>
      </c>
      <c r="D29" s="31" t="str">
        <f t="shared" si="0"/>
        <v/>
      </c>
      <c r="E29" s="38" t="str">
        <f t="shared" si="1"/>
        <v/>
      </c>
    </row>
    <row r="30" spans="1:5" x14ac:dyDescent="0.25">
      <c r="A30" s="17" t="s">
        <v>89</v>
      </c>
      <c r="B30" s="31" t="str">
        <f>IF($H$3=1,B27+B28-B29,"")</f>
        <v/>
      </c>
      <c r="C30" s="31">
        <f>IF('09-سبتمبر'!$B$30="","",'09-سبتمبر'!$B$30)</f>
        <v>7526.9345927536924</v>
      </c>
      <c r="D30" s="31" t="str">
        <f t="shared" si="0"/>
        <v/>
      </c>
      <c r="E30" s="38" t="str">
        <f t="shared" si="1"/>
        <v/>
      </c>
    </row>
    <row r="31" spans="1:5" x14ac:dyDescent="0.25">
      <c r="A31" s="17" t="s">
        <v>90</v>
      </c>
      <c r="B31" s="31" t="str">
        <f>IF($H$3=1,B26-B30,"")</f>
        <v/>
      </c>
      <c r="C31" s="31">
        <f>IF('09-سبتمبر'!$B$31="","",'09-سبتمبر'!$B$31)</f>
        <v>4885.1668565216696</v>
      </c>
      <c r="D31" s="31" t="str">
        <f t="shared" si="0"/>
        <v/>
      </c>
      <c r="E31" s="38" t="str">
        <f t="shared" si="1"/>
        <v/>
      </c>
    </row>
    <row r="32" spans="1:5" x14ac:dyDescent="0.25">
      <c r="A32" s="33" t="s">
        <v>91</v>
      </c>
      <c r="B32" s="31" t="str">
        <f>IF(ISNUMBER(C8),C8,"")</f>
        <v/>
      </c>
      <c r="C32" s="31">
        <f>IF('09-سبتمبر'!$B$32="","",'09-سبتمبر'!$B$32)</f>
        <v>3175.942028985507</v>
      </c>
      <c r="D32" s="31" t="str">
        <f t="shared" si="0"/>
        <v/>
      </c>
      <c r="E32" s="38" t="str">
        <f t="shared" si="1"/>
        <v/>
      </c>
    </row>
    <row r="33" spans="1:5" x14ac:dyDescent="0.25">
      <c r="A33" s="35" t="s">
        <v>92</v>
      </c>
      <c r="B33" s="37" t="str">
        <f>IF($H$3=1,B31-B32,"")</f>
        <v/>
      </c>
      <c r="C33" s="39">
        <f>IF('09-سبتمبر'!$B$33="","",'09-سبتمبر'!$B$33)</f>
        <v>1709.2248275361626</v>
      </c>
      <c r="D33" s="39" t="str">
        <f t="shared" si="0"/>
        <v/>
      </c>
      <c r="E33" s="40" t="str">
        <f t="shared" si="1"/>
        <v/>
      </c>
    </row>
    <row r="34" spans="1:5" x14ac:dyDescent="0.25">
      <c r="A34" s="33" t="s">
        <v>93</v>
      </c>
      <c r="B34" s="38" t="str">
        <f>IF(AND($H$3=1,N(B26)&gt;0),B33/B26,"")</f>
        <v/>
      </c>
      <c r="C34" s="38">
        <f>IF('09-سبتمبر'!$B$34="","",'09-سبتمبر'!$B$34)</f>
        <v>0.13770632108682529</v>
      </c>
      <c r="D34" s="38" t="str">
        <f t="shared" si="0"/>
        <v/>
      </c>
      <c r="E34" s="38"/>
    </row>
    <row r="35" spans="1:5" x14ac:dyDescent="0.25">
      <c r="A35" s="33" t="s">
        <v>94</v>
      </c>
      <c r="B35" s="31" t="str">
        <f>IF($H$3=1,$H$4,"")</f>
        <v/>
      </c>
      <c r="C35" s="31">
        <f>IF('09-سبتمبر'!$B$35="","",'09-سبتمبر'!$B$35)</f>
        <v>-609.94439393939763</v>
      </c>
      <c r="D35" s="31" t="str">
        <f t="shared" si="0"/>
        <v/>
      </c>
      <c r="E35" s="38" t="str">
        <f>IF(AND(ISNUMBER(B35),ISNUMBER(C35)),IF(C35&lt;&gt;0,(B35-C35)/ABS(C35),""),"")</f>
        <v/>
      </c>
    </row>
    <row r="36" spans="1:5" x14ac:dyDescent="0.25">
      <c r="A36" s="35" t="s">
        <v>95</v>
      </c>
      <c r="B36" s="37" t="str">
        <f>IF($H$3=1,B33+B35,"")</f>
        <v/>
      </c>
      <c r="C36" s="39">
        <f>IF('09-سبتمبر'!$B$36="","",'09-سبتمبر'!$B$36)</f>
        <v>1099.2804335967649</v>
      </c>
      <c r="D36" s="39" t="str">
        <f t="shared" si="0"/>
        <v/>
      </c>
      <c r="E36" s="40" t="str">
        <f>IF(AND(ISNUMBER(B36),ISNUMBER(C36)),IF(C36&lt;&gt;0,(B36-C36)/ABS(C36),""),"")</f>
        <v/>
      </c>
    </row>
    <row r="37" spans="1:5" x14ac:dyDescent="0.25">
      <c r="A37" s="33" t="s">
        <v>96</v>
      </c>
      <c r="B37" s="31" t="str">
        <f>IF(ISNUMBER(C9),C9,"")</f>
        <v/>
      </c>
      <c r="C37" s="31">
        <f>IF('09-سبتمبر'!$B$37="","",'09-سبتمبر'!$B$37)</f>
        <v>4142.536231884058</v>
      </c>
      <c r="D37" s="31" t="str">
        <f t="shared" si="0"/>
        <v/>
      </c>
      <c r="E37" s="38" t="str">
        <f>IF(AND(ISNUMBER(B37),ISNUMBER(C37)),IF(C37&lt;&gt;0,(B37-C37)/ABS(C37),""),"")</f>
        <v/>
      </c>
    </row>
    <row r="39" spans="1:5" ht="19.5" customHeight="1" x14ac:dyDescent="0.25">
      <c r="A39" s="12" t="s">
        <v>97</v>
      </c>
      <c r="B39" s="12"/>
      <c r="C39" s="12"/>
      <c r="D39" s="12"/>
      <c r="E39" s="12"/>
    </row>
    <row r="40" spans="1:5" x14ac:dyDescent="0.25">
      <c r="A40" s="21" t="s">
        <v>98</v>
      </c>
      <c r="B40" s="21" t="s">
        <v>99</v>
      </c>
      <c r="C40" s="21" t="s">
        <v>100</v>
      </c>
      <c r="D40" s="21" t="s">
        <v>101</v>
      </c>
      <c r="E40" s="21" t="s">
        <v>85</v>
      </c>
    </row>
    <row r="41" spans="1:5" x14ac:dyDescent="0.25">
      <c r="A41" s="17" t="s">
        <v>102</v>
      </c>
      <c r="B41" s="38" t="str">
        <f>IF(AND(ISNUMBER(B32),N(B26)&gt;0),B32/B26,"")</f>
        <v/>
      </c>
      <c r="C41" s="38">
        <f>IF('09-سبتمبر'!$B$41="","",'09-سبتمبر'!$B$41)</f>
        <v>0.2558746431427954</v>
      </c>
      <c r="D41" s="38" t="str">
        <f>IF(AND(ISNUMBER(B41),ISNUMBER(C41)),B41-C41,"")</f>
        <v/>
      </c>
      <c r="E41" s="38"/>
    </row>
    <row r="42" spans="1:5" x14ac:dyDescent="0.25">
      <c r="A42" s="17" t="s">
        <v>103</v>
      </c>
      <c r="B42" s="38" t="str">
        <f>IF(AND(ISNUMBER(B30),N(B26)&gt;0),B30/B26,"")</f>
        <v/>
      </c>
      <c r="C42" s="38">
        <f>IF('09-سبتمبر'!$B$42="","",'09-سبتمبر'!$B$42)</f>
        <v>0.60641903577037926</v>
      </c>
      <c r="D42" s="38" t="str">
        <f>IF(AND(ISNUMBER(B42),ISNUMBER(C42)),B42-C42,"")</f>
        <v/>
      </c>
      <c r="E42" s="38"/>
    </row>
    <row r="43" spans="1:5" x14ac:dyDescent="0.25">
      <c r="A43" s="17" t="s">
        <v>104</v>
      </c>
      <c r="B43" s="31" t="str">
        <f>IF(ISNUMBER(C22),C22,"")</f>
        <v/>
      </c>
      <c r="C43" s="31">
        <f>IF('09-سبتمبر'!$B$43="","",'09-سبتمبر'!$B$43)</f>
        <v>44900.765362318845</v>
      </c>
      <c r="D43" s="31" t="str">
        <f>IF(AND(ISNUMBER(B43),ISNUMBER(C43)),B43-C43,"")</f>
        <v/>
      </c>
      <c r="E43" s="38" t="str">
        <f>IF(AND(ISNUMBER(B43),ISNUMBER(C43)),IF(C43&lt;&gt;0,(B43-C43)/ABS(C43),""),"")</f>
        <v/>
      </c>
    </row>
    <row r="44" spans="1:5" x14ac:dyDescent="0.25">
      <c r="A44" s="17" t="s">
        <v>105</v>
      </c>
      <c r="B44" s="38" t="str">
        <f>IF(AND(ISNUMBER(C22),$B$2&gt;0),IF(C22&gt;0,(D21/$B$2)/C22,""),"")</f>
        <v/>
      </c>
      <c r="C44" s="38">
        <f>IF('09-سبتمبر'!$B$44="","",'09-سبتمبر'!$B$44)</f>
        <v>0.22621563976374684</v>
      </c>
      <c r="D44" s="38" t="str">
        <f>IF(AND(ISNUMBER(B44),ISNUMBER(C44)),B44-C44,"")</f>
        <v/>
      </c>
      <c r="E44" s="38"/>
    </row>
    <row r="45" spans="1:5" x14ac:dyDescent="0.25">
      <c r="A45" s="17" t="s">
        <v>106</v>
      </c>
      <c r="B45" s="31" t="str">
        <f>IF(ISNUMBER(D17),D17,"")</f>
        <v/>
      </c>
      <c r="C45" s="31">
        <f>IF('09-سبتمبر'!$B$45="","",'09-سبتمبر'!$B$45)</f>
        <v>-42454.289855072464</v>
      </c>
      <c r="D45" s="31" t="str">
        <f>IF(AND(ISNUMBER(B45),ISNUMBER(C45)),B45-C45,"")</f>
        <v/>
      </c>
      <c r="E45" s="38" t="str">
        <f>IF(AND(ISNUMBER(B45),ISNUMBER(C45)),IF(C45&lt;&gt;0,(B45-C45)/ABS(C45),""),"")</f>
        <v/>
      </c>
    </row>
    <row r="47" spans="1:5" ht="15" customHeight="1" x14ac:dyDescent="0.25">
      <c r="A47" s="11" t="s">
        <v>107</v>
      </c>
      <c r="B47" s="11"/>
      <c r="C47" s="11"/>
      <c r="D47" s="11"/>
      <c r="E47" s="11"/>
    </row>
    <row r="48" spans="1:5" x14ac:dyDescent="0.25">
      <c r="A48" s="11"/>
      <c r="B48" s="11"/>
      <c r="C48" s="11"/>
      <c r="D48" s="11"/>
      <c r="E48" s="11"/>
    </row>
  </sheetData>
  <mergeCells count="16">
    <mergeCell ref="A47:E48"/>
    <mergeCell ref="A19:E19"/>
    <mergeCell ref="A22:B22"/>
    <mergeCell ref="D22:E22"/>
    <mergeCell ref="A24:E24"/>
    <mergeCell ref="A39:E39"/>
    <mergeCell ref="D6:E6"/>
    <mergeCell ref="D7:E7"/>
    <mergeCell ref="D8:E8"/>
    <mergeCell ref="D9:E9"/>
    <mergeCell ref="A11:E11"/>
    <mergeCell ref="A1:E1"/>
    <mergeCell ref="D2:E2"/>
    <mergeCell ref="A3:E3"/>
    <mergeCell ref="A4:E4"/>
    <mergeCell ref="D5:E5"/>
  </mergeCells>
  <conditionalFormatting sqref="A3">
    <cfRule type="expression" dxfId="19" priority="2">
      <formula>LEFT($A$3,1)="⚠"</formula>
    </cfRule>
    <cfRule type="expression" dxfId="18" priority="3">
      <formula>LEFT($A$3,1)="✅"</formula>
    </cfRule>
    <cfRule type="expression" dxfId="17" priority="4">
      <formula>LEFT($A$3,1)="ℹ"</formula>
    </cfRule>
  </conditionalFormatting>
  <conditionalFormatting sqref="A21:E21">
    <cfRule type="expression" dxfId="16" priority="7">
      <formula>OR($H$10=1,$H$11=1,$H$12=1)</formula>
    </cfRule>
  </conditionalFormatting>
  <conditionalFormatting sqref="D2">
    <cfRule type="expression" dxfId="15" priority="5">
      <formula>LEFT($D$2,1)="✅"</formula>
    </cfRule>
    <cfRule type="expression" dxfId="14" priority="6">
      <formula>LEFT($D$2,1)="⚠"</formula>
    </cfRule>
  </conditionalFormatting>
  <dataValidations count="1">
    <dataValidation type="decimal" operator="greaterThanOrEqual" allowBlank="1" errorTitle="قيمة غير صالحة" error="أدخل رقمًا موجبًا (بالليرة السورية)." sqref="B6:B8 B13:C15" xr:uid="{00000000-0002-0000-0A00-000000000000}">
      <formula1>0</formula1>
      <formula2>0</formula2>
    </dataValidation>
  </dataValidations>
  <printOptions horizontalCentered="1"/>
  <pageMargins left="0.4" right="0.4" top="0.5" bottom="0.6" header="0.511811023622047" footer="0.5"/>
  <pageSetup paperSize="9" orientation="portrait" horizontalDpi="300" verticalDpi="300"/>
  <headerFooter>
    <oddFooter>&amp;C&amp;8 &amp;A  —  صفحة &amp;P من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D8C"/>
    <pageSetUpPr fitToPage="1"/>
  </sheetPr>
  <dimension ref="A1:H48"/>
  <sheetViews>
    <sheetView showGridLines="0" rightToLeft="1" tabSelected="1" zoomScaleNormal="100" workbookViewId="0">
      <pane ySplit="3" topLeftCell="A4" activePane="bottomLeft" state="frozen"/>
      <selection pane="bottomLeft" activeCell="E10" sqref="E10"/>
    </sheetView>
  </sheetViews>
  <sheetFormatPr defaultColWidth="8.7109375" defaultRowHeight="15" x14ac:dyDescent="0.25"/>
  <cols>
    <col min="1" max="1" width="40" customWidth="1"/>
    <col min="2" max="4" width="19" customWidth="1"/>
    <col min="5" max="5" width="14" customWidth="1"/>
    <col min="6" max="6" width="3" customWidth="1"/>
    <col min="7" max="7" width="38" customWidth="1"/>
    <col min="8" max="8" width="16" customWidth="1"/>
  </cols>
  <sheetData>
    <row r="1" spans="1:8" ht="31.5" customHeight="1" x14ac:dyDescent="0.25">
      <c r="A1" s="14" t="s">
        <v>117</v>
      </c>
      <c r="B1" s="14"/>
      <c r="C1" s="14"/>
      <c r="D1" s="14"/>
      <c r="E1" s="14"/>
      <c r="G1" s="19" t="s">
        <v>38</v>
      </c>
    </row>
    <row r="2" spans="1:8" x14ac:dyDescent="0.25">
      <c r="A2" s="17" t="s">
        <v>39</v>
      </c>
      <c r="B2" s="27">
        <f>IF(ISNUMBER('لوحة التحكم'!$C$20),'لوحة التحكم'!$C$20,0)</f>
        <v>0</v>
      </c>
      <c r="C2" s="28" t="s">
        <v>12</v>
      </c>
      <c r="D2" s="5" t="str">
        <f>$H$6</f>
        <v>لا بيانات</v>
      </c>
      <c r="E2" s="5"/>
      <c r="G2" s="19" t="s">
        <v>40</v>
      </c>
      <c r="H2" s="41">
        <f>'10-أكتوبر'!$B$2</f>
        <v>14200</v>
      </c>
    </row>
    <row r="3" spans="1:8" ht="36" customHeight="1" x14ac:dyDescent="0.25">
      <c r="A3" s="10" t="str">
        <f>IF($H$5=0,"لا توجد بيانات لهذا الشهر بعد — أدخل المدخلات أدناه",IF($H$13&gt;0,(IF($H$7=1,"⚠ سعر الصرف غير مُدخل في لوحة التحكم.  ","")&amp;IF($H$8=1,"⚠ أكمل المبيعات والمشتريات والمصاريف.  ","")&amp;IF($H$9=1,"⚠ الصق بيانات المستودع في فقرة «بيانات المستودع».  ","")&amp;IF($H$10=1,"⚠ الصف الملصوق يخص شهرًا آخر.  ","")&amp;IF($H$11=1,"⚠ سعر صرف المستودع ("&amp;$B$21&amp;") يختلف عن سعر لوحة التحكم ("&amp;$B$2&amp;").  ","")&amp;IF($H$12=1,"⚠ ملف المستودع فيه أصناف بها أخطاء (العدد: "&amp;$E$21&amp;") — صحّحها ثم أعد التصدير.","")),IF($H$3=1,"✅ البيانات مكتملة — الربح الحقيقي محسوب","ℹ الربح الحقيقي غير متاح (يلزم مخزون هذا الشهر والشهر السابق وسعر صرف الشهرين) — المعروض ربح تقديري فقط")))</f>
        <v>لا توجد بيانات لهذا الشهر بعد — أدخل المدخلات أدناه</v>
      </c>
      <c r="B3" s="10"/>
      <c r="C3" s="10"/>
      <c r="D3" s="10"/>
      <c r="E3" s="10"/>
      <c r="G3" s="19" t="s">
        <v>41</v>
      </c>
      <c r="H3" s="29">
        <f>IF(AND($B$2&gt;0,H2&gt;0,COUNT(B6:B8)=3,ISNUMBER(C22),ISNUMBER('10-أكتوبر'!$C$22),ISNUMBER('10-أكتوبر'!$D$21)),1,0)</f>
        <v>0</v>
      </c>
    </row>
    <row r="4" spans="1:8" ht="19.5" customHeight="1" x14ac:dyDescent="0.25">
      <c r="A4" s="12" t="s">
        <v>42</v>
      </c>
      <c r="B4" s="12"/>
      <c r="C4" s="12"/>
      <c r="D4" s="12"/>
      <c r="E4" s="12"/>
      <c r="G4" s="19" t="s">
        <v>43</v>
      </c>
      <c r="H4" s="29">
        <f>IF(H3=1,'10-أكتوبر'!$D$21*(1/$B$2-1/H2),0)</f>
        <v>0</v>
      </c>
    </row>
    <row r="5" spans="1:8" ht="15" customHeight="1" x14ac:dyDescent="0.25">
      <c r="A5" s="21" t="s">
        <v>44</v>
      </c>
      <c r="B5" s="21" t="s">
        <v>45</v>
      </c>
      <c r="C5" s="21" t="s">
        <v>46</v>
      </c>
      <c r="D5" s="4" t="s">
        <v>47</v>
      </c>
      <c r="E5" s="4"/>
      <c r="G5" s="19" t="s">
        <v>48</v>
      </c>
      <c r="H5" s="29">
        <f>IF(COUNTA(B6:B8,B13:C15,A21:E21)&gt;0,1,0)</f>
        <v>0</v>
      </c>
    </row>
    <row r="6" spans="1:8" ht="15" customHeight="1" x14ac:dyDescent="0.25">
      <c r="A6" s="17" t="s">
        <v>30</v>
      </c>
      <c r="B6" s="30"/>
      <c r="C6" s="31" t="str">
        <f>IF(AND(ISNUMBER(B6),$B$2&gt;0),B6/$B$2,"")</f>
        <v/>
      </c>
      <c r="D6" s="3" t="s">
        <v>49</v>
      </c>
      <c r="E6" s="3"/>
      <c r="G6" s="19" t="s">
        <v>12</v>
      </c>
      <c r="H6" s="29" t="str">
        <f>IF(H5=0,"لا بيانات",IF(H3=1,IF(H13=0,"✅ جاهز — ربح حقيقي","⚠ ربح حقيقي مع تنبيهات"),IF(H13&gt;0,"⚠ تنبيهات — راجع الصفحة",IF(COUNT(B6:B8)=3,"ℹ ربح تقديري فقط","⚠ بيانات ناقصة"))))</f>
        <v>لا بيانات</v>
      </c>
    </row>
    <row r="7" spans="1:8" ht="15" customHeight="1" x14ac:dyDescent="0.25">
      <c r="A7" s="17" t="s">
        <v>50</v>
      </c>
      <c r="B7" s="30"/>
      <c r="C7" s="31" t="str">
        <f>IF(AND(ISNUMBER(B7),$B$2&gt;0),B7/$B$2,"")</f>
        <v/>
      </c>
      <c r="D7" s="3" t="s">
        <v>51</v>
      </c>
      <c r="E7" s="3"/>
      <c r="G7" s="19" t="s">
        <v>52</v>
      </c>
      <c r="H7" s="29">
        <f>IF(AND(H5=1,$B$2&lt;=0),1,0)</f>
        <v>0</v>
      </c>
    </row>
    <row r="8" spans="1:8" ht="15" customHeight="1" x14ac:dyDescent="0.25">
      <c r="A8" s="17" t="s">
        <v>33</v>
      </c>
      <c r="B8" s="30"/>
      <c r="C8" s="31" t="str">
        <f>IF(AND(ISNUMBER(B8),$B$2&gt;0),B8/$B$2,"")</f>
        <v/>
      </c>
      <c r="D8" s="3" t="s">
        <v>53</v>
      </c>
      <c r="E8" s="3"/>
      <c r="G8" s="19" t="s">
        <v>54</v>
      </c>
      <c r="H8" s="29">
        <f>IF(AND(H5=1,COUNT(B6:B8)&lt;3),1,0)</f>
        <v>0</v>
      </c>
    </row>
    <row r="9" spans="1:8" ht="15" customHeight="1" x14ac:dyDescent="0.25">
      <c r="A9" s="17" t="s">
        <v>55</v>
      </c>
      <c r="B9" s="32" t="str">
        <f>IF(COUNT(B6:B8)=3,B6-B7-B8,"")</f>
        <v/>
      </c>
      <c r="C9" s="31" t="str">
        <f>IF(AND(ISNUMBER(B9),$B$2&gt;0),B9/$B$2,"")</f>
        <v/>
      </c>
      <c r="D9" s="3" t="s">
        <v>56</v>
      </c>
      <c r="E9" s="3"/>
      <c r="G9" s="19" t="s">
        <v>57</v>
      </c>
      <c r="H9" s="29">
        <f>IF(AND(H5=1,H15&gt;=H14,NOT(AND(ISNUMBER(C21),ISNUMBER(D21)))),1,0)</f>
        <v>0</v>
      </c>
    </row>
    <row r="10" spans="1:8" x14ac:dyDescent="0.25">
      <c r="G10" s="19" t="s">
        <v>58</v>
      </c>
      <c r="H10" s="29">
        <f>IF(AND(ISNUMBER(A21),A21&lt;&gt;H15),1,0)</f>
        <v>0</v>
      </c>
    </row>
    <row r="11" spans="1:8" ht="19.5" customHeight="1" x14ac:dyDescent="0.25">
      <c r="A11" s="12" t="s">
        <v>59</v>
      </c>
      <c r="B11" s="12"/>
      <c r="C11" s="12"/>
      <c r="D11" s="12"/>
      <c r="E11" s="12"/>
      <c r="G11" s="19" t="s">
        <v>60</v>
      </c>
      <c r="H11" s="29">
        <f>IF(AND(ISNUMBER(B21),$B$2&gt;0,ABS(B21-$B$2)&gt;0.5),1,0)</f>
        <v>0</v>
      </c>
    </row>
    <row r="12" spans="1:8" x14ac:dyDescent="0.25">
      <c r="A12" s="21" t="s">
        <v>44</v>
      </c>
      <c r="B12" s="21" t="s">
        <v>61</v>
      </c>
      <c r="C12" s="21" t="s">
        <v>62</v>
      </c>
      <c r="D12" s="21" t="s">
        <v>63</v>
      </c>
      <c r="E12" s="21"/>
      <c r="G12" s="19" t="s">
        <v>64</v>
      </c>
      <c r="H12" s="29">
        <f>IF(N(E21)&gt;0,1,0)</f>
        <v>0</v>
      </c>
    </row>
    <row r="13" spans="1:8" x14ac:dyDescent="0.25">
      <c r="A13" s="17" t="s">
        <v>65</v>
      </c>
      <c r="B13" s="30"/>
      <c r="C13" s="30"/>
      <c r="D13" s="31" t="str">
        <f>IF(AND(ISNUMBER(B13),ISNUMBER(C13),$B$2&gt;0),B13/$B$2+C13,"")</f>
        <v/>
      </c>
      <c r="E13" s="33"/>
      <c r="G13" s="19" t="s">
        <v>66</v>
      </c>
      <c r="H13" s="29">
        <f>SUM(H7:H12)</f>
        <v>0</v>
      </c>
    </row>
    <row r="14" spans="1:8" x14ac:dyDescent="0.25">
      <c r="A14" s="17" t="s">
        <v>67</v>
      </c>
      <c r="B14" s="30"/>
      <c r="C14" s="30"/>
      <c r="D14" s="31" t="str">
        <f>IF(AND(ISNUMBER(B14),ISNUMBER(C14),$B$2&gt;0),B14/$B$2+C14,"")</f>
        <v/>
      </c>
      <c r="E14" s="33"/>
      <c r="G14" s="19" t="s">
        <v>68</v>
      </c>
      <c r="H14" s="34">
        <f>'لوحة التحكم'!$C$6</f>
        <v>6</v>
      </c>
    </row>
    <row r="15" spans="1:8" x14ac:dyDescent="0.25">
      <c r="A15" s="17" t="s">
        <v>69</v>
      </c>
      <c r="B15" s="30"/>
      <c r="C15" s="30"/>
      <c r="D15" s="31" t="str">
        <f>IF(AND(ISNUMBER(B15),ISNUMBER(C15),$B$2&gt;0),B15/$B$2+C15,"")</f>
        <v/>
      </c>
      <c r="E15" s="33"/>
      <c r="G15" s="19" t="s">
        <v>70</v>
      </c>
      <c r="H15" s="29">
        <v>11</v>
      </c>
    </row>
    <row r="16" spans="1:8" x14ac:dyDescent="0.25">
      <c r="A16" s="17" t="s">
        <v>71</v>
      </c>
      <c r="B16" s="32" t="str">
        <f>IF(AND(ISNUMBER(B14),ISNUMBER(B15)),B14-B15,"")</f>
        <v/>
      </c>
      <c r="C16" s="32" t="str">
        <f>IF(AND(ISNUMBER(C14),ISNUMBER(C15)),C14-C15,"")</f>
        <v/>
      </c>
      <c r="D16" s="31" t="str">
        <f>IF(AND(ISNUMBER(D14),ISNUMBER(D15)),D14-D15,"")</f>
        <v/>
      </c>
      <c r="E16" s="33"/>
    </row>
    <row r="17" spans="1:5" x14ac:dyDescent="0.25">
      <c r="A17" s="35" t="s">
        <v>72</v>
      </c>
      <c r="B17" s="36"/>
      <c r="C17" s="36"/>
      <c r="D17" s="37" t="str">
        <f>IF(AND(ISNUMBER(D13),ISNUMBER(D16)),D13+D16,"")</f>
        <v/>
      </c>
      <c r="E17" s="36"/>
    </row>
    <row r="19" spans="1:5" ht="19.5" customHeight="1" x14ac:dyDescent="0.25">
      <c r="A19" s="12" t="s">
        <v>73</v>
      </c>
      <c r="B19" s="12"/>
      <c r="C19" s="12"/>
      <c r="D19" s="12"/>
      <c r="E19" s="12"/>
    </row>
    <row r="20" spans="1:5" ht="30" customHeight="1" x14ac:dyDescent="0.25">
      <c r="A20" s="21" t="s">
        <v>74</v>
      </c>
      <c r="B20" s="21" t="s">
        <v>75</v>
      </c>
      <c r="C20" s="21" t="s">
        <v>76</v>
      </c>
      <c r="D20" s="21" t="s">
        <v>77</v>
      </c>
      <c r="E20" s="21" t="s">
        <v>78</v>
      </c>
    </row>
    <row r="21" spans="1:5" x14ac:dyDescent="0.25">
      <c r="A21" s="20"/>
      <c r="B21" s="30"/>
      <c r="C21" s="30"/>
      <c r="D21" s="30"/>
      <c r="E21" s="30"/>
    </row>
    <row r="22" spans="1:5" ht="15" customHeight="1" x14ac:dyDescent="0.25">
      <c r="A22" s="2" t="s">
        <v>79</v>
      </c>
      <c r="B22" s="2"/>
      <c r="C22" s="37" t="str">
        <f>IF(AND(ISNUMBER(C21),ISNUMBER(D21),$B$2&gt;0),C21+D21/$B$2,"")</f>
        <v/>
      </c>
      <c r="D22" s="3" t="s">
        <v>80</v>
      </c>
      <c r="E22" s="3"/>
    </row>
    <row r="24" spans="1:5" ht="19.5" customHeight="1" x14ac:dyDescent="0.25">
      <c r="A24" s="1" t="s">
        <v>81</v>
      </c>
      <c r="B24" s="1"/>
      <c r="C24" s="1"/>
      <c r="D24" s="1"/>
      <c r="E24" s="1"/>
    </row>
    <row r="25" spans="1:5" x14ac:dyDescent="0.25">
      <c r="A25" s="21" t="s">
        <v>44</v>
      </c>
      <c r="B25" s="21" t="s">
        <v>82</v>
      </c>
      <c r="C25" s="21" t="s">
        <v>83</v>
      </c>
      <c r="D25" s="21" t="s">
        <v>84</v>
      </c>
      <c r="E25" s="21" t="s">
        <v>85</v>
      </c>
    </row>
    <row r="26" spans="1:5" x14ac:dyDescent="0.25">
      <c r="A26" s="33" t="s">
        <v>30</v>
      </c>
      <c r="B26" s="31" t="str">
        <f>IF(ISNUMBER(C6),C6,"")</f>
        <v/>
      </c>
      <c r="C26" s="31" t="str">
        <f>IF('10-أكتوبر'!$B$26="","",'10-أكتوبر'!$B$26)</f>
        <v/>
      </c>
      <c r="D26" s="31" t="str">
        <f t="shared" ref="D26:D37" si="0">IF(AND(ISNUMBER(B26),ISNUMBER(C26)),B26-C26,"")</f>
        <v/>
      </c>
      <c r="E26" s="38" t="str">
        <f t="shared" ref="E26:E33" si="1">IF(AND(ISNUMBER(B26),ISNUMBER(C26)),IF(C26&lt;&gt;0,(B26-C26)/ABS(C26),""),"")</f>
        <v/>
      </c>
    </row>
    <row r="27" spans="1:5" x14ac:dyDescent="0.25">
      <c r="A27" s="33" t="s">
        <v>86</v>
      </c>
      <c r="B27" s="31" t="str">
        <f>IF($H$3=1,'10-أكتوبر'!$C$22,"")</f>
        <v/>
      </c>
      <c r="C27" s="31" t="str">
        <f>IF('10-أكتوبر'!$B$27="","",'10-أكتوبر'!$B$27)</f>
        <v/>
      </c>
      <c r="D27" s="31" t="str">
        <f t="shared" si="0"/>
        <v/>
      </c>
      <c r="E27" s="38" t="str">
        <f t="shared" si="1"/>
        <v/>
      </c>
    </row>
    <row r="28" spans="1:5" x14ac:dyDescent="0.25">
      <c r="A28" s="33" t="s">
        <v>87</v>
      </c>
      <c r="B28" s="31" t="str">
        <f>IF(ISNUMBER(C7),C7,"")</f>
        <v/>
      </c>
      <c r="C28" s="31" t="str">
        <f>IF('10-أكتوبر'!$B$28="","",'10-أكتوبر'!$B$28)</f>
        <v/>
      </c>
      <c r="D28" s="31" t="str">
        <f t="shared" si="0"/>
        <v/>
      </c>
      <c r="E28" s="38" t="str">
        <f t="shared" si="1"/>
        <v/>
      </c>
    </row>
    <row r="29" spans="1:5" x14ac:dyDescent="0.25">
      <c r="A29" s="33" t="s">
        <v>88</v>
      </c>
      <c r="B29" s="31" t="str">
        <f>IF($H$3=1,C22-$H$4,"")</f>
        <v/>
      </c>
      <c r="C29" s="31" t="str">
        <f>IF('10-أكتوبر'!$B$29="","",'10-أكتوبر'!$B$29)</f>
        <v/>
      </c>
      <c r="D29" s="31" t="str">
        <f t="shared" si="0"/>
        <v/>
      </c>
      <c r="E29" s="38" t="str">
        <f t="shared" si="1"/>
        <v/>
      </c>
    </row>
    <row r="30" spans="1:5" x14ac:dyDescent="0.25">
      <c r="A30" s="17" t="s">
        <v>89</v>
      </c>
      <c r="B30" s="31" t="str">
        <f>IF($H$3=1,B27+B28-B29,"")</f>
        <v/>
      </c>
      <c r="C30" s="31" t="str">
        <f>IF('10-أكتوبر'!$B$30="","",'10-أكتوبر'!$B$30)</f>
        <v/>
      </c>
      <c r="D30" s="31" t="str">
        <f t="shared" si="0"/>
        <v/>
      </c>
      <c r="E30" s="38" t="str">
        <f t="shared" si="1"/>
        <v/>
      </c>
    </row>
    <row r="31" spans="1:5" x14ac:dyDescent="0.25">
      <c r="A31" s="17" t="s">
        <v>90</v>
      </c>
      <c r="B31" s="31" t="str">
        <f>IF($H$3=1,B26-B30,"")</f>
        <v/>
      </c>
      <c r="C31" s="31" t="str">
        <f>IF('10-أكتوبر'!$B$31="","",'10-أكتوبر'!$B$31)</f>
        <v/>
      </c>
      <c r="D31" s="31" t="str">
        <f t="shared" si="0"/>
        <v/>
      </c>
      <c r="E31" s="38" t="str">
        <f t="shared" si="1"/>
        <v/>
      </c>
    </row>
    <row r="32" spans="1:5" x14ac:dyDescent="0.25">
      <c r="A32" s="33" t="s">
        <v>91</v>
      </c>
      <c r="B32" s="31" t="str">
        <f>IF(ISNUMBER(C8),C8,"")</f>
        <v/>
      </c>
      <c r="C32" s="31" t="str">
        <f>IF('10-أكتوبر'!$B$32="","",'10-أكتوبر'!$B$32)</f>
        <v/>
      </c>
      <c r="D32" s="31" t="str">
        <f t="shared" si="0"/>
        <v/>
      </c>
      <c r="E32" s="38" t="str">
        <f t="shared" si="1"/>
        <v/>
      </c>
    </row>
    <row r="33" spans="1:5" x14ac:dyDescent="0.25">
      <c r="A33" s="35" t="s">
        <v>92</v>
      </c>
      <c r="B33" s="37" t="str">
        <f>IF($H$3=1,B31-B32,"")</f>
        <v/>
      </c>
      <c r="C33" s="39" t="str">
        <f>IF('10-أكتوبر'!$B$33="","",'10-أكتوبر'!$B$33)</f>
        <v/>
      </c>
      <c r="D33" s="39" t="str">
        <f t="shared" si="0"/>
        <v/>
      </c>
      <c r="E33" s="40" t="str">
        <f t="shared" si="1"/>
        <v/>
      </c>
    </row>
    <row r="34" spans="1:5" x14ac:dyDescent="0.25">
      <c r="A34" s="33" t="s">
        <v>93</v>
      </c>
      <c r="B34" s="38" t="str">
        <f>IF(AND($H$3=1,N(B26)&gt;0),B33/B26,"")</f>
        <v/>
      </c>
      <c r="C34" s="38" t="str">
        <f>IF('10-أكتوبر'!$B$34="","",'10-أكتوبر'!$B$34)</f>
        <v/>
      </c>
      <c r="D34" s="38" t="str">
        <f t="shared" si="0"/>
        <v/>
      </c>
      <c r="E34" s="38"/>
    </row>
    <row r="35" spans="1:5" x14ac:dyDescent="0.25">
      <c r="A35" s="33" t="s">
        <v>94</v>
      </c>
      <c r="B35" s="31" t="str">
        <f>IF($H$3=1,$H$4,"")</f>
        <v/>
      </c>
      <c r="C35" s="31" t="str">
        <f>IF('10-أكتوبر'!$B$35="","",'10-أكتوبر'!$B$35)</f>
        <v/>
      </c>
      <c r="D35" s="31" t="str">
        <f t="shared" si="0"/>
        <v/>
      </c>
      <c r="E35" s="38" t="str">
        <f>IF(AND(ISNUMBER(B35),ISNUMBER(C35)),IF(C35&lt;&gt;0,(B35-C35)/ABS(C35),""),"")</f>
        <v/>
      </c>
    </row>
    <row r="36" spans="1:5" x14ac:dyDescent="0.25">
      <c r="A36" s="35" t="s">
        <v>95</v>
      </c>
      <c r="B36" s="37" t="str">
        <f>IF($H$3=1,B33+B35,"")</f>
        <v/>
      </c>
      <c r="C36" s="39" t="str">
        <f>IF('10-أكتوبر'!$B$36="","",'10-أكتوبر'!$B$36)</f>
        <v/>
      </c>
      <c r="D36" s="39" t="str">
        <f t="shared" si="0"/>
        <v/>
      </c>
      <c r="E36" s="40" t="str">
        <f>IF(AND(ISNUMBER(B36),ISNUMBER(C36)),IF(C36&lt;&gt;0,(B36-C36)/ABS(C36),""),"")</f>
        <v/>
      </c>
    </row>
    <row r="37" spans="1:5" x14ac:dyDescent="0.25">
      <c r="A37" s="33" t="s">
        <v>96</v>
      </c>
      <c r="B37" s="31" t="str">
        <f>IF(ISNUMBER(C9),C9,"")</f>
        <v/>
      </c>
      <c r="C37" s="31" t="str">
        <f>IF('10-أكتوبر'!$B$37="","",'10-أكتوبر'!$B$37)</f>
        <v/>
      </c>
      <c r="D37" s="31" t="str">
        <f t="shared" si="0"/>
        <v/>
      </c>
      <c r="E37" s="38" t="str">
        <f>IF(AND(ISNUMBER(B37),ISNUMBER(C37)),IF(C37&lt;&gt;0,(B37-C37)/ABS(C37),""),"")</f>
        <v/>
      </c>
    </row>
    <row r="39" spans="1:5" ht="19.5" customHeight="1" x14ac:dyDescent="0.25">
      <c r="A39" s="12" t="s">
        <v>97</v>
      </c>
      <c r="B39" s="12"/>
      <c r="C39" s="12"/>
      <c r="D39" s="12"/>
      <c r="E39" s="12"/>
    </row>
    <row r="40" spans="1:5" x14ac:dyDescent="0.25">
      <c r="A40" s="21" t="s">
        <v>98</v>
      </c>
      <c r="B40" s="21" t="s">
        <v>99</v>
      </c>
      <c r="C40" s="21" t="s">
        <v>100</v>
      </c>
      <c r="D40" s="21" t="s">
        <v>101</v>
      </c>
      <c r="E40" s="21" t="s">
        <v>85</v>
      </c>
    </row>
    <row r="41" spans="1:5" x14ac:dyDescent="0.25">
      <c r="A41" s="17" t="s">
        <v>102</v>
      </c>
      <c r="B41" s="38" t="str">
        <f>IF(AND(ISNUMBER(B32),N(B26)&gt;0),B32/B26,"")</f>
        <v/>
      </c>
      <c r="C41" s="38" t="str">
        <f>IF('10-أكتوبر'!$B$41="","",'10-أكتوبر'!$B$41)</f>
        <v/>
      </c>
      <c r="D41" s="38" t="str">
        <f>IF(AND(ISNUMBER(B41),ISNUMBER(C41)),B41-C41,"")</f>
        <v/>
      </c>
      <c r="E41" s="38"/>
    </row>
    <row r="42" spans="1:5" x14ac:dyDescent="0.25">
      <c r="A42" s="17" t="s">
        <v>103</v>
      </c>
      <c r="B42" s="38" t="str">
        <f>IF(AND(ISNUMBER(B30),N(B26)&gt;0),B30/B26,"")</f>
        <v/>
      </c>
      <c r="C42" s="38" t="str">
        <f>IF('10-أكتوبر'!$B$42="","",'10-أكتوبر'!$B$42)</f>
        <v/>
      </c>
      <c r="D42" s="38" t="str">
        <f>IF(AND(ISNUMBER(B42),ISNUMBER(C42)),B42-C42,"")</f>
        <v/>
      </c>
      <c r="E42" s="38"/>
    </row>
    <row r="43" spans="1:5" x14ac:dyDescent="0.25">
      <c r="A43" s="17" t="s">
        <v>104</v>
      </c>
      <c r="B43" s="31" t="str">
        <f>IF(ISNUMBER(C22),C22,"")</f>
        <v/>
      </c>
      <c r="C43" s="31" t="str">
        <f>IF('10-أكتوبر'!$B$43="","",'10-أكتوبر'!$B$43)</f>
        <v/>
      </c>
      <c r="D43" s="31" t="str">
        <f>IF(AND(ISNUMBER(B43),ISNUMBER(C43)),B43-C43,"")</f>
        <v/>
      </c>
      <c r="E43" s="38" t="str">
        <f>IF(AND(ISNUMBER(B43),ISNUMBER(C43)),IF(C43&lt;&gt;0,(B43-C43)/ABS(C43),""),"")</f>
        <v/>
      </c>
    </row>
    <row r="44" spans="1:5" x14ac:dyDescent="0.25">
      <c r="A44" s="17" t="s">
        <v>105</v>
      </c>
      <c r="B44" s="38" t="str">
        <f>IF(AND(ISNUMBER(C22),$B$2&gt;0),IF(C22&gt;0,(D21/$B$2)/C22,""),"")</f>
        <v/>
      </c>
      <c r="C44" s="38" t="str">
        <f>IF('10-أكتوبر'!$B$44="","",'10-أكتوبر'!$B$44)</f>
        <v/>
      </c>
      <c r="D44" s="38" t="str">
        <f>IF(AND(ISNUMBER(B44),ISNUMBER(C44)),B44-C44,"")</f>
        <v/>
      </c>
      <c r="E44" s="38"/>
    </row>
    <row r="45" spans="1:5" x14ac:dyDescent="0.25">
      <c r="A45" s="17" t="s">
        <v>106</v>
      </c>
      <c r="B45" s="31" t="str">
        <f>IF(ISNUMBER(D17),D17,"")</f>
        <v/>
      </c>
      <c r="C45" s="31" t="str">
        <f>IF('10-أكتوبر'!$B$45="","",'10-أكتوبر'!$B$45)</f>
        <v/>
      </c>
      <c r="D45" s="31" t="str">
        <f>IF(AND(ISNUMBER(B45),ISNUMBER(C45)),B45-C45,"")</f>
        <v/>
      </c>
      <c r="E45" s="38" t="str">
        <f>IF(AND(ISNUMBER(B45),ISNUMBER(C45)),IF(C45&lt;&gt;0,(B45-C45)/ABS(C45),""),"")</f>
        <v/>
      </c>
    </row>
    <row r="47" spans="1:5" ht="15" customHeight="1" x14ac:dyDescent="0.25">
      <c r="A47" s="11" t="s">
        <v>107</v>
      </c>
      <c r="B47" s="11"/>
      <c r="C47" s="11"/>
      <c r="D47" s="11"/>
      <c r="E47" s="11"/>
    </row>
    <row r="48" spans="1:5" x14ac:dyDescent="0.25">
      <c r="A48" s="11"/>
      <c r="B48" s="11"/>
      <c r="C48" s="11"/>
      <c r="D48" s="11"/>
      <c r="E48" s="11"/>
    </row>
  </sheetData>
  <mergeCells count="16">
    <mergeCell ref="A47:E48"/>
    <mergeCell ref="A19:E19"/>
    <mergeCell ref="A22:B22"/>
    <mergeCell ref="D22:E22"/>
    <mergeCell ref="A24:E24"/>
    <mergeCell ref="A39:E39"/>
    <mergeCell ref="D6:E6"/>
    <mergeCell ref="D7:E7"/>
    <mergeCell ref="D8:E8"/>
    <mergeCell ref="D9:E9"/>
    <mergeCell ref="A11:E11"/>
    <mergeCell ref="A1:E1"/>
    <mergeCell ref="D2:E2"/>
    <mergeCell ref="A3:E3"/>
    <mergeCell ref="A4:E4"/>
    <mergeCell ref="D5:E5"/>
  </mergeCells>
  <conditionalFormatting sqref="A3">
    <cfRule type="expression" dxfId="13" priority="2">
      <formula>LEFT($A$3,1)="⚠"</formula>
    </cfRule>
    <cfRule type="expression" dxfId="12" priority="3">
      <formula>LEFT($A$3,1)="✅"</formula>
    </cfRule>
    <cfRule type="expression" dxfId="11" priority="4">
      <formula>LEFT($A$3,1)="ℹ"</formula>
    </cfRule>
  </conditionalFormatting>
  <conditionalFormatting sqref="A21:E21">
    <cfRule type="expression" dxfId="10" priority="7">
      <formula>OR($H$10=1,$H$11=1,$H$12=1)</formula>
    </cfRule>
  </conditionalFormatting>
  <conditionalFormatting sqref="D2">
    <cfRule type="expression" dxfId="9" priority="5">
      <formula>LEFT($D$2,1)="✅"</formula>
    </cfRule>
    <cfRule type="expression" dxfId="8" priority="6">
      <formula>LEFT($D$2,1)="⚠"</formula>
    </cfRule>
  </conditionalFormatting>
  <dataValidations count="1">
    <dataValidation type="decimal" operator="greaterThanOrEqual" allowBlank="1" errorTitle="قيمة غير صالحة" error="أدخل رقمًا موجبًا (بالليرة السورية)." sqref="B6:B8 B13:C15" xr:uid="{00000000-0002-0000-0B00-000000000000}">
      <formula1>0</formula1>
      <formula2>0</formula2>
    </dataValidation>
  </dataValidations>
  <printOptions horizontalCentered="1"/>
  <pageMargins left="0.4" right="0.4" top="0.5" bottom="0.6" header="0.511811023622047" footer="0.5"/>
  <pageSetup paperSize="9" orientation="portrait" horizontalDpi="300" verticalDpi="300"/>
  <headerFooter>
    <oddFooter>&amp;C&amp;8 &amp;A  —  صفحة &amp;P من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D8C"/>
    <pageSetUpPr fitToPage="1"/>
  </sheetPr>
  <dimension ref="A1:H48"/>
  <sheetViews>
    <sheetView showGridLines="0" rightToLeft="1" zoomScaleNormal="100" workbookViewId="0">
      <pane ySplit="3" topLeftCell="A4" activePane="bottomLeft" state="frozen"/>
      <selection pane="bottomLeft"/>
    </sheetView>
  </sheetViews>
  <sheetFormatPr defaultColWidth="8.7109375" defaultRowHeight="15" x14ac:dyDescent="0.25"/>
  <cols>
    <col min="1" max="1" width="40" customWidth="1"/>
    <col min="2" max="4" width="19" customWidth="1"/>
    <col min="5" max="5" width="14" customWidth="1"/>
    <col min="6" max="6" width="3" customWidth="1"/>
    <col min="7" max="7" width="38" customWidth="1"/>
    <col min="8" max="8" width="16" customWidth="1"/>
  </cols>
  <sheetData>
    <row r="1" spans="1:8" ht="31.5" customHeight="1" x14ac:dyDescent="0.25">
      <c r="A1" s="14" t="s">
        <v>118</v>
      </c>
      <c r="B1" s="14"/>
      <c r="C1" s="14"/>
      <c r="D1" s="14"/>
      <c r="E1" s="14"/>
      <c r="G1" s="19" t="s">
        <v>38</v>
      </c>
    </row>
    <row r="2" spans="1:8" x14ac:dyDescent="0.25">
      <c r="A2" s="17" t="s">
        <v>39</v>
      </c>
      <c r="B2" s="27">
        <f>IF(ISNUMBER('لوحة التحكم'!$C$21),'لوحة التحكم'!$C$21,0)</f>
        <v>0</v>
      </c>
      <c r="C2" s="28" t="s">
        <v>12</v>
      </c>
      <c r="D2" s="5" t="str">
        <f>$H$6</f>
        <v>لا بيانات</v>
      </c>
      <c r="E2" s="5"/>
      <c r="G2" s="19" t="s">
        <v>40</v>
      </c>
      <c r="H2" s="41">
        <f>'11-نوفمبر'!$B$2</f>
        <v>0</v>
      </c>
    </row>
    <row r="3" spans="1:8" ht="36" customHeight="1" x14ac:dyDescent="0.25">
      <c r="A3" s="10" t="str">
        <f>IF($H$5=0,"لا توجد بيانات لهذا الشهر بعد — أدخل المدخلات أدناه",IF($H$13&gt;0,(IF($H$7=1,"⚠ سعر الصرف غير مُدخل في لوحة التحكم.  ","")&amp;IF($H$8=1,"⚠ أكمل المبيعات والمشتريات والمصاريف.  ","")&amp;IF($H$9=1,"⚠ الصق بيانات المستودع في فقرة «بيانات المستودع».  ","")&amp;IF($H$10=1,"⚠ الصف الملصوق يخص شهرًا آخر.  ","")&amp;IF($H$11=1,"⚠ سعر صرف المستودع ("&amp;$B$21&amp;") يختلف عن سعر لوحة التحكم ("&amp;$B$2&amp;").  ","")&amp;IF($H$12=1,"⚠ ملف المستودع فيه أصناف بها أخطاء (العدد: "&amp;$E$21&amp;") — صحّحها ثم أعد التصدير.","")),IF($H$3=1,"✅ البيانات مكتملة — الربح الحقيقي محسوب","ℹ الربح الحقيقي غير متاح (يلزم مخزون هذا الشهر والشهر السابق وسعر صرف الشهرين) — المعروض ربح تقديري فقط")))</f>
        <v>لا توجد بيانات لهذا الشهر بعد — أدخل المدخلات أدناه</v>
      </c>
      <c r="B3" s="10"/>
      <c r="C3" s="10"/>
      <c r="D3" s="10"/>
      <c r="E3" s="10"/>
      <c r="G3" s="19" t="s">
        <v>41</v>
      </c>
      <c r="H3" s="29">
        <f>IF(AND($B$2&gt;0,H2&gt;0,COUNT(B6:B8)=3,ISNUMBER(C22),ISNUMBER('11-نوفمبر'!$C$22),ISNUMBER('11-نوفمبر'!$D$21)),1,0)</f>
        <v>0</v>
      </c>
    </row>
    <row r="4" spans="1:8" ht="19.5" customHeight="1" x14ac:dyDescent="0.25">
      <c r="A4" s="12" t="s">
        <v>42</v>
      </c>
      <c r="B4" s="12"/>
      <c r="C4" s="12"/>
      <c r="D4" s="12"/>
      <c r="E4" s="12"/>
      <c r="G4" s="19" t="s">
        <v>43</v>
      </c>
      <c r="H4" s="29">
        <f>IF(H3=1,'11-نوفمبر'!$D$21*(1/$B$2-1/H2),0)</f>
        <v>0</v>
      </c>
    </row>
    <row r="5" spans="1:8" ht="15" customHeight="1" x14ac:dyDescent="0.25">
      <c r="A5" s="21" t="s">
        <v>44</v>
      </c>
      <c r="B5" s="21" t="s">
        <v>45</v>
      </c>
      <c r="C5" s="21" t="s">
        <v>46</v>
      </c>
      <c r="D5" s="4" t="s">
        <v>47</v>
      </c>
      <c r="E5" s="4"/>
      <c r="G5" s="19" t="s">
        <v>48</v>
      </c>
      <c r="H5" s="29">
        <f>IF(COUNTA(B6:B8,B13:C15,A21:E21)&gt;0,1,0)</f>
        <v>0</v>
      </c>
    </row>
    <row r="6" spans="1:8" ht="15" customHeight="1" x14ac:dyDescent="0.25">
      <c r="A6" s="17" t="s">
        <v>30</v>
      </c>
      <c r="B6" s="30"/>
      <c r="C6" s="31" t="str">
        <f>IF(AND(ISNUMBER(B6),$B$2&gt;0),B6/$B$2,"")</f>
        <v/>
      </c>
      <c r="D6" s="3" t="s">
        <v>49</v>
      </c>
      <c r="E6" s="3"/>
      <c r="G6" s="19" t="s">
        <v>12</v>
      </c>
      <c r="H6" s="29" t="str">
        <f>IF(H5=0,"لا بيانات",IF(H3=1,IF(H13=0,"✅ جاهز — ربح حقيقي","⚠ ربح حقيقي مع تنبيهات"),IF(H13&gt;0,"⚠ تنبيهات — راجع الصفحة",IF(COUNT(B6:B8)=3,"ℹ ربح تقديري فقط","⚠ بيانات ناقصة"))))</f>
        <v>لا بيانات</v>
      </c>
    </row>
    <row r="7" spans="1:8" ht="15" customHeight="1" x14ac:dyDescent="0.25">
      <c r="A7" s="17" t="s">
        <v>50</v>
      </c>
      <c r="B7" s="30"/>
      <c r="C7" s="31" t="str">
        <f>IF(AND(ISNUMBER(B7),$B$2&gt;0),B7/$B$2,"")</f>
        <v/>
      </c>
      <c r="D7" s="3" t="s">
        <v>51</v>
      </c>
      <c r="E7" s="3"/>
      <c r="G7" s="19" t="s">
        <v>52</v>
      </c>
      <c r="H7" s="29">
        <f>IF(AND(H5=1,$B$2&lt;=0),1,0)</f>
        <v>0</v>
      </c>
    </row>
    <row r="8" spans="1:8" ht="15" customHeight="1" x14ac:dyDescent="0.25">
      <c r="A8" s="17" t="s">
        <v>33</v>
      </c>
      <c r="B8" s="30"/>
      <c r="C8" s="31" t="str">
        <f>IF(AND(ISNUMBER(B8),$B$2&gt;0),B8/$B$2,"")</f>
        <v/>
      </c>
      <c r="D8" s="3" t="s">
        <v>53</v>
      </c>
      <c r="E8" s="3"/>
      <c r="G8" s="19" t="s">
        <v>54</v>
      </c>
      <c r="H8" s="29">
        <f>IF(AND(H5=1,COUNT(B6:B8)&lt;3),1,0)</f>
        <v>0</v>
      </c>
    </row>
    <row r="9" spans="1:8" ht="15" customHeight="1" x14ac:dyDescent="0.25">
      <c r="A9" s="17" t="s">
        <v>55</v>
      </c>
      <c r="B9" s="32" t="str">
        <f>IF(COUNT(B6:B8)=3,B6-B7-B8,"")</f>
        <v/>
      </c>
      <c r="C9" s="31" t="str">
        <f>IF(AND(ISNUMBER(B9),$B$2&gt;0),B9/$B$2,"")</f>
        <v/>
      </c>
      <c r="D9" s="3" t="s">
        <v>56</v>
      </c>
      <c r="E9" s="3"/>
      <c r="G9" s="19" t="s">
        <v>57</v>
      </c>
      <c r="H9" s="29">
        <f>IF(AND(H5=1,H15&gt;=H14,NOT(AND(ISNUMBER(C21),ISNUMBER(D21)))),1,0)</f>
        <v>0</v>
      </c>
    </row>
    <row r="10" spans="1:8" x14ac:dyDescent="0.25">
      <c r="G10" s="19" t="s">
        <v>58</v>
      </c>
      <c r="H10" s="29">
        <f>IF(AND(ISNUMBER(A21),A21&lt;&gt;H15),1,0)</f>
        <v>0</v>
      </c>
    </row>
    <row r="11" spans="1:8" ht="19.5" customHeight="1" x14ac:dyDescent="0.25">
      <c r="A11" s="12" t="s">
        <v>59</v>
      </c>
      <c r="B11" s="12"/>
      <c r="C11" s="12"/>
      <c r="D11" s="12"/>
      <c r="E11" s="12"/>
      <c r="G11" s="19" t="s">
        <v>60</v>
      </c>
      <c r="H11" s="29">
        <f>IF(AND(ISNUMBER(B21),$B$2&gt;0,ABS(B21-$B$2)&gt;0.5),1,0)</f>
        <v>0</v>
      </c>
    </row>
    <row r="12" spans="1:8" x14ac:dyDescent="0.25">
      <c r="A12" s="21" t="s">
        <v>44</v>
      </c>
      <c r="B12" s="21" t="s">
        <v>61</v>
      </c>
      <c r="C12" s="21" t="s">
        <v>62</v>
      </c>
      <c r="D12" s="21" t="s">
        <v>63</v>
      </c>
      <c r="E12" s="21"/>
      <c r="G12" s="19" t="s">
        <v>64</v>
      </c>
      <c r="H12" s="29">
        <f>IF(N(E21)&gt;0,1,0)</f>
        <v>0</v>
      </c>
    </row>
    <row r="13" spans="1:8" x14ac:dyDescent="0.25">
      <c r="A13" s="17" t="s">
        <v>65</v>
      </c>
      <c r="B13" s="30"/>
      <c r="C13" s="30"/>
      <c r="D13" s="31" t="str">
        <f>IF(AND(ISNUMBER(B13),ISNUMBER(C13),$B$2&gt;0),B13/$B$2+C13,"")</f>
        <v/>
      </c>
      <c r="E13" s="33"/>
      <c r="G13" s="19" t="s">
        <v>66</v>
      </c>
      <c r="H13" s="29">
        <f>SUM(H7:H12)</f>
        <v>0</v>
      </c>
    </row>
    <row r="14" spans="1:8" x14ac:dyDescent="0.25">
      <c r="A14" s="17" t="s">
        <v>67</v>
      </c>
      <c r="B14" s="30"/>
      <c r="C14" s="30"/>
      <c r="D14" s="31" t="str">
        <f>IF(AND(ISNUMBER(B14),ISNUMBER(C14),$B$2&gt;0),B14/$B$2+C14,"")</f>
        <v/>
      </c>
      <c r="E14" s="33"/>
      <c r="G14" s="19" t="s">
        <v>68</v>
      </c>
      <c r="H14" s="34">
        <f>'لوحة التحكم'!$C$6</f>
        <v>6</v>
      </c>
    </row>
    <row r="15" spans="1:8" x14ac:dyDescent="0.25">
      <c r="A15" s="17" t="s">
        <v>69</v>
      </c>
      <c r="B15" s="30"/>
      <c r="C15" s="30"/>
      <c r="D15" s="31" t="str">
        <f>IF(AND(ISNUMBER(B15),ISNUMBER(C15),$B$2&gt;0),B15/$B$2+C15,"")</f>
        <v/>
      </c>
      <c r="E15" s="33"/>
      <c r="G15" s="19" t="s">
        <v>70</v>
      </c>
      <c r="H15" s="29">
        <v>12</v>
      </c>
    </row>
    <row r="16" spans="1:8" x14ac:dyDescent="0.25">
      <c r="A16" s="17" t="s">
        <v>71</v>
      </c>
      <c r="B16" s="32" t="str">
        <f>IF(AND(ISNUMBER(B14),ISNUMBER(B15)),B14-B15,"")</f>
        <v/>
      </c>
      <c r="C16" s="32" t="str">
        <f>IF(AND(ISNUMBER(C14),ISNUMBER(C15)),C14-C15,"")</f>
        <v/>
      </c>
      <c r="D16" s="31" t="str">
        <f>IF(AND(ISNUMBER(D14),ISNUMBER(D15)),D14-D15,"")</f>
        <v/>
      </c>
      <c r="E16" s="33"/>
    </row>
    <row r="17" spans="1:5" x14ac:dyDescent="0.25">
      <c r="A17" s="35" t="s">
        <v>72</v>
      </c>
      <c r="B17" s="36"/>
      <c r="C17" s="36"/>
      <c r="D17" s="37" t="str">
        <f>IF(AND(ISNUMBER(D13),ISNUMBER(D16)),D13+D16,"")</f>
        <v/>
      </c>
      <c r="E17" s="36"/>
    </row>
    <row r="19" spans="1:5" ht="19.5" customHeight="1" x14ac:dyDescent="0.25">
      <c r="A19" s="12" t="s">
        <v>73</v>
      </c>
      <c r="B19" s="12"/>
      <c r="C19" s="12"/>
      <c r="D19" s="12"/>
      <c r="E19" s="12"/>
    </row>
    <row r="20" spans="1:5" ht="30" customHeight="1" x14ac:dyDescent="0.25">
      <c r="A20" s="21" t="s">
        <v>74</v>
      </c>
      <c r="B20" s="21" t="s">
        <v>75</v>
      </c>
      <c r="C20" s="21" t="s">
        <v>76</v>
      </c>
      <c r="D20" s="21" t="s">
        <v>77</v>
      </c>
      <c r="E20" s="21" t="s">
        <v>78</v>
      </c>
    </row>
    <row r="21" spans="1:5" x14ac:dyDescent="0.25">
      <c r="A21" s="20"/>
      <c r="B21" s="30"/>
      <c r="C21" s="30"/>
      <c r="D21" s="30"/>
      <c r="E21" s="30"/>
    </row>
    <row r="22" spans="1:5" ht="15" customHeight="1" x14ac:dyDescent="0.25">
      <c r="A22" s="2" t="s">
        <v>79</v>
      </c>
      <c r="B22" s="2"/>
      <c r="C22" s="37" t="str">
        <f>IF(AND(ISNUMBER(C21),ISNUMBER(D21),$B$2&gt;0),C21+D21/$B$2,"")</f>
        <v/>
      </c>
      <c r="D22" s="3" t="s">
        <v>80</v>
      </c>
      <c r="E22" s="3"/>
    </row>
    <row r="24" spans="1:5" ht="19.5" customHeight="1" x14ac:dyDescent="0.25">
      <c r="A24" s="1" t="s">
        <v>81</v>
      </c>
      <c r="B24" s="1"/>
      <c r="C24" s="1"/>
      <c r="D24" s="1"/>
      <c r="E24" s="1"/>
    </row>
    <row r="25" spans="1:5" x14ac:dyDescent="0.25">
      <c r="A25" s="21" t="s">
        <v>44</v>
      </c>
      <c r="B25" s="21" t="s">
        <v>82</v>
      </c>
      <c r="C25" s="21" t="s">
        <v>83</v>
      </c>
      <c r="D25" s="21" t="s">
        <v>84</v>
      </c>
      <c r="E25" s="21" t="s">
        <v>85</v>
      </c>
    </row>
    <row r="26" spans="1:5" x14ac:dyDescent="0.25">
      <c r="A26" s="33" t="s">
        <v>30</v>
      </c>
      <c r="B26" s="31" t="str">
        <f>IF(ISNUMBER(C6),C6,"")</f>
        <v/>
      </c>
      <c r="C26" s="31" t="str">
        <f>IF('11-نوفمبر'!$B$26="","",'11-نوفمبر'!$B$26)</f>
        <v/>
      </c>
      <c r="D26" s="31" t="str">
        <f t="shared" ref="D26:D37" si="0">IF(AND(ISNUMBER(B26),ISNUMBER(C26)),B26-C26,"")</f>
        <v/>
      </c>
      <c r="E26" s="38" t="str">
        <f t="shared" ref="E26:E33" si="1">IF(AND(ISNUMBER(B26),ISNUMBER(C26)),IF(C26&lt;&gt;0,(B26-C26)/ABS(C26),""),"")</f>
        <v/>
      </c>
    </row>
    <row r="27" spans="1:5" x14ac:dyDescent="0.25">
      <c r="A27" s="33" t="s">
        <v>86</v>
      </c>
      <c r="B27" s="31" t="str">
        <f>IF($H$3=1,'11-نوفمبر'!$C$22,"")</f>
        <v/>
      </c>
      <c r="C27" s="31" t="str">
        <f>IF('11-نوفمبر'!$B$27="","",'11-نوفمبر'!$B$27)</f>
        <v/>
      </c>
      <c r="D27" s="31" t="str">
        <f t="shared" si="0"/>
        <v/>
      </c>
      <c r="E27" s="38" t="str">
        <f t="shared" si="1"/>
        <v/>
      </c>
    </row>
    <row r="28" spans="1:5" x14ac:dyDescent="0.25">
      <c r="A28" s="33" t="s">
        <v>87</v>
      </c>
      <c r="B28" s="31" t="str">
        <f>IF(ISNUMBER(C7),C7,"")</f>
        <v/>
      </c>
      <c r="C28" s="31" t="str">
        <f>IF('11-نوفمبر'!$B$28="","",'11-نوفمبر'!$B$28)</f>
        <v/>
      </c>
      <c r="D28" s="31" t="str">
        <f t="shared" si="0"/>
        <v/>
      </c>
      <c r="E28" s="38" t="str">
        <f t="shared" si="1"/>
        <v/>
      </c>
    </row>
    <row r="29" spans="1:5" x14ac:dyDescent="0.25">
      <c r="A29" s="33" t="s">
        <v>88</v>
      </c>
      <c r="B29" s="31" t="str">
        <f>IF($H$3=1,C22-$H$4,"")</f>
        <v/>
      </c>
      <c r="C29" s="31" t="str">
        <f>IF('11-نوفمبر'!$B$29="","",'11-نوفمبر'!$B$29)</f>
        <v/>
      </c>
      <c r="D29" s="31" t="str">
        <f t="shared" si="0"/>
        <v/>
      </c>
      <c r="E29" s="38" t="str">
        <f t="shared" si="1"/>
        <v/>
      </c>
    </row>
    <row r="30" spans="1:5" x14ac:dyDescent="0.25">
      <c r="A30" s="17" t="s">
        <v>89</v>
      </c>
      <c r="B30" s="31" t="str">
        <f>IF($H$3=1,B27+B28-B29,"")</f>
        <v/>
      </c>
      <c r="C30" s="31" t="str">
        <f>IF('11-نوفمبر'!$B$30="","",'11-نوفمبر'!$B$30)</f>
        <v/>
      </c>
      <c r="D30" s="31" t="str">
        <f t="shared" si="0"/>
        <v/>
      </c>
      <c r="E30" s="38" t="str">
        <f t="shared" si="1"/>
        <v/>
      </c>
    </row>
    <row r="31" spans="1:5" x14ac:dyDescent="0.25">
      <c r="A31" s="17" t="s">
        <v>90</v>
      </c>
      <c r="B31" s="31" t="str">
        <f>IF($H$3=1,B26-B30,"")</f>
        <v/>
      </c>
      <c r="C31" s="31" t="str">
        <f>IF('11-نوفمبر'!$B$31="","",'11-نوفمبر'!$B$31)</f>
        <v/>
      </c>
      <c r="D31" s="31" t="str">
        <f t="shared" si="0"/>
        <v/>
      </c>
      <c r="E31" s="38" t="str">
        <f t="shared" si="1"/>
        <v/>
      </c>
    </row>
    <row r="32" spans="1:5" x14ac:dyDescent="0.25">
      <c r="A32" s="33" t="s">
        <v>91</v>
      </c>
      <c r="B32" s="31" t="str">
        <f>IF(ISNUMBER(C8),C8,"")</f>
        <v/>
      </c>
      <c r="C32" s="31" t="str">
        <f>IF('11-نوفمبر'!$B$32="","",'11-نوفمبر'!$B$32)</f>
        <v/>
      </c>
      <c r="D32" s="31" t="str">
        <f t="shared" si="0"/>
        <v/>
      </c>
      <c r="E32" s="38" t="str">
        <f t="shared" si="1"/>
        <v/>
      </c>
    </row>
    <row r="33" spans="1:5" x14ac:dyDescent="0.25">
      <c r="A33" s="35" t="s">
        <v>92</v>
      </c>
      <c r="B33" s="37" t="str">
        <f>IF($H$3=1,B31-B32,"")</f>
        <v/>
      </c>
      <c r="C33" s="39" t="str">
        <f>IF('11-نوفمبر'!$B$33="","",'11-نوفمبر'!$B$33)</f>
        <v/>
      </c>
      <c r="D33" s="39" t="str">
        <f t="shared" si="0"/>
        <v/>
      </c>
      <c r="E33" s="40" t="str">
        <f t="shared" si="1"/>
        <v/>
      </c>
    </row>
    <row r="34" spans="1:5" x14ac:dyDescent="0.25">
      <c r="A34" s="33" t="s">
        <v>93</v>
      </c>
      <c r="B34" s="38" t="str">
        <f>IF(AND($H$3=1,N(B26)&gt;0),B33/B26,"")</f>
        <v/>
      </c>
      <c r="C34" s="38" t="str">
        <f>IF('11-نوفمبر'!$B$34="","",'11-نوفمبر'!$B$34)</f>
        <v/>
      </c>
      <c r="D34" s="38" t="str">
        <f t="shared" si="0"/>
        <v/>
      </c>
      <c r="E34" s="38"/>
    </row>
    <row r="35" spans="1:5" x14ac:dyDescent="0.25">
      <c r="A35" s="33" t="s">
        <v>94</v>
      </c>
      <c r="B35" s="31" t="str">
        <f>IF($H$3=1,$H$4,"")</f>
        <v/>
      </c>
      <c r="C35" s="31" t="str">
        <f>IF('11-نوفمبر'!$B$35="","",'11-نوفمبر'!$B$35)</f>
        <v/>
      </c>
      <c r="D35" s="31" t="str">
        <f t="shared" si="0"/>
        <v/>
      </c>
      <c r="E35" s="38" t="str">
        <f>IF(AND(ISNUMBER(B35),ISNUMBER(C35)),IF(C35&lt;&gt;0,(B35-C35)/ABS(C35),""),"")</f>
        <v/>
      </c>
    </row>
    <row r="36" spans="1:5" x14ac:dyDescent="0.25">
      <c r="A36" s="35" t="s">
        <v>95</v>
      </c>
      <c r="B36" s="37" t="str">
        <f>IF($H$3=1,B33+B35,"")</f>
        <v/>
      </c>
      <c r="C36" s="39" t="str">
        <f>IF('11-نوفمبر'!$B$36="","",'11-نوفمبر'!$B$36)</f>
        <v/>
      </c>
      <c r="D36" s="39" t="str">
        <f t="shared" si="0"/>
        <v/>
      </c>
      <c r="E36" s="40" t="str">
        <f>IF(AND(ISNUMBER(B36),ISNUMBER(C36)),IF(C36&lt;&gt;0,(B36-C36)/ABS(C36),""),"")</f>
        <v/>
      </c>
    </row>
    <row r="37" spans="1:5" x14ac:dyDescent="0.25">
      <c r="A37" s="33" t="s">
        <v>96</v>
      </c>
      <c r="B37" s="31" t="str">
        <f>IF(ISNUMBER(C9),C9,"")</f>
        <v/>
      </c>
      <c r="C37" s="31" t="str">
        <f>IF('11-نوفمبر'!$B$37="","",'11-نوفمبر'!$B$37)</f>
        <v/>
      </c>
      <c r="D37" s="31" t="str">
        <f t="shared" si="0"/>
        <v/>
      </c>
      <c r="E37" s="38" t="str">
        <f>IF(AND(ISNUMBER(B37),ISNUMBER(C37)),IF(C37&lt;&gt;0,(B37-C37)/ABS(C37),""),"")</f>
        <v/>
      </c>
    </row>
    <row r="39" spans="1:5" ht="19.5" customHeight="1" x14ac:dyDescent="0.25">
      <c r="A39" s="12" t="s">
        <v>97</v>
      </c>
      <c r="B39" s="12"/>
      <c r="C39" s="12"/>
      <c r="D39" s="12"/>
      <c r="E39" s="12"/>
    </row>
    <row r="40" spans="1:5" x14ac:dyDescent="0.25">
      <c r="A40" s="21" t="s">
        <v>98</v>
      </c>
      <c r="B40" s="21" t="s">
        <v>99</v>
      </c>
      <c r="C40" s="21" t="s">
        <v>100</v>
      </c>
      <c r="D40" s="21" t="s">
        <v>101</v>
      </c>
      <c r="E40" s="21" t="s">
        <v>85</v>
      </c>
    </row>
    <row r="41" spans="1:5" x14ac:dyDescent="0.25">
      <c r="A41" s="17" t="s">
        <v>102</v>
      </c>
      <c r="B41" s="38" t="str">
        <f>IF(AND(ISNUMBER(B32),N(B26)&gt;0),B32/B26,"")</f>
        <v/>
      </c>
      <c r="C41" s="38" t="str">
        <f>IF('11-نوفمبر'!$B$41="","",'11-نوفمبر'!$B$41)</f>
        <v/>
      </c>
      <c r="D41" s="38" t="str">
        <f>IF(AND(ISNUMBER(B41),ISNUMBER(C41)),B41-C41,"")</f>
        <v/>
      </c>
      <c r="E41" s="38"/>
    </row>
    <row r="42" spans="1:5" x14ac:dyDescent="0.25">
      <c r="A42" s="17" t="s">
        <v>103</v>
      </c>
      <c r="B42" s="38" t="str">
        <f>IF(AND(ISNUMBER(B30),N(B26)&gt;0),B30/B26,"")</f>
        <v/>
      </c>
      <c r="C42" s="38" t="str">
        <f>IF('11-نوفمبر'!$B$42="","",'11-نوفمبر'!$B$42)</f>
        <v/>
      </c>
      <c r="D42" s="38" t="str">
        <f>IF(AND(ISNUMBER(B42),ISNUMBER(C42)),B42-C42,"")</f>
        <v/>
      </c>
      <c r="E42" s="38"/>
    </row>
    <row r="43" spans="1:5" x14ac:dyDescent="0.25">
      <c r="A43" s="17" t="s">
        <v>104</v>
      </c>
      <c r="B43" s="31" t="str">
        <f>IF(ISNUMBER(C22),C22,"")</f>
        <v/>
      </c>
      <c r="C43" s="31" t="str">
        <f>IF('11-نوفمبر'!$B$43="","",'11-نوفمبر'!$B$43)</f>
        <v/>
      </c>
      <c r="D43" s="31" t="str">
        <f>IF(AND(ISNUMBER(B43),ISNUMBER(C43)),B43-C43,"")</f>
        <v/>
      </c>
      <c r="E43" s="38" t="str">
        <f>IF(AND(ISNUMBER(B43),ISNUMBER(C43)),IF(C43&lt;&gt;0,(B43-C43)/ABS(C43),""),"")</f>
        <v/>
      </c>
    </row>
    <row r="44" spans="1:5" x14ac:dyDescent="0.25">
      <c r="A44" s="17" t="s">
        <v>105</v>
      </c>
      <c r="B44" s="38" t="str">
        <f>IF(AND(ISNUMBER(C22),$B$2&gt;0),IF(C22&gt;0,(D21/$B$2)/C22,""),"")</f>
        <v/>
      </c>
      <c r="C44" s="38" t="str">
        <f>IF('11-نوفمبر'!$B$44="","",'11-نوفمبر'!$B$44)</f>
        <v/>
      </c>
      <c r="D44" s="38" t="str">
        <f>IF(AND(ISNUMBER(B44),ISNUMBER(C44)),B44-C44,"")</f>
        <v/>
      </c>
      <c r="E44" s="38"/>
    </row>
    <row r="45" spans="1:5" x14ac:dyDescent="0.25">
      <c r="A45" s="17" t="s">
        <v>106</v>
      </c>
      <c r="B45" s="31" t="str">
        <f>IF(ISNUMBER(D17),D17,"")</f>
        <v/>
      </c>
      <c r="C45" s="31" t="str">
        <f>IF('11-نوفمبر'!$B$45="","",'11-نوفمبر'!$B$45)</f>
        <v/>
      </c>
      <c r="D45" s="31" t="str">
        <f>IF(AND(ISNUMBER(B45),ISNUMBER(C45)),B45-C45,"")</f>
        <v/>
      </c>
      <c r="E45" s="38" t="str">
        <f>IF(AND(ISNUMBER(B45),ISNUMBER(C45)),IF(C45&lt;&gt;0,(B45-C45)/ABS(C45),""),"")</f>
        <v/>
      </c>
    </row>
    <row r="47" spans="1:5" ht="15" customHeight="1" x14ac:dyDescent="0.25">
      <c r="A47" s="11" t="s">
        <v>107</v>
      </c>
      <c r="B47" s="11"/>
      <c r="C47" s="11"/>
      <c r="D47" s="11"/>
      <c r="E47" s="11"/>
    </row>
    <row r="48" spans="1:5" x14ac:dyDescent="0.25">
      <c r="A48" s="11"/>
      <c r="B48" s="11"/>
      <c r="C48" s="11"/>
      <c r="D48" s="11"/>
      <c r="E48" s="11"/>
    </row>
  </sheetData>
  <mergeCells count="16">
    <mergeCell ref="A47:E48"/>
    <mergeCell ref="A19:E19"/>
    <mergeCell ref="A22:B22"/>
    <mergeCell ref="D22:E22"/>
    <mergeCell ref="A24:E24"/>
    <mergeCell ref="A39:E39"/>
    <mergeCell ref="D6:E6"/>
    <mergeCell ref="D7:E7"/>
    <mergeCell ref="D8:E8"/>
    <mergeCell ref="D9:E9"/>
    <mergeCell ref="A11:E11"/>
    <mergeCell ref="A1:E1"/>
    <mergeCell ref="D2:E2"/>
    <mergeCell ref="A3:E3"/>
    <mergeCell ref="A4:E4"/>
    <mergeCell ref="D5:E5"/>
  </mergeCells>
  <conditionalFormatting sqref="A3">
    <cfRule type="expression" dxfId="7" priority="2">
      <formula>LEFT($A$3,1)="⚠"</formula>
    </cfRule>
    <cfRule type="expression" dxfId="6" priority="3">
      <formula>LEFT($A$3,1)="✅"</formula>
    </cfRule>
    <cfRule type="expression" dxfId="5" priority="4">
      <formula>LEFT($A$3,1)="ℹ"</formula>
    </cfRule>
  </conditionalFormatting>
  <conditionalFormatting sqref="A21:E21">
    <cfRule type="expression" dxfId="4" priority="7">
      <formula>OR($H$10=1,$H$11=1,$H$12=1)</formula>
    </cfRule>
  </conditionalFormatting>
  <conditionalFormatting sqref="D2">
    <cfRule type="expression" dxfId="3" priority="5">
      <formula>LEFT($D$2,1)="✅"</formula>
    </cfRule>
    <cfRule type="expression" dxfId="2" priority="6">
      <formula>LEFT($D$2,1)="⚠"</formula>
    </cfRule>
  </conditionalFormatting>
  <dataValidations count="1">
    <dataValidation type="decimal" operator="greaterThanOrEqual" allowBlank="1" errorTitle="قيمة غير صالحة" error="أدخل رقمًا موجبًا (بالليرة السورية)." sqref="B6:B8 B13:C15" xr:uid="{00000000-0002-0000-0C00-000000000000}">
      <formula1>0</formula1>
      <formula2>0</formula2>
    </dataValidation>
  </dataValidations>
  <printOptions horizontalCentered="1"/>
  <pageMargins left="0.4" right="0.4" top="0.5" bottom="0.6" header="0.511811023622047" footer="0.5"/>
  <pageSetup paperSize="9" orientation="portrait" horizontalDpi="300" verticalDpi="300"/>
  <headerFooter>
    <oddFooter>&amp;C&amp;8 &amp;A  —  صفحة &amp;P من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N58"/>
  <sheetViews>
    <sheetView showGridLines="0" rightToLeft="1"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38" customWidth="1"/>
    <col min="2" max="13" width="10.5703125" customWidth="1"/>
    <col min="14" max="14" width="13" customWidth="1"/>
  </cols>
  <sheetData>
    <row r="1" spans="1:14" ht="31.5" customHeight="1" x14ac:dyDescent="0.25">
      <c r="A1" s="14" t="s">
        <v>119</v>
      </c>
      <c r="B1" s="14"/>
      <c r="C1" s="14"/>
      <c r="D1" s="14"/>
      <c r="E1" s="14"/>
      <c r="F1" s="14"/>
      <c r="G1" s="14"/>
      <c r="H1" s="14"/>
      <c r="I1" s="14"/>
      <c r="J1" s="14"/>
      <c r="K1" s="14"/>
      <c r="L1" s="14"/>
      <c r="M1" s="14"/>
      <c r="N1" s="14"/>
    </row>
    <row r="3" spans="1:14" ht="22.5" x14ac:dyDescent="0.25">
      <c r="A3" s="19" t="s">
        <v>120</v>
      </c>
    </row>
    <row r="4" spans="1:14" x14ac:dyDescent="0.25">
      <c r="B4" s="29">
        <v>1</v>
      </c>
      <c r="C4" s="29">
        <v>2</v>
      </c>
      <c r="D4" s="29">
        <v>3</v>
      </c>
      <c r="E4" s="29">
        <v>4</v>
      </c>
      <c r="F4" s="29">
        <v>5</v>
      </c>
      <c r="G4" s="29">
        <v>6</v>
      </c>
      <c r="H4" s="29">
        <v>7</v>
      </c>
      <c r="I4" s="29">
        <v>8</v>
      </c>
      <c r="J4" s="29">
        <v>9</v>
      </c>
      <c r="K4" s="29">
        <v>10</v>
      </c>
      <c r="L4" s="29">
        <v>11</v>
      </c>
      <c r="M4" s="29">
        <v>12</v>
      </c>
    </row>
    <row r="5" spans="1:14" x14ac:dyDescent="0.25">
      <c r="A5" s="21" t="s">
        <v>98</v>
      </c>
      <c r="B5" s="21" t="s">
        <v>17</v>
      </c>
      <c r="C5" s="21" t="s">
        <v>18</v>
      </c>
      <c r="D5" s="21" t="s">
        <v>19</v>
      </c>
      <c r="E5" s="21" t="s">
        <v>20</v>
      </c>
      <c r="F5" s="21" t="s">
        <v>21</v>
      </c>
      <c r="G5" s="21" t="s">
        <v>22</v>
      </c>
      <c r="H5" s="21" t="s">
        <v>23</v>
      </c>
      <c r="I5" s="21" t="s">
        <v>24</v>
      </c>
      <c r="J5" s="21" t="s">
        <v>25</v>
      </c>
      <c r="K5" s="21" t="s">
        <v>26</v>
      </c>
      <c r="L5" s="21" t="s">
        <v>27</v>
      </c>
      <c r="M5" s="21" t="s">
        <v>28</v>
      </c>
      <c r="N5" s="21" t="s">
        <v>121</v>
      </c>
    </row>
    <row r="6" spans="1:14" x14ac:dyDescent="0.25">
      <c r="A6" s="33" t="s">
        <v>122</v>
      </c>
      <c r="B6" s="42">
        <f>IF('01-يناير'!B2&gt;0,'01-يناير'!B2,"")</f>
        <v>11500</v>
      </c>
      <c r="C6" s="42">
        <f>IF('02-فبراير'!B2&gt;0,'02-فبراير'!B2,"")</f>
        <v>12000</v>
      </c>
      <c r="D6" s="42">
        <f>IF('03-مارس'!B2&gt;0,'03-مارس'!B2,"")</f>
        <v>12000</v>
      </c>
      <c r="E6" s="42">
        <f>IF('04-أبريل'!B2&gt;0,'04-أبريل'!B2,"")</f>
        <v>12500</v>
      </c>
      <c r="F6" s="42">
        <f>IF('05-مايو'!B2&gt;0,'05-مايو'!B2,"")</f>
        <v>12500</v>
      </c>
      <c r="G6" s="42">
        <f>IF('06-يونيو'!B2&gt;0,'06-يونيو'!B2,"")</f>
        <v>13200</v>
      </c>
      <c r="H6" s="42">
        <f>IF('07-يوليو'!B2&gt;0,'07-يوليو'!B2,"")</f>
        <v>13300</v>
      </c>
      <c r="I6" s="42">
        <f>IF('08-أغسطس'!B2&gt;0,'08-أغسطس'!B2,"")</f>
        <v>13200</v>
      </c>
      <c r="J6" s="42">
        <f>IF('09-سبتمبر'!B2&gt;0,'09-سبتمبر'!B2,"")</f>
        <v>13800</v>
      </c>
      <c r="K6" s="42">
        <f>IF('10-أكتوبر'!B2&gt;0,'10-أكتوبر'!B2,"")</f>
        <v>14200</v>
      </c>
      <c r="L6" s="42" t="str">
        <f>IF('11-نوفمبر'!B2&gt;0,'11-نوفمبر'!B2,"")</f>
        <v/>
      </c>
      <c r="M6" s="42" t="str">
        <f>IF('12-ديسمبر'!B2&gt;0,'12-ديسمبر'!B2,"")</f>
        <v/>
      </c>
      <c r="N6" s="43"/>
    </row>
    <row r="7" spans="1:14" x14ac:dyDescent="0.25">
      <c r="A7" s="33" t="s">
        <v>123</v>
      </c>
      <c r="B7" s="44">
        <f>IF('01-يناير'!B6="","",'01-يناير'!B6)</f>
        <v>118926000</v>
      </c>
      <c r="C7" s="44">
        <f>IF('02-فبراير'!B6="","",'02-فبراير'!B6)</f>
        <v>87859000</v>
      </c>
      <c r="D7" s="44">
        <f>IF('03-مارس'!B6="","",'03-مارس'!B6)</f>
        <v>105443000</v>
      </c>
      <c r="E7" s="44">
        <f>IF('04-أبريل'!B6="","",'04-أبريل'!B6)</f>
        <v>166691000</v>
      </c>
      <c r="F7" s="44">
        <f>IF('05-مايو'!B6="","",'05-مايو'!B6)</f>
        <v>163334000</v>
      </c>
      <c r="G7" s="44">
        <f>IF('06-يونيو'!B6="","",'06-يونيو'!B6)</f>
        <v>197424000</v>
      </c>
      <c r="H7" s="44">
        <f>IF('07-يوليو'!B6="","",'07-يوليو'!B6)</f>
        <v>191042000</v>
      </c>
      <c r="I7" s="44">
        <f>IF('08-أغسطس'!B6="","",'08-أغسطس'!B6)</f>
        <v>227528000</v>
      </c>
      <c r="J7" s="44">
        <f>IF('09-سبتمبر'!B6="","",'09-سبتمبر'!B6)</f>
        <v>171287000</v>
      </c>
      <c r="K7" s="44" t="str">
        <f>IF('10-أكتوبر'!B6="","",'10-أكتوبر'!B6)</f>
        <v/>
      </c>
      <c r="L7" s="44" t="str">
        <f>IF('11-نوفمبر'!B6="","",'11-نوفمبر'!B6)</f>
        <v/>
      </c>
      <c r="M7" s="44" t="str">
        <f>IF('12-ديسمبر'!B6="","",'12-ديسمبر'!B6)</f>
        <v/>
      </c>
      <c r="N7" s="45">
        <f>SUM(B7:M7)</f>
        <v>1429534000</v>
      </c>
    </row>
    <row r="8" spans="1:14" x14ac:dyDescent="0.25">
      <c r="A8" s="33" t="s">
        <v>124</v>
      </c>
      <c r="B8" s="44">
        <f>IF('01-يناير'!B7="","",'01-يناير'!B7)</f>
        <v>74709000</v>
      </c>
      <c r="C8" s="44">
        <f>IF('02-فبراير'!B7="","",'02-فبراير'!B7)</f>
        <v>41296000</v>
      </c>
      <c r="D8" s="44">
        <f>IF('03-مارس'!B7="","",'03-مارس'!B7)</f>
        <v>45155000</v>
      </c>
      <c r="E8" s="44">
        <f>IF('04-أبريل'!B7="","",'04-أبريل'!B7)</f>
        <v>91555000</v>
      </c>
      <c r="F8" s="44">
        <f>IF('05-مايو'!B7="","",'05-مايو'!B7)</f>
        <v>91196000</v>
      </c>
      <c r="G8" s="44">
        <f>IF('06-يونيو'!B7="","",'06-يونيو'!B7)</f>
        <v>61619000</v>
      </c>
      <c r="H8" s="44">
        <f>IF('07-يوليو'!B7="","",'07-يوليو'!B7)</f>
        <v>140673000</v>
      </c>
      <c r="I8" s="44">
        <f>IF('08-أغسطس'!B7="","",'08-أغسطس'!B7)</f>
        <v>77982000</v>
      </c>
      <c r="J8" s="44">
        <f>IF('09-سبتمبر'!B7="","",'09-سبتمبر'!B7)</f>
        <v>70292000</v>
      </c>
      <c r="K8" s="44" t="str">
        <f>IF('10-أكتوبر'!B7="","",'10-أكتوبر'!B7)</f>
        <v/>
      </c>
      <c r="L8" s="44" t="str">
        <f>IF('11-نوفمبر'!B7="","",'11-نوفمبر'!B7)</f>
        <v/>
      </c>
      <c r="M8" s="44" t="str">
        <f>IF('12-ديسمبر'!B7="","",'12-ديسمبر'!B7)</f>
        <v/>
      </c>
      <c r="N8" s="45">
        <f>SUM(B8:M8)</f>
        <v>694477000</v>
      </c>
    </row>
    <row r="9" spans="1:14" x14ac:dyDescent="0.25">
      <c r="A9" s="33" t="s">
        <v>125</v>
      </c>
      <c r="B9" s="44">
        <f>IF('01-يناير'!B8="","",'01-يناير'!B8)</f>
        <v>38000000</v>
      </c>
      <c r="C9" s="44">
        <f>IF('02-فبراير'!B8="","",'02-فبراير'!B8)</f>
        <v>36215000</v>
      </c>
      <c r="D9" s="44">
        <f>IF('03-مارس'!B8="","",'03-مارس'!B8)</f>
        <v>37203000</v>
      </c>
      <c r="E9" s="44">
        <f>IF('04-أبريل'!B8="","",'04-أبريل'!B8)</f>
        <v>38371000</v>
      </c>
      <c r="F9" s="44">
        <f>IF('05-مايو'!B8="","",'05-مايو'!B8)</f>
        <v>26000000</v>
      </c>
      <c r="G9" s="44">
        <f>IF('06-يونيو'!B8="","",'06-يونيو'!B8)</f>
        <v>32391000</v>
      </c>
      <c r="H9" s="44">
        <f>IF('07-يوليو'!B8="","",'07-يوليو'!B8)</f>
        <v>29190000</v>
      </c>
      <c r="I9" s="44">
        <f>IF('08-أغسطس'!B8="","",'08-أغسطس'!B8)</f>
        <v>32207000</v>
      </c>
      <c r="J9" s="44">
        <f>IF('09-سبتمبر'!B8="","",'09-سبتمبر'!B8)</f>
        <v>43828000</v>
      </c>
      <c r="K9" s="44" t="str">
        <f>IF('10-أكتوبر'!B8="","",'10-أكتوبر'!B8)</f>
        <v/>
      </c>
      <c r="L9" s="44" t="str">
        <f>IF('11-نوفمبر'!B8="","",'11-نوفمبر'!B8)</f>
        <v/>
      </c>
      <c r="M9" s="44" t="str">
        <f>IF('12-ديسمبر'!B8="","",'12-ديسمبر'!B8)</f>
        <v/>
      </c>
      <c r="N9" s="45">
        <f>SUM(B9:M9)</f>
        <v>313405000</v>
      </c>
    </row>
    <row r="10" spans="1:14" ht="19.5" customHeight="1" x14ac:dyDescent="0.25">
      <c r="A10" s="12" t="s">
        <v>126</v>
      </c>
      <c r="B10" s="12"/>
      <c r="C10" s="12"/>
      <c r="D10" s="12"/>
      <c r="E10" s="12"/>
      <c r="F10" s="12"/>
      <c r="G10" s="12"/>
      <c r="H10" s="12"/>
      <c r="I10" s="12"/>
      <c r="J10" s="12"/>
      <c r="K10" s="12"/>
      <c r="L10" s="12"/>
      <c r="M10" s="12"/>
      <c r="N10" s="12"/>
    </row>
    <row r="11" spans="1:14" x14ac:dyDescent="0.25">
      <c r="A11" s="33" t="s">
        <v>14</v>
      </c>
      <c r="B11" s="31">
        <f>IF('01-يناير'!B26="","",'01-يناير'!B26)</f>
        <v>10341.391304347826</v>
      </c>
      <c r="C11" s="31">
        <f>IF('02-فبراير'!B26="","",'02-فبراير'!B26)</f>
        <v>7321.583333333333</v>
      </c>
      <c r="D11" s="31">
        <f>IF('03-مارس'!B26="","",'03-مارس'!B26)</f>
        <v>8786.9166666666661</v>
      </c>
      <c r="E11" s="31">
        <f>IF('04-أبريل'!B26="","",'04-أبريل'!B26)</f>
        <v>13335.28</v>
      </c>
      <c r="F11" s="31">
        <f>IF('05-مايو'!B26="","",'05-مايو'!B26)</f>
        <v>13066.72</v>
      </c>
      <c r="G11" s="31">
        <f>IF('06-يونيو'!B26="","",'06-يونيو'!B26)</f>
        <v>14956.363636363636</v>
      </c>
      <c r="H11" s="31">
        <f>IF('07-يوليو'!B26="","",'07-يوليو'!B26)</f>
        <v>14364.060150375939</v>
      </c>
      <c r="I11" s="31">
        <f>IF('08-أغسطس'!B26="","",'08-أغسطس'!B26)</f>
        <v>17236.969696969696</v>
      </c>
      <c r="J11" s="31">
        <f>IF('09-سبتمبر'!B26="","",'09-سبتمبر'!B26)</f>
        <v>12412.101449275362</v>
      </c>
      <c r="K11" s="31" t="str">
        <f>IF('10-أكتوبر'!B26="","",'10-أكتوبر'!B26)</f>
        <v/>
      </c>
      <c r="L11" s="31" t="str">
        <f>IF('11-نوفمبر'!B26="","",'11-نوفمبر'!B26)</f>
        <v/>
      </c>
      <c r="M11" s="31" t="str">
        <f>IF('12-ديسمبر'!B26="","",'12-ديسمبر'!B26)</f>
        <v/>
      </c>
      <c r="N11" s="46">
        <f>SUM(B11:M11)</f>
        <v>111821.38623733245</v>
      </c>
    </row>
    <row r="12" spans="1:14" x14ac:dyDescent="0.25">
      <c r="A12" s="33" t="s">
        <v>127</v>
      </c>
      <c r="B12" s="31">
        <f>IF('01-يناير'!B28="","",'01-يناير'!B28)</f>
        <v>6496.434782608696</v>
      </c>
      <c r="C12" s="31">
        <f>IF('02-فبراير'!B28="","",'02-فبراير'!B28)</f>
        <v>3441.3333333333335</v>
      </c>
      <c r="D12" s="31">
        <f>IF('03-مارس'!B28="","",'03-مارس'!B28)</f>
        <v>3762.9166666666665</v>
      </c>
      <c r="E12" s="31">
        <f>IF('04-أبريل'!B28="","",'04-أبريل'!B28)</f>
        <v>7324.4</v>
      </c>
      <c r="F12" s="31">
        <f>IF('05-مايو'!B28="","",'05-مايو'!B28)</f>
        <v>7295.68</v>
      </c>
      <c r="G12" s="31">
        <f>IF('06-يونيو'!B28="","",'06-يونيو'!B28)</f>
        <v>4668.106060606061</v>
      </c>
      <c r="H12" s="31">
        <f>IF('07-يوليو'!B28="","",'07-يوليو'!B28)</f>
        <v>10576.917293233082</v>
      </c>
      <c r="I12" s="31">
        <f>IF('08-أغسطس'!B28="","",'08-أغسطس'!B28)</f>
        <v>5907.727272727273</v>
      </c>
      <c r="J12" s="31">
        <f>IF('09-سبتمبر'!B28="","",'09-سبتمبر'!B28)</f>
        <v>5093.623188405797</v>
      </c>
      <c r="K12" s="31" t="str">
        <f>IF('10-أكتوبر'!B28="","",'10-أكتوبر'!B28)</f>
        <v/>
      </c>
      <c r="L12" s="31" t="str">
        <f>IF('11-نوفمبر'!B28="","",'11-نوفمبر'!B28)</f>
        <v/>
      </c>
      <c r="M12" s="31" t="str">
        <f>IF('12-ديسمبر'!B28="","",'12-ديسمبر'!B28)</f>
        <v/>
      </c>
      <c r="N12" s="46">
        <f>SUM(B12:M12)</f>
        <v>54567.138597580917</v>
      </c>
    </row>
    <row r="13" spans="1:14" x14ac:dyDescent="0.25">
      <c r="A13" s="33" t="s">
        <v>128</v>
      </c>
      <c r="B13" s="31">
        <f>IF('01-يناير'!B32="","",'01-يناير'!B32)</f>
        <v>3304.3478260869565</v>
      </c>
      <c r="C13" s="31">
        <f>IF('02-فبراير'!B32="","",'02-فبراير'!B32)</f>
        <v>3017.9166666666665</v>
      </c>
      <c r="D13" s="31">
        <f>IF('03-مارس'!B32="","",'03-مارس'!B32)</f>
        <v>3100.25</v>
      </c>
      <c r="E13" s="31">
        <f>IF('04-أبريل'!B32="","",'04-أبريل'!B32)</f>
        <v>3069.68</v>
      </c>
      <c r="F13" s="31">
        <f>IF('05-مايو'!B32="","",'05-مايو'!B32)</f>
        <v>2080</v>
      </c>
      <c r="G13" s="31">
        <f>IF('06-يونيو'!B32="","",'06-يونيو'!B32)</f>
        <v>2453.8636363636365</v>
      </c>
      <c r="H13" s="31">
        <f>IF('07-يوليو'!B32="","",'07-يوليو'!B32)</f>
        <v>2194.7368421052633</v>
      </c>
      <c r="I13" s="31">
        <f>IF('08-أغسطس'!B32="","",'08-أغسطس'!B32)</f>
        <v>2439.9242424242425</v>
      </c>
      <c r="J13" s="31">
        <f>IF('09-سبتمبر'!B32="","",'09-سبتمبر'!B32)</f>
        <v>3175.942028985507</v>
      </c>
      <c r="K13" s="31" t="str">
        <f>IF('10-أكتوبر'!B32="","",'10-أكتوبر'!B32)</f>
        <v/>
      </c>
      <c r="L13" s="31" t="str">
        <f>IF('11-نوفمبر'!B32="","",'11-نوفمبر'!B32)</f>
        <v/>
      </c>
      <c r="M13" s="31" t="str">
        <f>IF('12-ديسمبر'!B32="","",'12-ديسمبر'!B32)</f>
        <v/>
      </c>
      <c r="N13" s="46">
        <f>SUM(B13:M13)</f>
        <v>24836.661242632275</v>
      </c>
    </row>
    <row r="14" spans="1:14" x14ac:dyDescent="0.25">
      <c r="A14" s="33" t="s">
        <v>129</v>
      </c>
      <c r="B14" s="31">
        <f>IF('01-يناير'!B37="","",'01-يناير'!B37)</f>
        <v>540.60869565217388</v>
      </c>
      <c r="C14" s="31">
        <f>IF('02-فبراير'!B37="","",'02-فبراير'!B37)</f>
        <v>862.33333333333337</v>
      </c>
      <c r="D14" s="31">
        <f>IF('03-مارس'!B37="","",'03-مارس'!B37)</f>
        <v>1923.75</v>
      </c>
      <c r="E14" s="31">
        <f>IF('04-أبريل'!B37="","",'04-أبريل'!B37)</f>
        <v>2941.2</v>
      </c>
      <c r="F14" s="31">
        <f>IF('05-مايو'!B37="","",'05-مايو'!B37)</f>
        <v>3691.04</v>
      </c>
      <c r="G14" s="31">
        <f>IF('06-يونيو'!B37="","",'06-يونيو'!B37)</f>
        <v>7834.393939393939</v>
      </c>
      <c r="H14" s="31">
        <f>IF('07-يوليو'!B37="","",'07-يوليو'!B37)</f>
        <v>1592.406015037594</v>
      </c>
      <c r="I14" s="31">
        <f>IF('08-أغسطس'!B37="","",'08-أغسطس'!B37)</f>
        <v>8889.318181818182</v>
      </c>
      <c r="J14" s="31">
        <f>IF('09-سبتمبر'!B37="","",'09-سبتمبر'!B37)</f>
        <v>4142.536231884058</v>
      </c>
      <c r="K14" s="31" t="str">
        <f>IF('10-أكتوبر'!B37="","",'10-أكتوبر'!B37)</f>
        <v/>
      </c>
      <c r="L14" s="31" t="str">
        <f>IF('11-نوفمبر'!B37="","",'11-نوفمبر'!B37)</f>
        <v/>
      </c>
      <c r="M14" s="31" t="str">
        <f>IF('12-ديسمبر'!B37="","",'12-ديسمبر'!B37)</f>
        <v/>
      </c>
      <c r="N14" s="46">
        <f>SUM(B14:M14)</f>
        <v>32417.586397119281</v>
      </c>
    </row>
    <row r="15" spans="1:14" x14ac:dyDescent="0.25">
      <c r="A15" s="33" t="s">
        <v>130</v>
      </c>
      <c r="B15" s="31" t="str">
        <f>IF('01-يناير'!B27="","",'01-يناير'!B27)</f>
        <v/>
      </c>
      <c r="C15" s="31" t="str">
        <f>IF('02-فبراير'!B27="","",'02-فبراير'!B27)</f>
        <v/>
      </c>
      <c r="D15" s="31" t="str">
        <f>IF('03-مارس'!B27="","",'03-مارس'!B27)</f>
        <v/>
      </c>
      <c r="E15" s="31" t="str">
        <f>IF('04-أبريل'!B27="","",'04-أبريل'!B27)</f>
        <v/>
      </c>
      <c r="F15" s="31" t="str">
        <f>IF('05-مايو'!B27="","",'05-مايو'!B27)</f>
        <v/>
      </c>
      <c r="G15" s="31" t="str">
        <f>IF('06-يونيو'!B27="","",'06-يونيو'!B27)</f>
        <v/>
      </c>
      <c r="H15" s="31">
        <f>IF('07-يوليو'!B27="","",'07-يوليو'!B27)</f>
        <v>44737.391969696968</v>
      </c>
      <c r="I15" s="31">
        <f>IF('08-أغسطس'!B27="","",'08-أغسطس'!B27)</f>
        <v>48491.027368421055</v>
      </c>
      <c r="J15" s="31">
        <f>IF('09-سبتمبر'!B27="","",'09-سبتمبر'!B27)</f>
        <v>47944.021160606135</v>
      </c>
      <c r="K15" s="31" t="str">
        <f>IF('10-أكتوبر'!B27="","",'10-أكتوبر'!B27)</f>
        <v/>
      </c>
      <c r="L15" s="31" t="str">
        <f>IF('11-نوفمبر'!B27="","",'11-نوفمبر'!B27)</f>
        <v/>
      </c>
      <c r="M15" s="31" t="str">
        <f>IF('12-ديسمبر'!B27="","",'12-ديسمبر'!B27)</f>
        <v/>
      </c>
      <c r="N15" s="43"/>
    </row>
    <row r="16" spans="1:14" x14ac:dyDescent="0.25">
      <c r="A16" s="33" t="s">
        <v>131</v>
      </c>
      <c r="B16" s="31" t="str">
        <f>IF('01-يناير'!B29="","",'01-يناير'!B29)</f>
        <v/>
      </c>
      <c r="C16" s="31" t="str">
        <f>IF('02-فبراير'!B29="","",'02-فبراير'!B29)</f>
        <v/>
      </c>
      <c r="D16" s="31" t="str">
        <f>IF('03-مارس'!B29="","",'03-مارس'!B29)</f>
        <v/>
      </c>
      <c r="E16" s="31" t="str">
        <f>IF('04-أبريل'!B29="","",'04-أبريل'!B29)</f>
        <v/>
      </c>
      <c r="F16" s="31" t="str">
        <f>IF('05-مايو'!B29="","",'05-مايو'!B29)</f>
        <v/>
      </c>
      <c r="G16" s="31" t="str">
        <f>IF('06-يونيو'!B29="","",'06-يونيو'!B29)</f>
        <v/>
      </c>
      <c r="H16" s="31">
        <f>IF('07-يوليو'!B29="","",'07-يوليو'!B29)</f>
        <v>48607.400240373667</v>
      </c>
      <c r="I16" s="31">
        <f>IF('08-أغسطس'!B29="","",'08-أغسطس'!B29)</f>
        <v>47841.664286602943</v>
      </c>
      <c r="J16" s="31">
        <f>IF('09-سبتمبر'!B29="","",'09-سبتمبر'!B29)</f>
        <v>45510.709756258242</v>
      </c>
      <c r="K16" s="31" t="str">
        <f>IF('10-أكتوبر'!B29="","",'10-أكتوبر'!B29)</f>
        <v/>
      </c>
      <c r="L16" s="31" t="str">
        <f>IF('11-نوفمبر'!B29="","",'11-نوفمبر'!B29)</f>
        <v/>
      </c>
      <c r="M16" s="31" t="str">
        <f>IF('12-ديسمبر'!B29="","",'12-ديسمبر'!B29)</f>
        <v/>
      </c>
      <c r="N16" s="43"/>
    </row>
    <row r="17" spans="1:14" x14ac:dyDescent="0.25">
      <c r="A17" s="33" t="s">
        <v>132</v>
      </c>
      <c r="B17" s="31" t="str">
        <f>IF('01-يناير'!B30="","",'01-يناير'!B30)</f>
        <v/>
      </c>
      <c r="C17" s="31" t="str">
        <f>IF('02-فبراير'!B30="","",'02-فبراير'!B30)</f>
        <v/>
      </c>
      <c r="D17" s="31" t="str">
        <f>IF('03-مارس'!B30="","",'03-مارس'!B30)</f>
        <v/>
      </c>
      <c r="E17" s="31" t="str">
        <f>IF('04-أبريل'!B30="","",'04-أبريل'!B30)</f>
        <v/>
      </c>
      <c r="F17" s="31" t="str">
        <f>IF('05-مايو'!B30="","",'05-مايو'!B30)</f>
        <v/>
      </c>
      <c r="G17" s="31" t="str">
        <f>IF('06-يونيو'!B30="","",'06-يونيو'!B30)</f>
        <v/>
      </c>
      <c r="H17" s="31">
        <f>IF('07-يوليو'!B30="","",'07-يوليو'!B30)</f>
        <v>6706.909022556385</v>
      </c>
      <c r="I17" s="31">
        <f>IF('08-أغسطس'!B30="","",'08-أغسطس'!B30)</f>
        <v>6557.0903545453839</v>
      </c>
      <c r="J17" s="31">
        <f>IF('09-سبتمبر'!B30="","",'09-سبتمبر'!B30)</f>
        <v>7526.9345927536924</v>
      </c>
      <c r="K17" s="31" t="str">
        <f>IF('10-أكتوبر'!B30="","",'10-أكتوبر'!B30)</f>
        <v/>
      </c>
      <c r="L17" s="31" t="str">
        <f>IF('11-نوفمبر'!B30="","",'11-نوفمبر'!B30)</f>
        <v/>
      </c>
      <c r="M17" s="31" t="str">
        <f>IF('12-ديسمبر'!B30="","",'12-ديسمبر'!B30)</f>
        <v/>
      </c>
      <c r="N17" s="46">
        <f>SUM(B17:M17)</f>
        <v>20790.933969855461</v>
      </c>
    </row>
    <row r="18" spans="1:14" x14ac:dyDescent="0.25">
      <c r="A18" s="33" t="s">
        <v>133</v>
      </c>
      <c r="B18" s="31" t="str">
        <f>IF('01-يناير'!B31="","",'01-يناير'!B31)</f>
        <v/>
      </c>
      <c r="C18" s="31" t="str">
        <f>IF('02-فبراير'!B31="","",'02-فبراير'!B31)</f>
        <v/>
      </c>
      <c r="D18" s="31" t="str">
        <f>IF('03-مارس'!B31="","",'03-مارس'!B31)</f>
        <v/>
      </c>
      <c r="E18" s="31" t="str">
        <f>IF('04-أبريل'!B31="","",'04-أبريل'!B31)</f>
        <v/>
      </c>
      <c r="F18" s="31" t="str">
        <f>IF('05-مايو'!B31="","",'05-مايو'!B31)</f>
        <v/>
      </c>
      <c r="G18" s="31" t="str">
        <f>IF('06-يونيو'!B31="","",'06-يونيو'!B31)</f>
        <v/>
      </c>
      <c r="H18" s="31">
        <f>IF('07-يوليو'!B31="","",'07-يوليو'!B31)</f>
        <v>7657.1511278195539</v>
      </c>
      <c r="I18" s="31">
        <f>IF('08-أغسطس'!B31="","",'08-أغسطس'!B31)</f>
        <v>10679.879342424312</v>
      </c>
      <c r="J18" s="31">
        <f>IF('09-سبتمبر'!B31="","",'09-سبتمبر'!B31)</f>
        <v>4885.1668565216696</v>
      </c>
      <c r="K18" s="31" t="str">
        <f>IF('10-أكتوبر'!B31="","",'10-أكتوبر'!B31)</f>
        <v/>
      </c>
      <c r="L18" s="31" t="str">
        <f>IF('11-نوفمبر'!B31="","",'11-نوفمبر'!B31)</f>
        <v/>
      </c>
      <c r="M18" s="31" t="str">
        <f>IF('12-ديسمبر'!B31="","",'12-ديسمبر'!B31)</f>
        <v/>
      </c>
      <c r="N18" s="46">
        <f>SUM(B18:M18)</f>
        <v>23222.197326765534</v>
      </c>
    </row>
    <row r="19" spans="1:14" x14ac:dyDescent="0.25">
      <c r="A19" s="35" t="s">
        <v>134</v>
      </c>
      <c r="B19" s="37" t="str">
        <f>IF('01-يناير'!B33="","",'01-يناير'!B33)</f>
        <v/>
      </c>
      <c r="C19" s="37" t="str">
        <f>IF('02-فبراير'!B33="","",'02-فبراير'!B33)</f>
        <v/>
      </c>
      <c r="D19" s="37" t="str">
        <f>IF('03-مارس'!B33="","",'03-مارس'!B33)</f>
        <v/>
      </c>
      <c r="E19" s="37" t="str">
        <f>IF('04-أبريل'!B33="","",'04-أبريل'!B33)</f>
        <v/>
      </c>
      <c r="F19" s="37" t="str">
        <f>IF('05-مايو'!B33="","",'05-مايو'!B33)</f>
        <v/>
      </c>
      <c r="G19" s="37" t="str">
        <f>IF('06-يونيو'!B33="","",'06-يونيو'!B33)</f>
        <v/>
      </c>
      <c r="H19" s="37">
        <f>IF('07-يوليو'!B33="","",'07-يوليو'!B33)</f>
        <v>5462.4142857142906</v>
      </c>
      <c r="I19" s="37">
        <f>IF('08-أغسطس'!B33="","",'08-أغسطس'!B33)</f>
        <v>8239.9551000000702</v>
      </c>
      <c r="J19" s="37">
        <f>IF('09-سبتمبر'!B33="","",'09-سبتمبر'!B33)</f>
        <v>1709.2248275361626</v>
      </c>
      <c r="K19" s="37" t="str">
        <f>IF('10-أكتوبر'!B33="","",'10-أكتوبر'!B33)</f>
        <v/>
      </c>
      <c r="L19" s="37" t="str">
        <f>IF('11-نوفمبر'!B33="","",'11-نوفمبر'!B33)</f>
        <v/>
      </c>
      <c r="M19" s="37" t="str">
        <f>IF('12-ديسمبر'!B33="","",'12-ديسمبر'!B33)</f>
        <v/>
      </c>
      <c r="N19" s="37">
        <f>SUM(B19:M19)</f>
        <v>15411.594213250522</v>
      </c>
    </row>
    <row r="20" spans="1:14" x14ac:dyDescent="0.25">
      <c r="A20" s="33" t="s">
        <v>93</v>
      </c>
      <c r="B20" s="38" t="str">
        <f>IF('01-يناير'!B34="","",'01-يناير'!B34)</f>
        <v/>
      </c>
      <c r="C20" s="38" t="str">
        <f>IF('02-فبراير'!B34="","",'02-فبراير'!B34)</f>
        <v/>
      </c>
      <c r="D20" s="38" t="str">
        <f>IF('03-مارس'!B34="","",'03-مارس'!B34)</f>
        <v/>
      </c>
      <c r="E20" s="38" t="str">
        <f>IF('04-أبريل'!B34="","",'04-أبريل'!B34)</f>
        <v/>
      </c>
      <c r="F20" s="38" t="str">
        <f>IF('05-مايو'!B34="","",'05-مايو'!B34)</f>
        <v/>
      </c>
      <c r="G20" s="38" t="str">
        <f>IF('06-يونيو'!B34="","",'06-يونيو'!B34)</f>
        <v/>
      </c>
      <c r="H20" s="38">
        <f>IF('07-يوليو'!B34="","",'07-يوليو'!B34)</f>
        <v>0.38028344552506815</v>
      </c>
      <c r="I20" s="38">
        <f>IF('08-أغسطس'!B34="","",'08-أغسطس'!B34)</f>
        <v>0.47803965806406656</v>
      </c>
      <c r="J20" s="38">
        <f>IF('09-سبتمبر'!B34="","",'09-سبتمبر'!B34)</f>
        <v>0.13770632108682529</v>
      </c>
      <c r="K20" s="38" t="str">
        <f>IF('10-أكتوبر'!B34="","",'10-أكتوبر'!B34)</f>
        <v/>
      </c>
      <c r="L20" s="38" t="str">
        <f>IF('11-نوفمبر'!B34="","",'11-نوفمبر'!B34)</f>
        <v/>
      </c>
      <c r="M20" s="38" t="str">
        <f>IF('12-ديسمبر'!B34="","",'12-ديسمبر'!B34)</f>
        <v/>
      </c>
      <c r="N20" s="47">
        <f>IF(SUM(B39:M39)&gt;0,N19/SUM(B39:M39),"")</f>
        <v>0.3501590038978597</v>
      </c>
    </row>
    <row r="21" spans="1:14" x14ac:dyDescent="0.25">
      <c r="A21" s="33" t="s">
        <v>135</v>
      </c>
      <c r="B21" s="31" t="str">
        <f>IF('01-يناير'!B35="","",'01-يناير'!B35)</f>
        <v/>
      </c>
      <c r="C21" s="31" t="str">
        <f>IF('02-فبراير'!B35="","",'02-فبراير'!B35)</f>
        <v/>
      </c>
      <c r="D21" s="31" t="str">
        <f>IF('03-مارس'!B35="","",'03-مارس'!B35)</f>
        <v/>
      </c>
      <c r="E21" s="31" t="str">
        <f>IF('04-أبريل'!B35="","",'04-أبريل'!B35)</f>
        <v/>
      </c>
      <c r="F21" s="31" t="str">
        <f>IF('05-مايو'!B35="","",'05-مايو'!B35)</f>
        <v/>
      </c>
      <c r="G21" s="31" t="str">
        <f>IF('06-يونيو'!B35="","",'06-يونيو'!B35)</f>
        <v/>
      </c>
      <c r="H21" s="31">
        <f>IF('07-يوليو'!B35="","",'07-يوليو'!B35)</f>
        <v>-116.37287195260953</v>
      </c>
      <c r="I21" s="31">
        <f>IF('08-أغسطس'!B35="","",'08-أغسطس'!B35)</f>
        <v>102.35687400319043</v>
      </c>
      <c r="J21" s="31">
        <f>IF('09-سبتمبر'!B35="","",'09-سبتمبر'!B35)</f>
        <v>-609.94439393939763</v>
      </c>
      <c r="K21" s="31" t="str">
        <f>IF('10-أكتوبر'!B35="","",'10-أكتوبر'!B35)</f>
        <v/>
      </c>
      <c r="L21" s="31" t="str">
        <f>IF('11-نوفمبر'!B35="","",'11-نوفمبر'!B35)</f>
        <v/>
      </c>
      <c r="M21" s="31" t="str">
        <f>IF('12-ديسمبر'!B35="","",'12-ديسمبر'!B35)</f>
        <v/>
      </c>
      <c r="N21" s="46">
        <f>SUM(B21:M21)</f>
        <v>-623.96039188881673</v>
      </c>
    </row>
    <row r="22" spans="1:14" x14ac:dyDescent="0.25">
      <c r="A22" s="35" t="s">
        <v>136</v>
      </c>
      <c r="B22" s="37" t="str">
        <f>IF('01-يناير'!B36="","",'01-يناير'!B36)</f>
        <v/>
      </c>
      <c r="C22" s="37" t="str">
        <f>IF('02-فبراير'!B36="","",'02-فبراير'!B36)</f>
        <v/>
      </c>
      <c r="D22" s="37" t="str">
        <f>IF('03-مارس'!B36="","",'03-مارس'!B36)</f>
        <v/>
      </c>
      <c r="E22" s="37" t="str">
        <f>IF('04-أبريل'!B36="","",'04-أبريل'!B36)</f>
        <v/>
      </c>
      <c r="F22" s="37" t="str">
        <f>IF('05-مايو'!B36="","",'05-مايو'!B36)</f>
        <v/>
      </c>
      <c r="G22" s="37" t="str">
        <f>IF('06-يونيو'!B36="","",'06-يونيو'!B36)</f>
        <v/>
      </c>
      <c r="H22" s="37">
        <f>IF('07-يوليو'!B36="","",'07-يوليو'!B36)</f>
        <v>5346.0414137616808</v>
      </c>
      <c r="I22" s="37">
        <f>IF('08-أغسطس'!B36="","",'08-أغسطس'!B36)</f>
        <v>8342.3119740032598</v>
      </c>
      <c r="J22" s="37">
        <f>IF('09-سبتمبر'!B36="","",'09-سبتمبر'!B36)</f>
        <v>1099.2804335967649</v>
      </c>
      <c r="K22" s="37" t="str">
        <f>IF('10-أكتوبر'!B36="","",'10-أكتوبر'!B36)</f>
        <v/>
      </c>
      <c r="L22" s="37" t="str">
        <f>IF('11-نوفمبر'!B36="","",'11-نوفمبر'!B36)</f>
        <v/>
      </c>
      <c r="M22" s="37" t="str">
        <f>IF('12-ديسمبر'!B36="","",'12-ديسمبر'!B36)</f>
        <v/>
      </c>
      <c r="N22" s="37">
        <f>SUM(B22:M22)</f>
        <v>14787.633821361705</v>
      </c>
    </row>
    <row r="23" spans="1:14" ht="19.5" customHeight="1" x14ac:dyDescent="0.25">
      <c r="A23" s="12" t="s">
        <v>137</v>
      </c>
      <c r="B23" s="12"/>
      <c r="C23" s="12"/>
      <c r="D23" s="12"/>
      <c r="E23" s="12"/>
      <c r="F23" s="12"/>
      <c r="G23" s="12"/>
      <c r="H23" s="12"/>
      <c r="I23" s="12"/>
      <c r="J23" s="12"/>
      <c r="K23" s="12"/>
      <c r="L23" s="12"/>
      <c r="M23" s="12"/>
      <c r="N23" s="12"/>
    </row>
    <row r="24" spans="1:14" x14ac:dyDescent="0.25">
      <c r="A24" s="33" t="s">
        <v>138</v>
      </c>
      <c r="B24" s="31" t="str">
        <f>IF('01-يناير'!C22="","",'01-يناير'!C22)</f>
        <v/>
      </c>
      <c r="C24" s="31" t="str">
        <f>IF('02-فبراير'!C22="","",'02-فبراير'!C22)</f>
        <v/>
      </c>
      <c r="D24" s="31" t="str">
        <f>IF('03-مارس'!C22="","",'03-مارس'!C22)</f>
        <v/>
      </c>
      <c r="E24" s="31" t="str">
        <f>IF('04-أبريل'!C22="","",'04-أبريل'!C22)</f>
        <v/>
      </c>
      <c r="F24" s="31" t="str">
        <f>IF('05-مايو'!C22="","",'05-مايو'!C22)</f>
        <v/>
      </c>
      <c r="G24" s="31">
        <f>IF('06-يونيو'!C22="","",'06-يونيو'!C22)</f>
        <v>44737.391969696968</v>
      </c>
      <c r="H24" s="31">
        <f>IF('07-يوليو'!C22="","",'07-يوليو'!C22)</f>
        <v>48491.027368421055</v>
      </c>
      <c r="I24" s="31">
        <f>IF('08-أغسطس'!C22="","",'08-أغسطس'!C22)</f>
        <v>47944.021160606135</v>
      </c>
      <c r="J24" s="31">
        <f>IF('09-سبتمبر'!C22="","",'09-سبتمبر'!C22)</f>
        <v>44900.765362318845</v>
      </c>
      <c r="K24" s="31" t="str">
        <f>IF('10-أكتوبر'!C22="","",'10-أكتوبر'!C22)</f>
        <v/>
      </c>
      <c r="L24" s="31" t="str">
        <f>IF('11-نوفمبر'!C22="","",'11-نوفمبر'!C22)</f>
        <v/>
      </c>
      <c r="M24" s="31" t="str">
        <f>IF('12-ديسمبر'!C22="","",'12-ديسمبر'!C22)</f>
        <v/>
      </c>
      <c r="N24" s="43"/>
    </row>
    <row r="25" spans="1:14" x14ac:dyDescent="0.25">
      <c r="A25" s="33" t="s">
        <v>105</v>
      </c>
      <c r="B25" s="38" t="str">
        <f>IF('01-يناير'!B44="","",'01-يناير'!B44)</f>
        <v/>
      </c>
      <c r="C25" s="38" t="str">
        <f>IF('02-فبراير'!B44="","",'02-فبراير'!B44)</f>
        <v/>
      </c>
      <c r="D25" s="38" t="str">
        <f>IF('03-مارس'!B44="","",'03-مارس'!B44)</f>
        <v/>
      </c>
      <c r="E25" s="38" t="str">
        <f>IF('04-أبريل'!B44="","",'04-أبريل'!B44)</f>
        <v/>
      </c>
      <c r="F25" s="38" t="str">
        <f>IF('05-مايو'!B44="","",'05-مايو'!B44)</f>
        <v/>
      </c>
      <c r="G25" s="38">
        <f>IF('06-يونيو'!B44="","",'06-يونيو'!B44)</f>
        <v>0.34596545056047906</v>
      </c>
      <c r="H25" s="38">
        <f>IF('07-يوليو'!B44="","",'07-يوليو'!B44)</f>
        <v>0.27863108087538541</v>
      </c>
      <c r="I25" s="38">
        <f>IF('08-أغسطس'!B44="","",'08-أغسطس'!B44)</f>
        <v>0.29260626707993009</v>
      </c>
      <c r="J25" s="38">
        <f>IF('09-سبتمبر'!B44="","",'09-سبتمبر'!B44)</f>
        <v>0.22621563976374684</v>
      </c>
      <c r="K25" s="38" t="str">
        <f>IF('10-أكتوبر'!B44="","",'10-أكتوبر'!B44)</f>
        <v/>
      </c>
      <c r="L25" s="38" t="str">
        <f>IF('11-نوفمبر'!B44="","",'11-نوفمبر'!B44)</f>
        <v/>
      </c>
      <c r="M25" s="38" t="str">
        <f>IF('12-ديسمبر'!B44="","",'12-ديسمبر'!B44)</f>
        <v/>
      </c>
      <c r="N25" s="43"/>
    </row>
    <row r="26" spans="1:14" x14ac:dyDescent="0.25">
      <c r="A26" s="33" t="s">
        <v>139</v>
      </c>
      <c r="B26" s="31">
        <f>IF('01-يناير'!D13="","",'01-يناير'!D13)</f>
        <v>86.956521739130437</v>
      </c>
      <c r="C26" s="31">
        <f>IF('02-فبراير'!D13="","",'02-فبراير'!D13)</f>
        <v>532.41666666666663</v>
      </c>
      <c r="D26" s="31">
        <f>IF('03-مارس'!D13="","",'03-مارس'!D13)</f>
        <v>410.33333333333337</v>
      </c>
      <c r="E26" s="31">
        <f>IF('04-أبريل'!D13="","",'04-أبريل'!D13)</f>
        <v>409.88</v>
      </c>
      <c r="F26" s="31">
        <f>IF('05-مايو'!D13="","",'05-مايو'!D13)</f>
        <v>170</v>
      </c>
      <c r="G26" s="31">
        <f>IF('06-يونيو'!D13="","",'06-يونيو'!D13)</f>
        <v>730.24242424242425</v>
      </c>
      <c r="H26" s="31">
        <f>IF('07-يوليو'!D13="","",'07-يوليو'!D13)</f>
        <v>652.33082706766913</v>
      </c>
      <c r="I26" s="31">
        <f>IF('08-أغسطس'!D13="","",'08-أغسطس'!D13)</f>
        <v>2387.2727272727275</v>
      </c>
      <c r="J26" s="31">
        <f>IF('09-سبتمبر'!D13="","",'09-سبتمبر'!D13)</f>
        <v>41.956521739130437</v>
      </c>
      <c r="K26" s="31" t="str">
        <f>IF('10-أكتوبر'!D13="","",'10-أكتوبر'!D13)</f>
        <v/>
      </c>
      <c r="L26" s="31" t="str">
        <f>IF('11-نوفمبر'!D13="","",'11-نوفمبر'!D13)</f>
        <v/>
      </c>
      <c r="M26" s="31" t="str">
        <f>IF('12-ديسمبر'!D13="","",'12-ديسمبر'!D13)</f>
        <v/>
      </c>
      <c r="N26" s="43"/>
    </row>
    <row r="27" spans="1:14" x14ac:dyDescent="0.25">
      <c r="A27" s="33" t="s">
        <v>140</v>
      </c>
      <c r="B27" s="31">
        <f>IF('01-يناير'!D16="","",'01-يناير'!D16)</f>
        <v>-2658.8695652173901</v>
      </c>
      <c r="C27" s="31">
        <f>IF('02-فبراير'!D16="","",'02-فبراير'!D16)</f>
        <v>-3351.5000000000018</v>
      </c>
      <c r="D27" s="31">
        <f>IF('03-مارس'!D16="","",'03-مارس'!D16)</f>
        <v>-2520.75</v>
      </c>
      <c r="E27" s="31">
        <f>IF('04-أبريل'!D16="","",'04-أبريل'!D16)</f>
        <v>1073</v>
      </c>
      <c r="F27" s="31">
        <f>IF('05-مايو'!D16="","",'05-مايو'!D16)</f>
        <v>2765.6400000000012</v>
      </c>
      <c r="G27" s="31">
        <f>IF('06-يونيو'!D16="","",'06-يونيو'!D16)</f>
        <v>8379.3484848484859</v>
      </c>
      <c r="H27" s="31">
        <f>IF('07-يوليو'!D16="","",'07-يوليو'!D16)</f>
        <v>5819.5714285714294</v>
      </c>
      <c r="I27" s="31">
        <f>IF('08-أغسطس'!D16="","",'08-أغسطس'!D16)</f>
        <v>19571.848484848488</v>
      </c>
      <c r="J27" s="31">
        <f>IF('09-سبتمبر'!D16="","",'09-سبتمبر'!D16)</f>
        <v>-42496.246376811592</v>
      </c>
      <c r="K27" s="31" t="str">
        <f>IF('10-أكتوبر'!D16="","",'10-أكتوبر'!D16)</f>
        <v/>
      </c>
      <c r="L27" s="31" t="str">
        <f>IF('11-نوفمبر'!D16="","",'11-نوفمبر'!D16)</f>
        <v/>
      </c>
      <c r="M27" s="31" t="str">
        <f>IF('12-ديسمبر'!D16="","",'12-ديسمبر'!D16)</f>
        <v/>
      </c>
      <c r="N27" s="43"/>
    </row>
    <row r="28" spans="1:14" x14ac:dyDescent="0.25">
      <c r="A28" s="33" t="s">
        <v>141</v>
      </c>
      <c r="B28" s="31">
        <f>IF('01-يناير'!D17="","",'01-يناير'!D17)</f>
        <v>-2571.9130434782596</v>
      </c>
      <c r="C28" s="31">
        <f>IF('02-فبراير'!D17="","",'02-فبراير'!D17)</f>
        <v>-2819.0833333333353</v>
      </c>
      <c r="D28" s="31">
        <f>IF('03-مارس'!D17="","",'03-مارس'!D17)</f>
        <v>-2110.4166666666665</v>
      </c>
      <c r="E28" s="31">
        <f>IF('04-أبريل'!D17="","",'04-أبريل'!D17)</f>
        <v>1482.88</v>
      </c>
      <c r="F28" s="31">
        <f>IF('05-مايو'!D17="","",'05-مايو'!D17)</f>
        <v>2935.6400000000012</v>
      </c>
      <c r="G28" s="31">
        <f>IF('06-يونيو'!D17="","",'06-يونيو'!D17)</f>
        <v>9109.5909090909099</v>
      </c>
      <c r="H28" s="31">
        <f>IF('07-يوليو'!D17="","",'07-يوليو'!D17)</f>
        <v>6471.9022556390983</v>
      </c>
      <c r="I28" s="31">
        <f>IF('08-أغسطس'!D17="","",'08-أغسطس'!D17)</f>
        <v>21959.121212121216</v>
      </c>
      <c r="J28" s="31">
        <f>IF('09-سبتمبر'!D17="","",'09-سبتمبر'!D17)</f>
        <v>-42454.289855072464</v>
      </c>
      <c r="K28" s="31" t="str">
        <f>IF('10-أكتوبر'!D17="","",'10-أكتوبر'!D17)</f>
        <v/>
      </c>
      <c r="L28" s="31" t="str">
        <f>IF('11-نوفمبر'!D17="","",'11-نوفمبر'!D17)</f>
        <v/>
      </c>
      <c r="M28" s="31" t="str">
        <f>IF('12-ديسمبر'!D17="","",'12-ديسمبر'!D17)</f>
        <v/>
      </c>
      <c r="N28" s="43"/>
    </row>
    <row r="29" spans="1:14" ht="19.5" customHeight="1" x14ac:dyDescent="0.25">
      <c r="A29" s="12" t="s">
        <v>142</v>
      </c>
      <c r="B29" s="12"/>
      <c r="C29" s="12"/>
      <c r="D29" s="12"/>
      <c r="E29" s="12"/>
      <c r="F29" s="12"/>
      <c r="G29" s="12"/>
      <c r="H29" s="12"/>
      <c r="I29" s="12"/>
      <c r="J29" s="12"/>
      <c r="K29" s="12"/>
      <c r="L29" s="12"/>
      <c r="M29" s="12"/>
      <c r="N29" s="12"/>
    </row>
    <row r="30" spans="1:14" x14ac:dyDescent="0.25">
      <c r="A30" s="33" t="s">
        <v>143</v>
      </c>
      <c r="B30" s="38" t="str">
        <f>IF('01-يناير'!E26="","",'01-يناير'!E26)</f>
        <v/>
      </c>
      <c r="C30" s="38">
        <f>IF('02-فبراير'!E26="","",'02-فبراير'!E26)</f>
        <v>-0.29201176922343869</v>
      </c>
      <c r="D30" s="38">
        <f>IF('03-مارس'!E26="","",'03-مارس'!E26)</f>
        <v>0.20013885885339006</v>
      </c>
      <c r="E30" s="38">
        <f>IF('04-أبريل'!E26="","",'04-أبريل'!E26)</f>
        <v>0.51762905076676513</v>
      </c>
      <c r="F30" s="38">
        <f>IF('05-مايو'!E26="","",'05-مايو'!E26)</f>
        <v>-2.0139059697284294E-2</v>
      </c>
      <c r="G30" s="38">
        <f>IF('06-يونيو'!E26="","",'06-يونيو'!E26)</f>
        <v>0.14461499415030221</v>
      </c>
      <c r="H30" s="38">
        <f>IF('07-يوليو'!E26="","",'07-يوليو'!E26)</f>
        <v>-3.9602105190035666E-2</v>
      </c>
      <c r="I30" s="38">
        <f>IF('08-أغسطس'!E26="","",'08-أغسطس'!E26)</f>
        <v>0.20000678892440915</v>
      </c>
      <c r="J30" s="38">
        <f>IF('09-سبتمبر'!E26="","",'09-سبتمبر'!E26)</f>
        <v>-0.27991394847915513</v>
      </c>
      <c r="K30" s="38" t="str">
        <f>IF('10-أكتوبر'!E26="","",'10-أكتوبر'!E26)</f>
        <v/>
      </c>
      <c r="L30" s="38" t="str">
        <f>IF('11-نوفمبر'!E26="","",'11-نوفمبر'!E26)</f>
        <v/>
      </c>
      <c r="M30" s="38" t="str">
        <f>IF('12-ديسمبر'!E26="","",'12-ديسمبر'!E26)</f>
        <v/>
      </c>
      <c r="N30" s="43"/>
    </row>
    <row r="31" spans="1:14" x14ac:dyDescent="0.25">
      <c r="A31" s="33" t="s">
        <v>144</v>
      </c>
      <c r="B31" s="38" t="str">
        <f>IF('01-يناير'!E33="","",'01-يناير'!E33)</f>
        <v/>
      </c>
      <c r="C31" s="38" t="str">
        <f>IF('02-فبراير'!E33="","",'02-فبراير'!E33)</f>
        <v/>
      </c>
      <c r="D31" s="38" t="str">
        <f>IF('03-مارس'!E33="","",'03-مارس'!E33)</f>
        <v/>
      </c>
      <c r="E31" s="38" t="str">
        <f>IF('04-أبريل'!E33="","",'04-أبريل'!E33)</f>
        <v/>
      </c>
      <c r="F31" s="38" t="str">
        <f>IF('05-مايو'!E33="","",'05-مايو'!E33)</f>
        <v/>
      </c>
      <c r="G31" s="38" t="str">
        <f>IF('06-يونيو'!E33="","",'06-يونيو'!E33)</f>
        <v/>
      </c>
      <c r="H31" s="38" t="str">
        <f>IF('07-يوليو'!E33="","",'07-يوليو'!E33)</f>
        <v/>
      </c>
      <c r="I31" s="38">
        <f>IF('08-أغسطس'!E33="","",'08-أغسطس'!E33)</f>
        <v>0.50848226974468225</v>
      </c>
      <c r="J31" s="38">
        <f>IF('09-سبتمبر'!E33="","",'09-سبتمبر'!E33)</f>
        <v>-0.79256867218413019</v>
      </c>
      <c r="K31" s="38" t="str">
        <f>IF('10-أكتوبر'!E33="","",'10-أكتوبر'!E33)</f>
        <v/>
      </c>
      <c r="L31" s="38" t="str">
        <f>IF('11-نوفمبر'!E33="","",'11-نوفمبر'!E33)</f>
        <v/>
      </c>
      <c r="M31" s="38" t="str">
        <f>IF('12-ديسمبر'!E33="","",'12-ديسمبر'!E33)</f>
        <v/>
      </c>
      <c r="N31" s="43"/>
    </row>
    <row r="32" spans="1:14" x14ac:dyDescent="0.25">
      <c r="A32" s="33" t="s">
        <v>145</v>
      </c>
      <c r="B32" s="38" t="str">
        <f>IF('01-يناير'!E32="","",'01-يناير'!E32)</f>
        <v/>
      </c>
      <c r="C32" s="38">
        <f>IF('02-فبراير'!E32="","",'02-فبراير'!E32)</f>
        <v>-8.6683114035087758E-2</v>
      </c>
      <c r="D32" s="38">
        <f>IF('03-مارس'!E32="","",'03-مارس'!E32)</f>
        <v>2.7281513185144327E-2</v>
      </c>
      <c r="E32" s="38">
        <f>IF('04-أبريل'!E32="","",'04-أبريل'!E32)</f>
        <v>-9.8604951213612339E-3</v>
      </c>
      <c r="F32" s="38">
        <f>IF('05-مايو'!E32="","",'05-مايو'!E32)</f>
        <v>-0.3224049412316593</v>
      </c>
      <c r="G32" s="38">
        <f>IF('06-يونيو'!E32="","",'06-يونيو'!E32)</f>
        <v>0.17974213286713292</v>
      </c>
      <c r="H32" s="38">
        <f>IF('07-يوليو'!E32="","",'07-يوليو'!E32)</f>
        <v>-0.10559950863543964</v>
      </c>
      <c r="I32" s="38">
        <f>IF('08-أغسطس'!E32="","",'08-أغسطس'!E32)</f>
        <v>0.11171608168011039</v>
      </c>
      <c r="J32" s="38">
        <f>IF('09-سبتمبر'!E32="","",'09-سبتمبر'!E32)</f>
        <v>0.30165599970840784</v>
      </c>
      <c r="K32" s="38" t="str">
        <f>IF('10-أكتوبر'!E32="","",'10-أكتوبر'!E32)</f>
        <v/>
      </c>
      <c r="L32" s="38" t="str">
        <f>IF('11-نوفمبر'!E32="","",'11-نوفمبر'!E32)</f>
        <v/>
      </c>
      <c r="M32" s="38" t="str">
        <f>IF('12-ديسمبر'!E32="","",'12-ديسمبر'!E32)</f>
        <v/>
      </c>
      <c r="N32" s="43"/>
    </row>
    <row r="33" spans="1:14" x14ac:dyDescent="0.25">
      <c r="A33" s="33" t="s">
        <v>146</v>
      </c>
      <c r="B33" s="38"/>
      <c r="C33" s="38" t="str">
        <f t="shared" ref="C33:M33" si="0">IF(AND(ISNUMBER(C24),ISNUMBER(B24)),IF(B24&lt;&gt;0,C24/B24-1,""),"")</f>
        <v/>
      </c>
      <c r="D33" s="38" t="str">
        <f t="shared" si="0"/>
        <v/>
      </c>
      <c r="E33" s="38" t="str">
        <f t="shared" si="0"/>
        <v/>
      </c>
      <c r="F33" s="38" t="str">
        <f t="shared" si="0"/>
        <v/>
      </c>
      <c r="G33" s="38" t="str">
        <f t="shared" si="0"/>
        <v/>
      </c>
      <c r="H33" s="38">
        <f t="shared" si="0"/>
        <v>8.3903759997154603E-2</v>
      </c>
      <c r="I33" s="38">
        <f t="shared" si="0"/>
        <v>-1.1280565446859292E-2</v>
      </c>
      <c r="J33" s="38">
        <f t="shared" si="0"/>
        <v>-6.3475188868551191E-2</v>
      </c>
      <c r="K33" s="38" t="str">
        <f t="shared" si="0"/>
        <v/>
      </c>
      <c r="L33" s="38" t="str">
        <f t="shared" si="0"/>
        <v/>
      </c>
      <c r="M33" s="38" t="str">
        <f t="shared" si="0"/>
        <v/>
      </c>
      <c r="N33" s="43"/>
    </row>
    <row r="34" spans="1:14" x14ac:dyDescent="0.25">
      <c r="A34" s="33" t="s">
        <v>102</v>
      </c>
      <c r="B34" s="38">
        <f>IF('01-يناير'!B41="","",'01-يناير'!B41)</f>
        <v>0.31952642819904814</v>
      </c>
      <c r="C34" s="38">
        <f>IF('02-فبراير'!B41="","",'02-فبراير'!B41)</f>
        <v>0.41219453897722486</v>
      </c>
      <c r="D34" s="38">
        <f>IF('03-مارس'!B41="","",'03-مارس'!B41)</f>
        <v>0.35282569729616953</v>
      </c>
      <c r="E34" s="38">
        <f>IF('04-أبريل'!B41="","",'04-أبريل'!B41)</f>
        <v>0.230192391910781</v>
      </c>
      <c r="F34" s="38">
        <f>IF('05-مايو'!B41="","",'05-مايو'!B41)</f>
        <v>0.15918302374276025</v>
      </c>
      <c r="G34" s="38">
        <f>IF('06-يونيو'!B41="","",'06-يونيو'!B41)</f>
        <v>0.16406819839533188</v>
      </c>
      <c r="H34" s="38">
        <f>IF('07-يوليو'!B41="","",'07-يوليو'!B41)</f>
        <v>0.15279362653238557</v>
      </c>
      <c r="I34" s="38">
        <f>IF('08-أغسطس'!B41="","",'08-أغسطس'!B41)</f>
        <v>0.14155180900812209</v>
      </c>
      <c r="J34" s="38">
        <f>IF('09-سبتمبر'!B41="","",'09-سبتمبر'!B41)</f>
        <v>0.2558746431427954</v>
      </c>
      <c r="K34" s="38" t="str">
        <f>IF('10-أكتوبر'!B41="","",'10-أكتوبر'!B41)</f>
        <v/>
      </c>
      <c r="L34" s="38" t="str">
        <f>IF('11-نوفمبر'!B41="","",'11-نوفمبر'!B41)</f>
        <v/>
      </c>
      <c r="M34" s="38" t="str">
        <f>IF('12-ديسمبر'!B41="","",'12-ديسمبر'!B41)</f>
        <v/>
      </c>
      <c r="N34" s="47">
        <f>IF(N11&gt;0,N13/N11,"")</f>
        <v>0.22211011755764087</v>
      </c>
    </row>
    <row r="35" spans="1:14" x14ac:dyDescent="0.25">
      <c r="A35" s="33" t="s">
        <v>103</v>
      </c>
      <c r="B35" s="38" t="str">
        <f>IF('01-يناير'!B42="","",'01-يناير'!B42)</f>
        <v/>
      </c>
      <c r="C35" s="38" t="str">
        <f>IF('02-فبراير'!B42="","",'02-فبراير'!B42)</f>
        <v/>
      </c>
      <c r="D35" s="38" t="str">
        <f>IF('03-مارس'!B42="","",'03-مارس'!B42)</f>
        <v/>
      </c>
      <c r="E35" s="38" t="str">
        <f>IF('04-أبريل'!B42="","",'04-أبريل'!B42)</f>
        <v/>
      </c>
      <c r="F35" s="38" t="str">
        <f>IF('05-مايو'!B42="","",'05-مايو'!B42)</f>
        <v/>
      </c>
      <c r="G35" s="38" t="str">
        <f>IF('06-يونيو'!B42="","",'06-يونيو'!B42)</f>
        <v/>
      </c>
      <c r="H35" s="38">
        <f>IF('07-يوليو'!B42="","",'07-يوليو'!B42)</f>
        <v>0.46692292794254631</v>
      </c>
      <c r="I35" s="38">
        <f>IF('08-أغسطس'!B42="","",'08-أغسطس'!B42)</f>
        <v>0.3804085329278114</v>
      </c>
      <c r="J35" s="38">
        <f>IF('09-سبتمبر'!B42="","",'09-سبتمبر'!B42)</f>
        <v>0.60641903577037926</v>
      </c>
      <c r="K35" s="38" t="str">
        <f>IF('10-أكتوبر'!B42="","",'10-أكتوبر'!B42)</f>
        <v/>
      </c>
      <c r="L35" s="38" t="str">
        <f>IF('11-نوفمبر'!B42="","",'11-نوفمبر'!B42)</f>
        <v/>
      </c>
      <c r="M35" s="38" t="str">
        <f>IF('12-ديسمبر'!B42="","",'12-ديسمبر'!B42)</f>
        <v/>
      </c>
      <c r="N35" s="43"/>
    </row>
    <row r="36" spans="1:14" ht="19.5" customHeight="1" x14ac:dyDescent="0.25">
      <c r="A36" s="12" t="s">
        <v>147</v>
      </c>
      <c r="B36" s="12"/>
      <c r="C36" s="12"/>
      <c r="D36" s="12"/>
      <c r="E36" s="12"/>
      <c r="F36" s="12"/>
      <c r="G36" s="12"/>
      <c r="H36" s="12"/>
      <c r="I36" s="12"/>
      <c r="J36" s="12"/>
      <c r="K36" s="12"/>
      <c r="L36" s="12"/>
      <c r="M36" s="12"/>
      <c r="N36" s="12"/>
    </row>
    <row r="37" spans="1:14" ht="48" customHeight="1" x14ac:dyDescent="0.25">
      <c r="A37" s="33" t="s">
        <v>12</v>
      </c>
      <c r="B37" s="48" t="str">
        <f>IF('01-يناير'!H6="","",'01-يناير'!H6)</f>
        <v>ℹ ربح تقديري فقط</v>
      </c>
      <c r="C37" s="48" t="str">
        <f>IF('02-فبراير'!H6="","",'02-فبراير'!H6)</f>
        <v>ℹ ربح تقديري فقط</v>
      </c>
      <c r="D37" s="48" t="str">
        <f>IF('03-مارس'!H6="","",'03-مارس'!H6)</f>
        <v>ℹ ربح تقديري فقط</v>
      </c>
      <c r="E37" s="48" t="str">
        <f>IF('04-أبريل'!H6="","",'04-أبريل'!H6)</f>
        <v>ℹ ربح تقديري فقط</v>
      </c>
      <c r="F37" s="48" t="str">
        <f>IF('05-مايو'!H6="","",'05-مايو'!H6)</f>
        <v>ℹ ربح تقديري فقط</v>
      </c>
      <c r="G37" s="48" t="str">
        <f>IF('06-يونيو'!H6="","",'06-يونيو'!H6)</f>
        <v>ℹ ربح تقديري فقط</v>
      </c>
      <c r="H37" s="48" t="str">
        <f>IF('07-يوليو'!H6="","",'07-يوليو'!H6)</f>
        <v>✅ جاهز — ربح حقيقي</v>
      </c>
      <c r="I37" s="48" t="str">
        <f>IF('08-أغسطس'!H6="","",'08-أغسطس'!H6)</f>
        <v>✅ جاهز — ربح حقيقي</v>
      </c>
      <c r="J37" s="48" t="str">
        <f>IF('09-سبتمبر'!H6="","",'09-سبتمبر'!H6)</f>
        <v>✅ جاهز — ربح حقيقي</v>
      </c>
      <c r="K37" s="48" t="str">
        <f>IF('10-أكتوبر'!H6="","",'10-أكتوبر'!H6)</f>
        <v>لا بيانات</v>
      </c>
      <c r="L37" s="48" t="str">
        <f>IF('11-نوفمبر'!H6="","",'11-نوفمبر'!H6)</f>
        <v>لا بيانات</v>
      </c>
      <c r="M37" s="48" t="str">
        <f>IF('12-ديسمبر'!H6="","",'12-ديسمبر'!H6)</f>
        <v>لا بيانات</v>
      </c>
      <c r="N37" s="43"/>
    </row>
    <row r="38" spans="1:14" x14ac:dyDescent="0.25">
      <c r="A38" s="33" t="s">
        <v>148</v>
      </c>
      <c r="B38" s="49">
        <f>'01-يناير'!H13</f>
        <v>0</v>
      </c>
      <c r="C38" s="49">
        <f>'02-فبراير'!H13</f>
        <v>0</v>
      </c>
      <c r="D38" s="49">
        <f>'03-مارس'!H13</f>
        <v>0</v>
      </c>
      <c r="E38" s="49">
        <f>'04-أبريل'!H13</f>
        <v>0</v>
      </c>
      <c r="F38" s="49">
        <f>'05-مايو'!H13</f>
        <v>0</v>
      </c>
      <c r="G38" s="49">
        <f>'06-يونيو'!H13</f>
        <v>0</v>
      </c>
      <c r="H38" s="49">
        <f>'07-يوليو'!H13</f>
        <v>0</v>
      </c>
      <c r="I38" s="49">
        <f>'08-أغسطس'!H13</f>
        <v>0</v>
      </c>
      <c r="J38" s="49">
        <f>'09-سبتمبر'!H13</f>
        <v>0</v>
      </c>
      <c r="K38" s="49">
        <f>'10-أكتوبر'!H13</f>
        <v>0</v>
      </c>
      <c r="L38" s="49">
        <f>'11-نوفمبر'!H13</f>
        <v>0</v>
      </c>
      <c r="M38" s="49">
        <f>'12-ديسمبر'!H13</f>
        <v>0</v>
      </c>
      <c r="N38" s="43"/>
    </row>
    <row r="39" spans="1:14" x14ac:dyDescent="0.25">
      <c r="A39" s="19" t="s">
        <v>149</v>
      </c>
      <c r="B39" s="50" t="str">
        <f t="shared" ref="B39:M39" si="1">IF(ISNUMBER(B19),B11,"")</f>
        <v/>
      </c>
      <c r="C39" s="50" t="str">
        <f t="shared" si="1"/>
        <v/>
      </c>
      <c r="D39" s="50" t="str">
        <f t="shared" si="1"/>
        <v/>
      </c>
      <c r="E39" s="50" t="str">
        <f t="shared" si="1"/>
        <v/>
      </c>
      <c r="F39" s="50" t="str">
        <f t="shared" si="1"/>
        <v/>
      </c>
      <c r="G39" s="50" t="str">
        <f t="shared" si="1"/>
        <v/>
      </c>
      <c r="H39" s="50">
        <f t="shared" si="1"/>
        <v>14364.060150375939</v>
      </c>
      <c r="I39" s="50">
        <f t="shared" si="1"/>
        <v>17236.969696969696</v>
      </c>
      <c r="J39" s="50">
        <f t="shared" si="1"/>
        <v>12412.101449275362</v>
      </c>
      <c r="K39" s="50" t="str">
        <f t="shared" si="1"/>
        <v/>
      </c>
      <c r="L39" s="50" t="str">
        <f t="shared" si="1"/>
        <v/>
      </c>
      <c r="M39" s="50" t="str">
        <f t="shared" si="1"/>
        <v/>
      </c>
    </row>
    <row r="40" spans="1:14" x14ac:dyDescent="0.25">
      <c r="A40" s="19" t="s">
        <v>150</v>
      </c>
      <c r="B40" s="51">
        <f t="shared" ref="B40:M40" si="2">IF(ISNUMBER(B7),B$4,0)</f>
        <v>1</v>
      </c>
      <c r="C40" s="51">
        <f t="shared" si="2"/>
        <v>2</v>
      </c>
      <c r="D40" s="51">
        <f t="shared" si="2"/>
        <v>3</v>
      </c>
      <c r="E40" s="51">
        <f t="shared" si="2"/>
        <v>4</v>
      </c>
      <c r="F40" s="51">
        <f t="shared" si="2"/>
        <v>5</v>
      </c>
      <c r="G40" s="51">
        <f t="shared" si="2"/>
        <v>6</v>
      </c>
      <c r="H40" s="51">
        <f t="shared" si="2"/>
        <v>7</v>
      </c>
      <c r="I40" s="51">
        <f t="shared" si="2"/>
        <v>8</v>
      </c>
      <c r="J40" s="51">
        <f t="shared" si="2"/>
        <v>9</v>
      </c>
      <c r="K40" s="51">
        <f t="shared" si="2"/>
        <v>0</v>
      </c>
      <c r="L40" s="51">
        <f t="shared" si="2"/>
        <v>0</v>
      </c>
      <c r="M40" s="51">
        <f t="shared" si="2"/>
        <v>0</v>
      </c>
    </row>
    <row r="42" spans="1:14" ht="19.5" customHeight="1" x14ac:dyDescent="0.25">
      <c r="A42" s="12" t="s">
        <v>151</v>
      </c>
      <c r="B42" s="12"/>
      <c r="C42" s="12"/>
      <c r="D42" s="12"/>
      <c r="E42" s="12"/>
      <c r="F42" s="12"/>
      <c r="G42" s="12"/>
      <c r="H42" s="12"/>
      <c r="I42" s="12"/>
      <c r="J42" s="12"/>
      <c r="K42" s="12"/>
      <c r="L42" s="12"/>
      <c r="M42" s="12"/>
      <c r="N42" s="12"/>
    </row>
    <row r="43" spans="1:14" ht="15" customHeight="1" x14ac:dyDescent="0.25">
      <c r="A43" s="17" t="s">
        <v>152</v>
      </c>
      <c r="B43" s="53" t="str">
        <f>IF(MAX(B40:M40)&gt;1,INDEX($B$5:$M$5,MAX(B40:M40)-1),INDEX($B$5:$M$5,1))</f>
        <v>أغسطس</v>
      </c>
      <c r="C43" s="53"/>
      <c r="D43" s="5" t="s">
        <v>153</v>
      </c>
      <c r="E43" s="5"/>
      <c r="F43" s="53" t="str">
        <f>INDEX($B$5:$M$5,MAX(1,MAX(B40:M40)))</f>
        <v>سبتمبر</v>
      </c>
      <c r="G43" s="53"/>
      <c r="I43" s="19" t="s">
        <v>154</v>
      </c>
      <c r="J43" s="29">
        <f>IFERROR(MATCH($B$43,$B$5:$M$5,0),1)</f>
        <v>8</v>
      </c>
      <c r="K43" s="19" t="s">
        <v>155</v>
      </c>
      <c r="L43" s="29">
        <f>IFERROR(MATCH($F$43,$B$5:$M$5,0),1)</f>
        <v>9</v>
      </c>
    </row>
    <row r="44" spans="1:14" ht="15" customHeight="1" x14ac:dyDescent="0.25">
      <c r="A44" s="21" t="s">
        <v>98</v>
      </c>
      <c r="B44" s="4" t="s">
        <v>152</v>
      </c>
      <c r="C44" s="4"/>
      <c r="D44" s="4" t="s">
        <v>153</v>
      </c>
      <c r="E44" s="4"/>
      <c r="F44" s="4" t="s">
        <v>156</v>
      </c>
      <c r="G44" s="4"/>
      <c r="H44" s="4" t="s">
        <v>157</v>
      </c>
      <c r="I44" s="4"/>
    </row>
    <row r="45" spans="1:14" x14ac:dyDescent="0.25">
      <c r="A45" s="17" t="s">
        <v>14</v>
      </c>
      <c r="B45" s="54">
        <f>INDEX($B$11:$M$11,$J$43)</f>
        <v>17236.969696969696</v>
      </c>
      <c r="C45" s="54"/>
      <c r="D45" s="54">
        <f>INDEX($B$11:$M$11,$L$43)</f>
        <v>12412.101449275362</v>
      </c>
      <c r="E45" s="54"/>
      <c r="F45" s="54">
        <f t="shared" ref="F45:F56" si="3">IF(AND(ISNUMBER(B45),ISNUMBER(D45)),D45-B45,"")</f>
        <v>-4824.8682476943341</v>
      </c>
      <c r="G45" s="54"/>
      <c r="H45" s="55">
        <f>IF(AND(ISNUMBER(B45),ISNUMBER(D45)),IF(B45&lt;&gt;0,(D45-B45)/ABS(B45),""),"")</f>
        <v>-0.27991394847915513</v>
      </c>
      <c r="I45" s="55"/>
    </row>
    <row r="46" spans="1:14" x14ac:dyDescent="0.25">
      <c r="A46" s="17" t="s">
        <v>127</v>
      </c>
      <c r="B46" s="54">
        <f>INDEX($B$12:$M$12,$J$43)</f>
        <v>5907.727272727273</v>
      </c>
      <c r="C46" s="54"/>
      <c r="D46" s="54">
        <f>INDEX($B$12:$M$12,$L$43)</f>
        <v>5093.623188405797</v>
      </c>
      <c r="E46" s="54"/>
      <c r="F46" s="54">
        <f t="shared" si="3"/>
        <v>-814.10408432147597</v>
      </c>
      <c r="G46" s="54"/>
      <c r="H46" s="55">
        <f>IF(AND(ISNUMBER(B46),ISNUMBER(D46)),IF(B46&lt;&gt;0,(D46-B46)/ABS(B46),""),"")</f>
        <v>-0.13780326117621353</v>
      </c>
      <c r="I46" s="55"/>
    </row>
    <row r="47" spans="1:14" x14ac:dyDescent="0.25">
      <c r="A47" s="17" t="s">
        <v>128</v>
      </c>
      <c r="B47" s="54">
        <f>INDEX($B$13:$M$13,$J$43)</f>
        <v>2439.9242424242425</v>
      </c>
      <c r="C47" s="54"/>
      <c r="D47" s="54">
        <f>INDEX($B$13:$M$13,$L$43)</f>
        <v>3175.942028985507</v>
      </c>
      <c r="E47" s="54"/>
      <c r="F47" s="54">
        <f t="shared" si="3"/>
        <v>736.01778656126453</v>
      </c>
      <c r="G47" s="54"/>
      <c r="H47" s="55">
        <f>IF(AND(ISNUMBER(B47),ISNUMBER(D47)),IF(B47&lt;&gt;0,(D47-B47)/ABS(B47),""),"")</f>
        <v>0.30165599970840784</v>
      </c>
      <c r="I47" s="55"/>
    </row>
    <row r="48" spans="1:14" x14ac:dyDescent="0.25">
      <c r="A48" s="17" t="s">
        <v>132</v>
      </c>
      <c r="B48" s="54">
        <f>INDEX($B$17:$M$17,$J$43)</f>
        <v>6557.0903545453839</v>
      </c>
      <c r="C48" s="54"/>
      <c r="D48" s="54">
        <f>INDEX($B$17:$M$17,$L$43)</f>
        <v>7526.9345927536924</v>
      </c>
      <c r="E48" s="54"/>
      <c r="F48" s="54">
        <f t="shared" si="3"/>
        <v>969.84423820830852</v>
      </c>
      <c r="G48" s="54"/>
      <c r="H48" s="55">
        <f>IF(AND(ISNUMBER(B48),ISNUMBER(D48)),IF(B48&lt;&gt;0,(D48-B48)/ABS(B48),""),"")</f>
        <v>0.14790771298980365</v>
      </c>
      <c r="I48" s="55"/>
    </row>
    <row r="49" spans="1:14" x14ac:dyDescent="0.25">
      <c r="A49" s="17" t="s">
        <v>134</v>
      </c>
      <c r="B49" s="54">
        <f>INDEX($B$19:$M$19,$J$43)</f>
        <v>8239.9551000000702</v>
      </c>
      <c r="C49" s="54"/>
      <c r="D49" s="54">
        <f>INDEX($B$19:$M$19,$L$43)</f>
        <v>1709.2248275361626</v>
      </c>
      <c r="E49" s="54"/>
      <c r="F49" s="54">
        <f t="shared" si="3"/>
        <v>-6530.7302724639076</v>
      </c>
      <c r="G49" s="54"/>
      <c r="H49" s="55">
        <f>IF(AND(ISNUMBER(B49),ISNUMBER(D49)),IF(B49&lt;&gt;0,(D49-B49)/ABS(B49),""),"")</f>
        <v>-0.79256867218413019</v>
      </c>
      <c r="I49" s="55"/>
    </row>
    <row r="50" spans="1:14" x14ac:dyDescent="0.25">
      <c r="A50" s="17" t="s">
        <v>93</v>
      </c>
      <c r="B50" s="55">
        <f>INDEX($B$20:$M$20,$J$43)</f>
        <v>0.47803965806406656</v>
      </c>
      <c r="C50" s="55"/>
      <c r="D50" s="55">
        <f>INDEX($B$20:$M$20,$L$43)</f>
        <v>0.13770632108682529</v>
      </c>
      <c r="E50" s="55"/>
      <c r="F50" s="55">
        <f t="shared" si="3"/>
        <v>-0.34033333697724127</v>
      </c>
      <c r="G50" s="55"/>
      <c r="H50" s="55"/>
      <c r="I50" s="55"/>
    </row>
    <row r="51" spans="1:14" x14ac:dyDescent="0.25">
      <c r="A51" s="17" t="s">
        <v>135</v>
      </c>
      <c r="B51" s="54">
        <f>INDEX($B$21:$M$21,$J$43)</f>
        <v>102.35687400319043</v>
      </c>
      <c r="C51" s="54"/>
      <c r="D51" s="54">
        <f>INDEX($B$21:$M$21,$L$43)</f>
        <v>-609.94439393939763</v>
      </c>
      <c r="E51" s="54"/>
      <c r="F51" s="54">
        <f t="shared" si="3"/>
        <v>-712.30126794258808</v>
      </c>
      <c r="G51" s="54"/>
      <c r="H51" s="55">
        <f t="shared" ref="H51:H56" si="4">IF(AND(ISNUMBER(B51),ISNUMBER(D51)),IF(B51&lt;&gt;0,(D51-B51)/ABS(B51),""),"")</f>
        <v>-6.9589978677971924</v>
      </c>
      <c r="I51" s="55"/>
    </row>
    <row r="52" spans="1:14" x14ac:dyDescent="0.25">
      <c r="A52" s="17" t="s">
        <v>136</v>
      </c>
      <c r="B52" s="54">
        <f>INDEX($B$22:$M$22,$J$43)</f>
        <v>8342.3119740032598</v>
      </c>
      <c r="C52" s="54"/>
      <c r="D52" s="54">
        <f>INDEX($B$22:$M$22,$L$43)</f>
        <v>1099.2804335967649</v>
      </c>
      <c r="E52" s="54"/>
      <c r="F52" s="54">
        <f t="shared" si="3"/>
        <v>-7243.031540406495</v>
      </c>
      <c r="G52" s="54"/>
      <c r="H52" s="55">
        <f t="shared" si="4"/>
        <v>-0.86822832363229774</v>
      </c>
      <c r="I52" s="55"/>
    </row>
    <row r="53" spans="1:14" x14ac:dyDescent="0.25">
      <c r="A53" s="17" t="s">
        <v>138</v>
      </c>
      <c r="B53" s="54">
        <f>INDEX($B$24:$M$24,$J$43)</f>
        <v>47944.021160606135</v>
      </c>
      <c r="C53" s="54"/>
      <c r="D53" s="54">
        <f>INDEX($B$24:$M$24,$L$43)</f>
        <v>44900.765362318845</v>
      </c>
      <c r="E53" s="54"/>
      <c r="F53" s="54">
        <f t="shared" si="3"/>
        <v>-3043.2557982872895</v>
      </c>
      <c r="G53" s="54"/>
      <c r="H53" s="55">
        <f t="shared" si="4"/>
        <v>-6.3475188868551191E-2</v>
      </c>
      <c r="I53" s="55"/>
    </row>
    <row r="54" spans="1:14" x14ac:dyDescent="0.25">
      <c r="A54" s="17" t="s">
        <v>139</v>
      </c>
      <c r="B54" s="54">
        <f>INDEX($B$26:$M$26,$J$43)</f>
        <v>2387.2727272727275</v>
      </c>
      <c r="C54" s="54"/>
      <c r="D54" s="54">
        <f>INDEX($B$26:$M$26,$L$43)</f>
        <v>41.956521739130437</v>
      </c>
      <c r="E54" s="54"/>
      <c r="F54" s="54">
        <f t="shared" si="3"/>
        <v>-2345.316205533597</v>
      </c>
      <c r="G54" s="54"/>
      <c r="H54" s="55">
        <f t="shared" si="4"/>
        <v>-0.98242491473227589</v>
      </c>
      <c r="I54" s="55"/>
    </row>
    <row r="55" spans="1:14" x14ac:dyDescent="0.25">
      <c r="A55" s="17" t="s">
        <v>140</v>
      </c>
      <c r="B55" s="54">
        <f>INDEX($B$27:$M$27,$J$43)</f>
        <v>19571.848484848488</v>
      </c>
      <c r="C55" s="54"/>
      <c r="D55" s="54">
        <f>INDEX($B$27:$M$27,$L$43)</f>
        <v>-42496.246376811592</v>
      </c>
      <c r="E55" s="54"/>
      <c r="F55" s="54">
        <f t="shared" si="3"/>
        <v>-62068.09486166008</v>
      </c>
      <c r="G55" s="54"/>
      <c r="H55" s="55">
        <f t="shared" si="4"/>
        <v>-3.1712944696925272</v>
      </c>
      <c r="I55" s="55"/>
    </row>
    <row r="56" spans="1:14" x14ac:dyDescent="0.25">
      <c r="A56" s="17" t="s">
        <v>141</v>
      </c>
      <c r="B56" s="54">
        <f>INDEX($B$28:$M$28,$J$43)</f>
        <v>21959.121212121216</v>
      </c>
      <c r="C56" s="54"/>
      <c r="D56" s="54">
        <f>INDEX($B$28:$M$28,$L$43)</f>
        <v>-42454.289855072464</v>
      </c>
      <c r="E56" s="54"/>
      <c r="F56" s="54">
        <f t="shared" si="3"/>
        <v>-64413.41106719368</v>
      </c>
      <c r="G56" s="54"/>
      <c r="H56" s="55">
        <f t="shared" si="4"/>
        <v>-2.9333328253426698</v>
      </c>
      <c r="I56" s="55"/>
    </row>
    <row r="58" spans="1:14" ht="19.5" customHeight="1" x14ac:dyDescent="0.25">
      <c r="A58" s="12" t="s">
        <v>158</v>
      </c>
      <c r="B58" s="12"/>
      <c r="C58" s="12"/>
      <c r="D58" s="12"/>
      <c r="E58" s="12"/>
      <c r="F58" s="12"/>
      <c r="G58" s="12"/>
      <c r="H58" s="12"/>
      <c r="I58" s="12"/>
      <c r="J58" s="12"/>
      <c r="K58" s="12"/>
      <c r="L58" s="12"/>
      <c r="M58" s="12"/>
      <c r="N58" s="12"/>
    </row>
  </sheetData>
  <mergeCells count="62">
    <mergeCell ref="A58:N58"/>
    <mergeCell ref="B55:C55"/>
    <mergeCell ref="D55:E55"/>
    <mergeCell ref="F55:G55"/>
    <mergeCell ref="H55:I55"/>
    <mergeCell ref="B56:C56"/>
    <mergeCell ref="D56:E56"/>
    <mergeCell ref="F56:G56"/>
    <mergeCell ref="H56:I56"/>
    <mergeCell ref="B53:C53"/>
    <mergeCell ref="D53:E53"/>
    <mergeCell ref="F53:G53"/>
    <mergeCell ref="H53:I53"/>
    <mergeCell ref="B54:C54"/>
    <mergeCell ref="D54:E54"/>
    <mergeCell ref="F54:G54"/>
    <mergeCell ref="H54:I54"/>
    <mergeCell ref="B51:C51"/>
    <mergeCell ref="D51:E51"/>
    <mergeCell ref="F51:G51"/>
    <mergeCell ref="H51:I51"/>
    <mergeCell ref="B52:C52"/>
    <mergeCell ref="D52:E52"/>
    <mergeCell ref="F52:G52"/>
    <mergeCell ref="H52:I52"/>
    <mergeCell ref="B49:C49"/>
    <mergeCell ref="D49:E49"/>
    <mergeCell ref="F49:G49"/>
    <mergeCell ref="H49:I49"/>
    <mergeCell ref="B50:C50"/>
    <mergeCell ref="D50:E50"/>
    <mergeCell ref="F50:G50"/>
    <mergeCell ref="H50:I50"/>
    <mergeCell ref="B47:C47"/>
    <mergeCell ref="D47:E47"/>
    <mergeCell ref="F47:G47"/>
    <mergeCell ref="H47:I47"/>
    <mergeCell ref="B48:C48"/>
    <mergeCell ref="D48:E48"/>
    <mergeCell ref="F48:G48"/>
    <mergeCell ref="H48:I48"/>
    <mergeCell ref="B45:C45"/>
    <mergeCell ref="D45:E45"/>
    <mergeCell ref="F45:G45"/>
    <mergeCell ref="H45:I45"/>
    <mergeCell ref="B46:C46"/>
    <mergeCell ref="D46:E46"/>
    <mergeCell ref="F46:G46"/>
    <mergeCell ref="H46:I46"/>
    <mergeCell ref="A42:N42"/>
    <mergeCell ref="B43:C43"/>
    <mergeCell ref="D43:E43"/>
    <mergeCell ref="F43:G43"/>
    <mergeCell ref="B44:C44"/>
    <mergeCell ref="D44:E44"/>
    <mergeCell ref="F44:G44"/>
    <mergeCell ref="H44:I44"/>
    <mergeCell ref="A1:N1"/>
    <mergeCell ref="A10:N10"/>
    <mergeCell ref="A23:N23"/>
    <mergeCell ref="A29:N29"/>
    <mergeCell ref="A36:N36"/>
  </mergeCells>
  <conditionalFormatting sqref="B37:M37">
    <cfRule type="expression" dxfId="1" priority="2">
      <formula>LEFT(B37,1)="⚠"</formula>
    </cfRule>
    <cfRule type="expression" dxfId="0" priority="3">
      <formula>LEFT(B37,1)="✅"</formula>
    </cfRule>
  </conditionalFormatting>
  <dataValidations count="1">
    <dataValidation type="list" sqref="B43 F43" xr:uid="{00000000-0002-0000-0D00-000000000000}">
      <formula1>"يناير,فبراير,مارس,أبريل,مايو,يونيو,يوليو,أغسطس,سبتمبر,أكتوبر,نوفمبر,ديسمبر"</formula1>
      <formula2>0</formula2>
    </dataValidation>
  </dataValidations>
  <printOptions horizontalCentered="1"/>
  <pageMargins left="0.4" right="0.4" top="0.5" bottom="0.6" header="0.511811023622047" footer="0.5"/>
  <pageSetup paperSize="9" scale="70" orientation="landscape" horizontalDpi="300" verticalDpi="300"/>
  <headerFooter>
    <oddFooter>&amp;C&amp;8 &amp;A  —  صفحة &amp;P من &amp;N</oddFooter>
  </headerFooter>
  <rowBreaks count="1" manualBreakCount="1">
    <brk id="41" max="16383" man="1"/>
  </rowBreak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08080"/>
    <pageSetUpPr fitToPage="1"/>
  </sheetPr>
  <dimension ref="A1:B19"/>
  <sheetViews>
    <sheetView showGridLines="0" rightToLeft="1" topLeftCell="A14" zoomScaleNormal="100" workbookViewId="0">
      <selection sqref="A1:B1"/>
    </sheetView>
  </sheetViews>
  <sheetFormatPr defaultColWidth="8.7109375" defaultRowHeight="15" x14ac:dyDescent="0.25"/>
  <cols>
    <col min="1" max="1" width="3" customWidth="1"/>
    <col min="2" max="2" width="120" customWidth="1"/>
  </cols>
  <sheetData>
    <row r="1" spans="1:2" ht="31.5" customHeight="1" x14ac:dyDescent="0.25">
      <c r="A1" s="14" t="s">
        <v>159</v>
      </c>
      <c r="B1" s="14"/>
    </row>
    <row r="3" spans="1:2" ht="21.75" customHeight="1" x14ac:dyDescent="0.25">
      <c r="B3" s="16" t="s">
        <v>160</v>
      </c>
    </row>
    <row r="4" spans="1:2" ht="18" customHeight="1" x14ac:dyDescent="0.25">
      <c r="B4" s="52" t="s">
        <v>161</v>
      </c>
    </row>
    <row r="5" spans="1:2" ht="18" customHeight="1" x14ac:dyDescent="0.25">
      <c r="B5" s="52" t="s">
        <v>162</v>
      </c>
    </row>
    <row r="6" spans="1:2" ht="18" customHeight="1" x14ac:dyDescent="0.25">
      <c r="B6" s="52" t="s">
        <v>163</v>
      </c>
    </row>
    <row r="7" spans="1:2" ht="18" customHeight="1" x14ac:dyDescent="0.25">
      <c r="B7" s="52" t="s">
        <v>164</v>
      </c>
    </row>
    <row r="8" spans="1:2" ht="31.5" customHeight="1" x14ac:dyDescent="0.25">
      <c r="B8" s="52" t="s">
        <v>165</v>
      </c>
    </row>
    <row r="9" spans="1:2" ht="18" customHeight="1" x14ac:dyDescent="0.25">
      <c r="B9" s="52" t="s">
        <v>166</v>
      </c>
    </row>
    <row r="10" spans="1:2" ht="21.75" customHeight="1" x14ac:dyDescent="0.25">
      <c r="B10" s="16" t="s">
        <v>167</v>
      </c>
    </row>
    <row r="11" spans="1:2" ht="18" customHeight="1" x14ac:dyDescent="0.25">
      <c r="B11" s="52" t="s">
        <v>168</v>
      </c>
    </row>
    <row r="12" spans="1:2" ht="18" customHeight="1" x14ac:dyDescent="0.25">
      <c r="B12" s="52" t="s">
        <v>169</v>
      </c>
    </row>
    <row r="13" spans="1:2" ht="31.5" customHeight="1" x14ac:dyDescent="0.25">
      <c r="B13" s="52" t="s">
        <v>170</v>
      </c>
    </row>
    <row r="14" spans="1:2" ht="31.5" customHeight="1" x14ac:dyDescent="0.25">
      <c r="B14" s="52" t="s">
        <v>171</v>
      </c>
    </row>
    <row r="15" spans="1:2" ht="21.75" customHeight="1" x14ac:dyDescent="0.25">
      <c r="B15" s="16" t="s">
        <v>172</v>
      </c>
    </row>
    <row r="16" spans="1:2" ht="31.5" customHeight="1" x14ac:dyDescent="0.25">
      <c r="B16" s="52" t="s">
        <v>173</v>
      </c>
    </row>
    <row r="17" spans="2:2" ht="31.5" customHeight="1" x14ac:dyDescent="0.25">
      <c r="B17" s="52" t="s">
        <v>174</v>
      </c>
    </row>
    <row r="18" spans="2:2" ht="18" customHeight="1" x14ac:dyDescent="0.25">
      <c r="B18" s="52" t="s">
        <v>175</v>
      </c>
    </row>
    <row r="19" spans="2:2" ht="31.5" customHeight="1" x14ac:dyDescent="0.25">
      <c r="B19" s="52" t="s">
        <v>176</v>
      </c>
    </row>
  </sheetData>
  <mergeCells count="1">
    <mergeCell ref="A1:B1"/>
  </mergeCells>
  <printOptions horizontalCentered="1"/>
  <pageMargins left="0.4" right="0.4" top="0.5" bottom="0.6" header="0.511811023622047" footer="0.5"/>
  <pageSetup paperSize="9" orientation="portrait" horizontalDpi="300" verticalDpi="300"/>
  <headerFooter>
    <oddFooter>&amp;C&amp;8 &amp;A  —  صفحة &amp;P من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أوراق العمل</vt:lpstr>
      </vt:variant>
      <vt:variant>
        <vt:i4>15</vt:i4>
      </vt:variant>
      <vt:variant>
        <vt:lpstr>النطاقات المسماة</vt:lpstr>
      </vt:variant>
      <vt:variant>
        <vt:i4>15</vt:i4>
      </vt:variant>
    </vt:vector>
  </HeadingPairs>
  <TitlesOfParts>
    <vt:vector size="30" baseType="lpstr">
      <vt:lpstr>لوحة التحكم</vt:lpstr>
      <vt:lpstr>01-يناير</vt:lpstr>
      <vt:lpstr>02-فبراير</vt:lpstr>
      <vt:lpstr>03-مارس</vt:lpstr>
      <vt:lpstr>04-أبريل</vt:lpstr>
      <vt:lpstr>05-مايو</vt:lpstr>
      <vt:lpstr>06-يونيو</vt:lpstr>
      <vt:lpstr>07-يوليو</vt:lpstr>
      <vt:lpstr>08-أغسطس</vt:lpstr>
      <vt:lpstr>09-سبتمبر</vt:lpstr>
      <vt:lpstr>10-أكتوبر</vt:lpstr>
      <vt:lpstr>11-نوفمبر</vt:lpstr>
      <vt:lpstr>12-ديسمبر</vt:lpstr>
      <vt:lpstr>المقارنة</vt:lpstr>
      <vt:lpstr>دليل الاستخدام</vt:lpstr>
      <vt:lpstr>'01-يناير'!Print_Area</vt:lpstr>
      <vt:lpstr>'02-فبراير'!Print_Area</vt:lpstr>
      <vt:lpstr>'03-مارس'!Print_Area</vt:lpstr>
      <vt:lpstr>'04-أبريل'!Print_Area</vt:lpstr>
      <vt:lpstr>'05-مايو'!Print_Area</vt:lpstr>
      <vt:lpstr>'06-يونيو'!Print_Area</vt:lpstr>
      <vt:lpstr>'07-يوليو'!Print_Area</vt:lpstr>
      <vt:lpstr>'08-أغسطس'!Print_Area</vt:lpstr>
      <vt:lpstr>'09-سبتمبر'!Print_Area</vt:lpstr>
      <vt:lpstr>'10-أكتوبر'!Print_Area</vt:lpstr>
      <vt:lpstr>'11-نوفمبر'!Print_Area</vt:lpstr>
      <vt:lpstr>'12-ديسمبر'!Print_Area</vt:lpstr>
      <vt:lpstr>المقارنة!Print_Area</vt:lpstr>
      <vt:lpstr>'دليل الاستخدام'!Print_Area</vt:lpstr>
      <vt:lpstr>'لوحة التحكم'!Print_Area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DeLL</cp:lastModifiedBy>
  <cp:revision>1</cp:revision>
  <dcterms:created xsi:type="dcterms:W3CDTF">2026-10-27T07:44:54Z</dcterms:created>
  <dcterms:modified xsi:type="dcterms:W3CDTF">2026-10-27T09:41:08Z</dcterms:modified>
  <dc:language>en-US</dc:language>
</cp:coreProperties>
</file>
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16A0268F-1C5D-419B-8119-87FC8C4EF710}" xr6:coauthVersionLast="47" xr6:coauthVersionMax="47" xr10:uidLastSave="{00000000-0000-0000-0000-000000000000}"/>
  <bookViews>
    <workbookView xWindow="-120" yWindow="-120" windowWidth="20730" windowHeight="11160" tabRatio="500" firstSheet="1" activeTab="1" xr2:uid="{00000000-000D-0000-FFFF-FFFF00000000}"/>
  </bookViews>
  <sheets>
    <sheet name="المدخلات" sheetId="1" r:id="rId1"/>
    <sheet name="الحسابات" sheetId="2" r:id="rId2"/>
    <sheet name="لوحة التحكم" sheetId="3" r:id="rId3"/>
    <sheet name="الرسوم البيانية" sheetId="4" r:id="rId4"/>
    <sheet name="تقرير السيولة" sheetId="5" r:id="rId5"/>
    <sheet name="استيراد بيانات الشهر" sheetId="6" r:id="rId6"/>
    <sheet name="أرشيف المخزون" sheetId="7" r:id="rId7"/>
    <sheet name="ورقة1" sheetId="8" r:id="rId8"/>
  </sheets>
  <definedNames>
    <definedName name="_xlnm.Print_Titles" localSheetId="1">الحسابات!$1:$3</definedName>
    <definedName name="_xlnm.Print_Titles" localSheetId="3">'الرسوم البيانية'!$1:$3</definedName>
    <definedName name="_xlnm.Print_Titles" localSheetId="0">المدخلات!$1:$3</definedName>
    <definedName name="_xlnm.Print_Titles" localSheetId="4">'تقرير السيولة'!$1:$3</definedName>
    <definedName name="_xlnm.Print_Titles" localSheetId="2">'لوحة التحكم'!$1:$3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78" i="7" l="1"/>
  <c r="M478" i="7"/>
  <c r="H477" i="7"/>
  <c r="I477" i="7" s="1"/>
  <c r="J477" i="7" s="1"/>
  <c r="K477" i="7" s="1"/>
  <c r="O477" i="7" s="1"/>
  <c r="G476" i="7"/>
  <c r="N476" i="7" s="1"/>
  <c r="M476" i="7"/>
  <c r="H475" i="7"/>
  <c r="G474" i="7"/>
  <c r="H473" i="7"/>
  <c r="G472" i="7"/>
  <c r="N472" i="7" s="1"/>
  <c r="M472" i="7"/>
  <c r="G470" i="7"/>
  <c r="M470" i="7"/>
  <c r="H469" i="7"/>
  <c r="G468" i="7"/>
  <c r="N468" i="7" s="1"/>
  <c r="M468" i="7"/>
  <c r="H467" i="7"/>
  <c r="G466" i="7"/>
  <c r="M466" i="7"/>
  <c r="H465" i="7"/>
  <c r="G464" i="7"/>
  <c r="N464" i="7" s="1"/>
  <c r="M464" i="7"/>
  <c r="H463" i="7"/>
  <c r="I463" i="7" s="1"/>
  <c r="J463" i="7" s="1"/>
  <c r="K463" i="7" s="1"/>
  <c r="O463" i="7" s="1"/>
  <c r="G462" i="7"/>
  <c r="M462" i="7"/>
  <c r="H461" i="7"/>
  <c r="G460" i="7"/>
  <c r="N460" i="7" s="1"/>
  <c r="M460" i="7"/>
  <c r="H459" i="7"/>
  <c r="G458" i="7"/>
  <c r="N458" i="7" s="1"/>
  <c r="M458" i="7"/>
  <c r="H457" i="7"/>
  <c r="I457" i="7" s="1"/>
  <c r="J457" i="7" s="1"/>
  <c r="K457" i="7" s="1"/>
  <c r="G456" i="7"/>
  <c r="N456" i="7" s="1"/>
  <c r="M456" i="7"/>
  <c r="H455" i="7"/>
  <c r="G454" i="7"/>
  <c r="M454" i="7"/>
  <c r="H453" i="7"/>
  <c r="G452" i="7"/>
  <c r="M452" i="7"/>
  <c r="H451" i="7"/>
  <c r="G450" i="7"/>
  <c r="M450" i="7"/>
  <c r="H449" i="7"/>
  <c r="G448" i="7"/>
  <c r="N448" i="7" s="1"/>
  <c r="M448" i="7"/>
  <c r="G446" i="7"/>
  <c r="N446" i="7" s="1"/>
  <c r="M446" i="7"/>
  <c r="H445" i="7"/>
  <c r="G444" i="7"/>
  <c r="M444" i="7"/>
  <c r="H443" i="7"/>
  <c r="G442" i="7"/>
  <c r="N442" i="7" s="1"/>
  <c r="M442" i="7"/>
  <c r="H441" i="7"/>
  <c r="I441" i="7" s="1"/>
  <c r="J441" i="7" s="1"/>
  <c r="K441" i="7" s="1"/>
  <c r="O441" i="7" s="1"/>
  <c r="G440" i="7"/>
  <c r="N440" i="7" s="1"/>
  <c r="M440" i="7"/>
  <c r="H439" i="7"/>
  <c r="G438" i="7"/>
  <c r="M438" i="7"/>
  <c r="H437" i="7"/>
  <c r="I437" i="7" s="1"/>
  <c r="J437" i="7" s="1"/>
  <c r="K437" i="7" s="1"/>
  <c r="O437" i="7" s="1"/>
  <c r="G436" i="7"/>
  <c r="N436" i="7" s="1"/>
  <c r="M436" i="7"/>
  <c r="H435" i="7"/>
  <c r="I435" i="7" s="1"/>
  <c r="J435" i="7" s="1"/>
  <c r="K435" i="7" s="1"/>
  <c r="O435" i="7" s="1"/>
  <c r="G434" i="7"/>
  <c r="N434" i="7" s="1"/>
  <c r="M434" i="7"/>
  <c r="H433" i="7"/>
  <c r="I433" i="7" s="1"/>
  <c r="J433" i="7" s="1"/>
  <c r="K433" i="7" s="1"/>
  <c r="G432" i="7"/>
  <c r="M432" i="7"/>
  <c r="H431" i="7"/>
  <c r="G430" i="7"/>
  <c r="N430" i="7" s="1"/>
  <c r="M430" i="7"/>
  <c r="H429" i="7"/>
  <c r="I429" i="7" s="1"/>
  <c r="J429" i="7" s="1"/>
  <c r="K429" i="7" s="1"/>
  <c r="O429" i="7" s="1"/>
  <c r="G428" i="7"/>
  <c r="N428" i="7" s="1"/>
  <c r="M428" i="7"/>
  <c r="H427" i="7"/>
  <c r="I427" i="7" s="1"/>
  <c r="J427" i="7" s="1"/>
  <c r="K427" i="7" s="1"/>
  <c r="O427" i="7" s="1"/>
  <c r="G426" i="7"/>
  <c r="N426" i="7" s="1"/>
  <c r="M426" i="7"/>
  <c r="H425" i="7"/>
  <c r="G424" i="7"/>
  <c r="N424" i="7" s="1"/>
  <c r="M424" i="7"/>
  <c r="H423" i="7"/>
  <c r="I423" i="7" s="1"/>
  <c r="J423" i="7" s="1"/>
  <c r="K423" i="7" s="1"/>
  <c r="O423" i="7" s="1"/>
  <c r="G422" i="7"/>
  <c r="H421" i="7"/>
  <c r="I421" i="7" s="1"/>
  <c r="J421" i="7" s="1"/>
  <c r="K421" i="7" s="1"/>
  <c r="G420" i="7"/>
  <c r="N420" i="7" s="1"/>
  <c r="M420" i="7"/>
  <c r="H419" i="7"/>
  <c r="G418" i="7"/>
  <c r="M418" i="7"/>
  <c r="H417" i="7"/>
  <c r="I417" i="7" s="1"/>
  <c r="J417" i="7" s="1"/>
  <c r="K417" i="7" s="1"/>
  <c r="G416" i="7"/>
  <c r="M416" i="7"/>
  <c r="H415" i="7"/>
  <c r="G414" i="7"/>
  <c r="M414" i="7"/>
  <c r="H413" i="7"/>
  <c r="I413" i="7" s="1"/>
  <c r="J413" i="7" s="1"/>
  <c r="K413" i="7" s="1"/>
  <c r="O413" i="7" s="1"/>
  <c r="M412" i="7"/>
  <c r="H411" i="7"/>
  <c r="G410" i="7"/>
  <c r="M410" i="7"/>
  <c r="H409" i="7"/>
  <c r="G408" i="7"/>
  <c r="M408" i="7"/>
  <c r="H407" i="7"/>
  <c r="G406" i="7"/>
  <c r="H405" i="7"/>
  <c r="I405" i="7" s="1"/>
  <c r="G404" i="7"/>
  <c r="M404" i="7"/>
  <c r="H403" i="7"/>
  <c r="G402" i="7"/>
  <c r="M402" i="7"/>
  <c r="H401" i="7"/>
  <c r="G400" i="7"/>
  <c r="N400" i="7" s="1"/>
  <c r="M400" i="7"/>
  <c r="H399" i="7"/>
  <c r="I399" i="7" s="1"/>
  <c r="J399" i="7" s="1"/>
  <c r="K399" i="7" s="1"/>
  <c r="O399" i="7" s="1"/>
  <c r="G398" i="7"/>
  <c r="N398" i="7" s="1"/>
  <c r="M398" i="7"/>
  <c r="H397" i="7"/>
  <c r="G396" i="7"/>
  <c r="M396" i="7"/>
  <c r="H395" i="7"/>
  <c r="G394" i="7"/>
  <c r="N394" i="7" s="1"/>
  <c r="M394" i="7"/>
  <c r="H393" i="7"/>
  <c r="G392" i="7"/>
  <c r="N392" i="7" s="1"/>
  <c r="M392" i="7"/>
  <c r="H391" i="7"/>
  <c r="G390" i="7"/>
  <c r="N390" i="7" s="1"/>
  <c r="M390" i="7"/>
  <c r="H389" i="7"/>
  <c r="G388" i="7"/>
  <c r="N388" i="7" s="1"/>
  <c r="M388" i="7"/>
  <c r="H387" i="7"/>
  <c r="G386" i="7"/>
  <c r="N386" i="7" s="1"/>
  <c r="M386" i="7"/>
  <c r="H385" i="7"/>
  <c r="G384" i="7"/>
  <c r="N384" i="7" s="1"/>
  <c r="M384" i="7"/>
  <c r="H383" i="7"/>
  <c r="I383" i="7" s="1"/>
  <c r="J383" i="7" s="1"/>
  <c r="K383" i="7" s="1"/>
  <c r="O383" i="7" s="1"/>
  <c r="G382" i="7"/>
  <c r="N382" i="7" s="1"/>
  <c r="M382" i="7"/>
  <c r="H381" i="7"/>
  <c r="I381" i="7" s="1"/>
  <c r="G380" i="7"/>
  <c r="N380" i="7" s="1"/>
  <c r="M380" i="7"/>
  <c r="H379" i="7"/>
  <c r="I379" i="7" s="1"/>
  <c r="J379" i="7" s="1"/>
  <c r="K379" i="7" s="1"/>
  <c r="G378" i="7"/>
  <c r="M378" i="7"/>
  <c r="H377" i="7"/>
  <c r="G376" i="7"/>
  <c r="N376" i="7" s="1"/>
  <c r="M376" i="7"/>
  <c r="G374" i="7"/>
  <c r="M374" i="7"/>
  <c r="H373" i="7"/>
  <c r="I373" i="7" s="1"/>
  <c r="G372" i="7"/>
  <c r="M372" i="7"/>
  <c r="H371" i="7"/>
  <c r="I371" i="7" s="1"/>
  <c r="J371" i="7" s="1"/>
  <c r="K371" i="7" s="1"/>
  <c r="G370" i="7"/>
  <c r="N370" i="7" s="1"/>
  <c r="M370" i="7"/>
  <c r="H369" i="7"/>
  <c r="G368" i="7"/>
  <c r="M368" i="7"/>
  <c r="H367" i="7"/>
  <c r="I367" i="7" s="1"/>
  <c r="J367" i="7" s="1"/>
  <c r="K367" i="7" s="1"/>
  <c r="O367" i="7" s="1"/>
  <c r="G366" i="7"/>
  <c r="N366" i="7" s="1"/>
  <c r="M366" i="7"/>
  <c r="H365" i="7"/>
  <c r="I365" i="7" s="1"/>
  <c r="G364" i="7"/>
  <c r="N364" i="7" s="1"/>
  <c r="M364" i="7"/>
  <c r="H363" i="7"/>
  <c r="I363" i="7" s="1"/>
  <c r="J363" i="7" s="1"/>
  <c r="K363" i="7" s="1"/>
  <c r="G362" i="7"/>
  <c r="M362" i="7"/>
  <c r="H361" i="7"/>
  <c r="I361" i="7" s="1"/>
  <c r="J361" i="7" s="1"/>
  <c r="K361" i="7" s="1"/>
  <c r="G360" i="7"/>
  <c r="M360" i="7"/>
  <c r="H359" i="7"/>
  <c r="I359" i="7" s="1"/>
  <c r="J359" i="7" s="1"/>
  <c r="K359" i="7" s="1"/>
  <c r="G358" i="7"/>
  <c r="M358" i="7"/>
  <c r="H357" i="7"/>
  <c r="I357" i="7" s="1"/>
  <c r="G356" i="7"/>
  <c r="M356" i="7"/>
  <c r="H355" i="7"/>
  <c r="G354" i="7"/>
  <c r="N354" i="7" s="1"/>
  <c r="M354" i="7"/>
  <c r="H353" i="7"/>
  <c r="I353" i="7" s="1"/>
  <c r="J353" i="7" s="1"/>
  <c r="K353" i="7" s="1"/>
  <c r="G352" i="7"/>
  <c r="M352" i="7"/>
  <c r="H351" i="7"/>
  <c r="G350" i="7"/>
  <c r="M350" i="7"/>
  <c r="H349" i="7"/>
  <c r="I349" i="7" s="1"/>
  <c r="G348" i="7"/>
  <c r="M348" i="7"/>
  <c r="H347" i="7"/>
  <c r="I347" i="7" s="1"/>
  <c r="J347" i="7" s="1"/>
  <c r="K347" i="7" s="1"/>
  <c r="G346" i="7"/>
  <c r="M346" i="7"/>
  <c r="H345" i="7"/>
  <c r="I345" i="7" s="1"/>
  <c r="J345" i="7" s="1"/>
  <c r="K345" i="7" s="1"/>
  <c r="G344" i="7"/>
  <c r="M344" i="7"/>
  <c r="H343" i="7"/>
  <c r="G342" i="7"/>
  <c r="M342" i="7"/>
  <c r="G340" i="7"/>
  <c r="M340" i="7"/>
  <c r="H339" i="7"/>
  <c r="G338" i="7"/>
  <c r="M338" i="7"/>
  <c r="H337" i="7"/>
  <c r="I337" i="7" s="1"/>
  <c r="J337" i="7" s="1"/>
  <c r="K337" i="7" s="1"/>
  <c r="M336" i="7"/>
  <c r="H335" i="7"/>
  <c r="G334" i="7"/>
  <c r="M334" i="7"/>
  <c r="H333" i="7"/>
  <c r="G332" i="7"/>
  <c r="M332" i="7"/>
  <c r="H331" i="7"/>
  <c r="I331" i="7" s="1"/>
  <c r="J331" i="7" s="1"/>
  <c r="K331" i="7" s="1"/>
  <c r="G330" i="7"/>
  <c r="H329" i="7"/>
  <c r="G328" i="7"/>
  <c r="M328" i="7"/>
  <c r="H327" i="7"/>
  <c r="I327" i="7" s="1"/>
  <c r="J327" i="7" s="1"/>
  <c r="K327" i="7" s="1"/>
  <c r="G326" i="7"/>
  <c r="M326" i="7"/>
  <c r="H325" i="7"/>
  <c r="G324" i="7"/>
  <c r="M324" i="7"/>
  <c r="H323" i="7"/>
  <c r="I323" i="7" s="1"/>
  <c r="J323" i="7" s="1"/>
  <c r="K323" i="7" s="1"/>
  <c r="O323" i="7" s="1"/>
  <c r="G322" i="7"/>
  <c r="M322" i="7"/>
  <c r="H321" i="7"/>
  <c r="G320" i="7"/>
  <c r="H319" i="7"/>
  <c r="G318" i="7"/>
  <c r="M318" i="7"/>
  <c r="H317" i="7"/>
  <c r="G316" i="7"/>
  <c r="M316" i="7"/>
  <c r="H315" i="7"/>
  <c r="I315" i="7" s="1"/>
  <c r="J315" i="7" s="1"/>
  <c r="K315" i="7" s="1"/>
  <c r="O315" i="7" s="1"/>
  <c r="G314" i="7"/>
  <c r="M314" i="7"/>
  <c r="H313" i="7"/>
  <c r="G312" i="7"/>
  <c r="M312" i="7"/>
  <c r="H311" i="7"/>
  <c r="I311" i="7" s="1"/>
  <c r="J311" i="7" s="1"/>
  <c r="K311" i="7" s="1"/>
  <c r="O311" i="7" s="1"/>
  <c r="G310" i="7"/>
  <c r="M310" i="7"/>
  <c r="H309" i="7"/>
  <c r="G308" i="7"/>
  <c r="M308" i="7"/>
  <c r="G306" i="7"/>
  <c r="M306" i="7"/>
  <c r="H305" i="7"/>
  <c r="I305" i="7" s="1"/>
  <c r="J305" i="7" s="1"/>
  <c r="K305" i="7" s="1"/>
  <c r="O305" i="7" s="1"/>
  <c r="M304" i="7"/>
  <c r="G302" i="7"/>
  <c r="M302" i="7"/>
  <c r="H301" i="7"/>
  <c r="I301" i="7" s="1"/>
  <c r="J301" i="7" s="1"/>
  <c r="K301" i="7" s="1"/>
  <c r="G300" i="7"/>
  <c r="M300" i="7"/>
  <c r="H299" i="7"/>
  <c r="I299" i="7" s="1"/>
  <c r="J299" i="7" s="1"/>
  <c r="K299" i="7" s="1"/>
  <c r="G298" i="7"/>
  <c r="M298" i="7"/>
  <c r="H297" i="7"/>
  <c r="I297" i="7" s="1"/>
  <c r="J297" i="7" s="1"/>
  <c r="K297" i="7" s="1"/>
  <c r="O297" i="7" s="1"/>
  <c r="G296" i="7"/>
  <c r="M296" i="7"/>
  <c r="G294" i="7"/>
  <c r="M294" i="7"/>
  <c r="H293" i="7"/>
  <c r="I293" i="7" s="1"/>
  <c r="J293" i="7" s="1"/>
  <c r="K293" i="7" s="1"/>
  <c r="G292" i="7"/>
  <c r="M292" i="7"/>
  <c r="H291" i="7"/>
  <c r="I291" i="7" s="1"/>
  <c r="J291" i="7" s="1"/>
  <c r="K291" i="7" s="1"/>
  <c r="O291" i="7" s="1"/>
  <c r="G290" i="7"/>
  <c r="M290" i="7"/>
  <c r="H289" i="7"/>
  <c r="I289" i="7" s="1"/>
  <c r="J289" i="7" s="1"/>
  <c r="K289" i="7" s="1"/>
  <c r="G288" i="7"/>
  <c r="M288" i="7"/>
  <c r="H287" i="7"/>
  <c r="I287" i="7" s="1"/>
  <c r="J287" i="7" s="1"/>
  <c r="K287" i="7" s="1"/>
  <c r="G286" i="7"/>
  <c r="M286" i="7"/>
  <c r="H285" i="7"/>
  <c r="I285" i="7" s="1"/>
  <c r="J285" i="7" s="1"/>
  <c r="K285" i="7" s="1"/>
  <c r="O285" i="7" s="1"/>
  <c r="G284" i="7"/>
  <c r="M284" i="7"/>
  <c r="H283" i="7"/>
  <c r="I283" i="7" s="1"/>
  <c r="J283" i="7" s="1"/>
  <c r="K283" i="7" s="1"/>
  <c r="O283" i="7" s="1"/>
  <c r="G282" i="7"/>
  <c r="M282" i="7"/>
  <c r="H281" i="7"/>
  <c r="I281" i="7" s="1"/>
  <c r="J281" i="7" s="1"/>
  <c r="K281" i="7" s="1"/>
  <c r="O281" i="7" s="1"/>
  <c r="G280" i="7"/>
  <c r="M280" i="7"/>
  <c r="H279" i="7"/>
  <c r="I279" i="7" s="1"/>
  <c r="J279" i="7" s="1"/>
  <c r="K279" i="7" s="1"/>
  <c r="G278" i="7"/>
  <c r="M278" i="7"/>
  <c r="H277" i="7"/>
  <c r="I277" i="7" s="1"/>
  <c r="J277" i="7" s="1"/>
  <c r="K277" i="7" s="1"/>
  <c r="O277" i="7" s="1"/>
  <c r="M276" i="7"/>
  <c r="H275" i="7"/>
  <c r="I275" i="7" s="1"/>
  <c r="J275" i="7" s="1"/>
  <c r="K275" i="7" s="1"/>
  <c r="G274" i="7"/>
  <c r="M274" i="7"/>
  <c r="H273" i="7"/>
  <c r="I273" i="7" s="1"/>
  <c r="J273" i="7" s="1"/>
  <c r="K273" i="7" s="1"/>
  <c r="G272" i="7"/>
  <c r="M272" i="7"/>
  <c r="H271" i="7"/>
  <c r="I271" i="7" s="1"/>
  <c r="J271" i="7" s="1"/>
  <c r="K271" i="7" s="1"/>
  <c r="G270" i="7"/>
  <c r="H269" i="7"/>
  <c r="I269" i="7" s="1"/>
  <c r="J269" i="7" s="1"/>
  <c r="K269" i="7" s="1"/>
  <c r="G268" i="7"/>
  <c r="M268" i="7"/>
  <c r="H267" i="7"/>
  <c r="I267" i="7" s="1"/>
  <c r="J267" i="7" s="1"/>
  <c r="K267" i="7" s="1"/>
  <c r="O267" i="7" s="1"/>
  <c r="G266" i="7"/>
  <c r="M266" i="7"/>
  <c r="G264" i="7"/>
  <c r="M264" i="7"/>
  <c r="H263" i="7"/>
  <c r="G262" i="7"/>
  <c r="M262" i="7"/>
  <c r="H261" i="7"/>
  <c r="I261" i="7" s="1"/>
  <c r="J261" i="7" s="1"/>
  <c r="K261" i="7" s="1"/>
  <c r="M260" i="7"/>
  <c r="H259" i="7"/>
  <c r="I259" i="7" s="1"/>
  <c r="G258" i="7"/>
  <c r="M258" i="7"/>
  <c r="H257" i="7"/>
  <c r="I257" i="7" s="1"/>
  <c r="J257" i="7" s="1"/>
  <c r="K257" i="7" s="1"/>
  <c r="G256" i="7"/>
  <c r="M256" i="7"/>
  <c r="H255" i="7"/>
  <c r="G254" i="7"/>
  <c r="H253" i="7"/>
  <c r="I253" i="7" s="1"/>
  <c r="J253" i="7" s="1"/>
  <c r="K253" i="7" s="1"/>
  <c r="G252" i="7"/>
  <c r="M252" i="7"/>
  <c r="H251" i="7"/>
  <c r="I251" i="7" s="1"/>
  <c r="J251" i="7" s="1"/>
  <c r="K251" i="7" s="1"/>
  <c r="G250" i="7"/>
  <c r="M250" i="7"/>
  <c r="G248" i="7"/>
  <c r="M248" i="7"/>
  <c r="H247" i="7"/>
  <c r="I247" i="7" s="1"/>
  <c r="J247" i="7" s="1"/>
  <c r="K247" i="7" s="1"/>
  <c r="G246" i="7"/>
  <c r="M246" i="7"/>
  <c r="H245" i="7"/>
  <c r="M244" i="7"/>
  <c r="H167" i="7"/>
  <c r="I167" i="7" s="1"/>
  <c r="J167" i="7" s="1"/>
  <c r="K167" i="7" s="1"/>
  <c r="O167" i="7" s="1"/>
  <c r="G242" i="7"/>
  <c r="L5" i="2"/>
  <c r="Z6" i="4" s="1"/>
  <c r="O2004" i="7"/>
  <c r="N2004" i="7"/>
  <c r="M2004" i="7"/>
  <c r="N2003" i="7"/>
  <c r="M2003" i="7"/>
  <c r="L2003" i="7"/>
  <c r="J2003" i="7"/>
  <c r="K2003" i="7" s="1"/>
  <c r="O2003" i="7" s="1"/>
  <c r="H2003" i="7"/>
  <c r="I2003" i="7" s="1"/>
  <c r="G2003" i="7"/>
  <c r="M2002" i="7"/>
  <c r="L2002" i="7"/>
  <c r="J2002" i="7"/>
  <c r="K2002" i="7" s="1"/>
  <c r="O2002" i="7" s="1"/>
  <c r="H2002" i="7"/>
  <c r="I2002" i="7" s="1"/>
  <c r="G2002" i="7"/>
  <c r="N2002" i="7" s="1"/>
  <c r="M2001" i="7"/>
  <c r="L2001" i="7"/>
  <c r="J2001" i="7"/>
  <c r="K2001" i="7" s="1"/>
  <c r="O2001" i="7" s="1"/>
  <c r="H2001" i="7"/>
  <c r="I2001" i="7" s="1"/>
  <c r="G2001" i="7"/>
  <c r="N2001" i="7" s="1"/>
  <c r="M2000" i="7"/>
  <c r="L2000" i="7"/>
  <c r="J2000" i="7"/>
  <c r="K2000" i="7" s="1"/>
  <c r="O2000" i="7" s="1"/>
  <c r="H2000" i="7"/>
  <c r="I2000" i="7" s="1"/>
  <c r="G2000" i="7"/>
  <c r="N2000" i="7" s="1"/>
  <c r="N1999" i="7"/>
  <c r="M1999" i="7"/>
  <c r="L1999" i="7"/>
  <c r="J1999" i="7"/>
  <c r="K1999" i="7" s="1"/>
  <c r="O1999" i="7" s="1"/>
  <c r="H1999" i="7"/>
  <c r="I1999" i="7" s="1"/>
  <c r="G1999" i="7"/>
  <c r="M1998" i="7"/>
  <c r="L1998" i="7"/>
  <c r="J1998" i="7"/>
  <c r="K1998" i="7" s="1"/>
  <c r="O1998" i="7" s="1"/>
  <c r="H1998" i="7"/>
  <c r="I1998" i="7" s="1"/>
  <c r="G1998" i="7"/>
  <c r="N1998" i="7" s="1"/>
  <c r="M1997" i="7"/>
  <c r="L1997" i="7"/>
  <c r="J1997" i="7"/>
  <c r="K1997" i="7" s="1"/>
  <c r="O1997" i="7" s="1"/>
  <c r="H1997" i="7"/>
  <c r="I1997" i="7" s="1"/>
  <c r="G1997" i="7"/>
  <c r="N1997" i="7" s="1"/>
  <c r="M1996" i="7"/>
  <c r="L1996" i="7"/>
  <c r="J1996" i="7"/>
  <c r="K1996" i="7" s="1"/>
  <c r="O1996" i="7" s="1"/>
  <c r="H1996" i="7"/>
  <c r="I1996" i="7" s="1"/>
  <c r="G1996" i="7"/>
  <c r="N1996" i="7" s="1"/>
  <c r="N1995" i="7"/>
  <c r="M1995" i="7"/>
  <c r="L1995" i="7"/>
  <c r="J1995" i="7"/>
  <c r="K1995" i="7" s="1"/>
  <c r="O1995" i="7" s="1"/>
  <c r="H1995" i="7"/>
  <c r="I1995" i="7" s="1"/>
  <c r="G1995" i="7"/>
  <c r="M1994" i="7"/>
  <c r="L1994" i="7"/>
  <c r="J1994" i="7"/>
  <c r="K1994" i="7" s="1"/>
  <c r="O1994" i="7" s="1"/>
  <c r="H1994" i="7"/>
  <c r="I1994" i="7" s="1"/>
  <c r="G1994" i="7"/>
  <c r="N1994" i="7" s="1"/>
  <c r="M1993" i="7"/>
  <c r="L1993" i="7"/>
  <c r="J1993" i="7"/>
  <c r="K1993" i="7" s="1"/>
  <c r="O1993" i="7" s="1"/>
  <c r="H1993" i="7"/>
  <c r="I1993" i="7" s="1"/>
  <c r="G1993" i="7"/>
  <c r="N1993" i="7" s="1"/>
  <c r="M1992" i="7"/>
  <c r="L1992" i="7"/>
  <c r="J1992" i="7"/>
  <c r="K1992" i="7" s="1"/>
  <c r="O1992" i="7" s="1"/>
  <c r="H1992" i="7"/>
  <c r="I1992" i="7" s="1"/>
  <c r="G1992" i="7"/>
  <c r="N1992" i="7" s="1"/>
  <c r="N1991" i="7"/>
  <c r="M1991" i="7"/>
  <c r="L1991" i="7"/>
  <c r="J1991" i="7"/>
  <c r="K1991" i="7" s="1"/>
  <c r="O1991" i="7" s="1"/>
  <c r="H1991" i="7"/>
  <c r="I1991" i="7" s="1"/>
  <c r="G1991" i="7"/>
  <c r="M1990" i="7"/>
  <c r="L1990" i="7"/>
  <c r="J1990" i="7"/>
  <c r="K1990" i="7" s="1"/>
  <c r="O1990" i="7" s="1"/>
  <c r="H1990" i="7"/>
  <c r="I1990" i="7" s="1"/>
  <c r="G1990" i="7"/>
  <c r="N1990" i="7" s="1"/>
  <c r="M1989" i="7"/>
  <c r="L1989" i="7"/>
  <c r="J1989" i="7"/>
  <c r="K1989" i="7" s="1"/>
  <c r="O1989" i="7" s="1"/>
  <c r="H1989" i="7"/>
  <c r="I1989" i="7" s="1"/>
  <c r="G1989" i="7"/>
  <c r="N1989" i="7" s="1"/>
  <c r="M1988" i="7"/>
  <c r="L1988" i="7"/>
  <c r="J1988" i="7"/>
  <c r="K1988" i="7" s="1"/>
  <c r="O1988" i="7" s="1"/>
  <c r="H1988" i="7"/>
  <c r="I1988" i="7" s="1"/>
  <c r="G1988" i="7"/>
  <c r="N1988" i="7" s="1"/>
  <c r="N1987" i="7"/>
  <c r="M1987" i="7"/>
  <c r="L1987" i="7"/>
  <c r="J1987" i="7"/>
  <c r="K1987" i="7" s="1"/>
  <c r="O1987" i="7" s="1"/>
  <c r="H1987" i="7"/>
  <c r="I1987" i="7" s="1"/>
  <c r="G1987" i="7"/>
  <c r="M1986" i="7"/>
  <c r="L1986" i="7"/>
  <c r="J1986" i="7"/>
  <c r="K1986" i="7" s="1"/>
  <c r="O1986" i="7" s="1"/>
  <c r="H1986" i="7"/>
  <c r="I1986" i="7" s="1"/>
  <c r="G1986" i="7"/>
  <c r="N1986" i="7" s="1"/>
  <c r="M1985" i="7"/>
  <c r="L1985" i="7"/>
  <c r="J1985" i="7"/>
  <c r="K1985" i="7" s="1"/>
  <c r="O1985" i="7" s="1"/>
  <c r="H1985" i="7"/>
  <c r="I1985" i="7" s="1"/>
  <c r="G1985" i="7"/>
  <c r="N1985" i="7" s="1"/>
  <c r="M1984" i="7"/>
  <c r="L1984" i="7"/>
  <c r="J1984" i="7"/>
  <c r="K1984" i="7" s="1"/>
  <c r="O1984" i="7" s="1"/>
  <c r="H1984" i="7"/>
  <c r="I1984" i="7" s="1"/>
  <c r="G1984" i="7"/>
  <c r="N1984" i="7" s="1"/>
  <c r="N1983" i="7"/>
  <c r="M1983" i="7"/>
  <c r="L1983" i="7"/>
  <c r="J1983" i="7"/>
  <c r="K1983" i="7" s="1"/>
  <c r="O1983" i="7" s="1"/>
  <c r="H1983" i="7"/>
  <c r="I1983" i="7" s="1"/>
  <c r="G1983" i="7"/>
  <c r="M1982" i="7"/>
  <c r="L1982" i="7"/>
  <c r="J1982" i="7"/>
  <c r="K1982" i="7" s="1"/>
  <c r="O1982" i="7" s="1"/>
  <c r="H1982" i="7"/>
  <c r="I1982" i="7" s="1"/>
  <c r="G1982" i="7"/>
  <c r="N1982" i="7" s="1"/>
  <c r="M1981" i="7"/>
  <c r="L1981" i="7"/>
  <c r="J1981" i="7"/>
  <c r="K1981" i="7" s="1"/>
  <c r="O1981" i="7" s="1"/>
  <c r="H1981" i="7"/>
  <c r="I1981" i="7" s="1"/>
  <c r="G1981" i="7"/>
  <c r="N1981" i="7" s="1"/>
  <c r="M1980" i="7"/>
  <c r="L1980" i="7"/>
  <c r="J1980" i="7"/>
  <c r="K1980" i="7" s="1"/>
  <c r="O1980" i="7" s="1"/>
  <c r="H1980" i="7"/>
  <c r="I1980" i="7" s="1"/>
  <c r="G1980" i="7"/>
  <c r="N1980" i="7" s="1"/>
  <c r="N1979" i="7"/>
  <c r="M1979" i="7"/>
  <c r="L1979" i="7"/>
  <c r="J1979" i="7"/>
  <c r="K1979" i="7" s="1"/>
  <c r="O1979" i="7" s="1"/>
  <c r="H1979" i="7"/>
  <c r="I1979" i="7" s="1"/>
  <c r="G1979" i="7"/>
  <c r="M1978" i="7"/>
  <c r="L1978" i="7"/>
  <c r="J1978" i="7"/>
  <c r="K1978" i="7" s="1"/>
  <c r="O1978" i="7" s="1"/>
  <c r="H1978" i="7"/>
  <c r="I1978" i="7" s="1"/>
  <c r="G1978" i="7"/>
  <c r="N1978" i="7" s="1"/>
  <c r="M1977" i="7"/>
  <c r="L1977" i="7"/>
  <c r="J1977" i="7"/>
  <c r="K1977" i="7" s="1"/>
  <c r="O1977" i="7" s="1"/>
  <c r="H1977" i="7"/>
  <c r="I1977" i="7" s="1"/>
  <c r="G1977" i="7"/>
  <c r="N1977" i="7" s="1"/>
  <c r="M1976" i="7"/>
  <c r="L1976" i="7"/>
  <c r="J1976" i="7"/>
  <c r="K1976" i="7" s="1"/>
  <c r="O1976" i="7" s="1"/>
  <c r="H1976" i="7"/>
  <c r="I1976" i="7" s="1"/>
  <c r="G1976" i="7"/>
  <c r="N1976" i="7" s="1"/>
  <c r="N1975" i="7"/>
  <c r="M1975" i="7"/>
  <c r="L1975" i="7"/>
  <c r="J1975" i="7"/>
  <c r="K1975" i="7" s="1"/>
  <c r="O1975" i="7" s="1"/>
  <c r="H1975" i="7"/>
  <c r="I1975" i="7" s="1"/>
  <c r="G1975" i="7"/>
  <c r="M1974" i="7"/>
  <c r="L1974" i="7"/>
  <c r="J1974" i="7"/>
  <c r="K1974" i="7" s="1"/>
  <c r="O1974" i="7" s="1"/>
  <c r="H1974" i="7"/>
  <c r="I1974" i="7" s="1"/>
  <c r="G1974" i="7"/>
  <c r="N1974" i="7" s="1"/>
  <c r="M1973" i="7"/>
  <c r="L1973" i="7"/>
  <c r="J1973" i="7"/>
  <c r="K1973" i="7" s="1"/>
  <c r="O1973" i="7" s="1"/>
  <c r="H1973" i="7"/>
  <c r="I1973" i="7" s="1"/>
  <c r="G1973" i="7"/>
  <c r="N1973" i="7" s="1"/>
  <c r="M1972" i="7"/>
  <c r="L1972" i="7"/>
  <c r="J1972" i="7"/>
  <c r="K1972" i="7" s="1"/>
  <c r="O1972" i="7" s="1"/>
  <c r="H1972" i="7"/>
  <c r="I1972" i="7" s="1"/>
  <c r="G1972" i="7"/>
  <c r="N1972" i="7" s="1"/>
  <c r="N1971" i="7"/>
  <c r="M1971" i="7"/>
  <c r="L1971" i="7"/>
  <c r="J1971" i="7"/>
  <c r="K1971" i="7" s="1"/>
  <c r="O1971" i="7" s="1"/>
  <c r="H1971" i="7"/>
  <c r="I1971" i="7" s="1"/>
  <c r="G1971" i="7"/>
  <c r="M1970" i="7"/>
  <c r="L1970" i="7"/>
  <c r="J1970" i="7"/>
  <c r="K1970" i="7" s="1"/>
  <c r="O1970" i="7" s="1"/>
  <c r="H1970" i="7"/>
  <c r="I1970" i="7" s="1"/>
  <c r="G1970" i="7"/>
  <c r="N1970" i="7" s="1"/>
  <c r="M1969" i="7"/>
  <c r="L1969" i="7"/>
  <c r="J1969" i="7"/>
  <c r="K1969" i="7" s="1"/>
  <c r="O1969" i="7" s="1"/>
  <c r="H1969" i="7"/>
  <c r="I1969" i="7" s="1"/>
  <c r="G1969" i="7"/>
  <c r="N1969" i="7" s="1"/>
  <c r="M1968" i="7"/>
  <c r="L1968" i="7"/>
  <c r="J1968" i="7"/>
  <c r="K1968" i="7" s="1"/>
  <c r="O1968" i="7" s="1"/>
  <c r="H1968" i="7"/>
  <c r="I1968" i="7" s="1"/>
  <c r="G1968" i="7"/>
  <c r="N1968" i="7" s="1"/>
  <c r="N1967" i="7"/>
  <c r="M1967" i="7"/>
  <c r="L1967" i="7"/>
  <c r="J1967" i="7"/>
  <c r="K1967" i="7" s="1"/>
  <c r="O1967" i="7" s="1"/>
  <c r="H1967" i="7"/>
  <c r="I1967" i="7" s="1"/>
  <c r="G1967" i="7"/>
  <c r="M1966" i="7"/>
  <c r="L1966" i="7"/>
  <c r="J1966" i="7"/>
  <c r="K1966" i="7" s="1"/>
  <c r="O1966" i="7" s="1"/>
  <c r="H1966" i="7"/>
  <c r="I1966" i="7" s="1"/>
  <c r="G1966" i="7"/>
  <c r="N1966" i="7" s="1"/>
  <c r="M1965" i="7"/>
  <c r="L1965" i="7"/>
  <c r="J1965" i="7"/>
  <c r="K1965" i="7" s="1"/>
  <c r="O1965" i="7" s="1"/>
  <c r="H1965" i="7"/>
  <c r="I1965" i="7" s="1"/>
  <c r="G1965" i="7"/>
  <c r="N1965" i="7" s="1"/>
  <c r="M1964" i="7"/>
  <c r="L1964" i="7"/>
  <c r="J1964" i="7"/>
  <c r="K1964" i="7" s="1"/>
  <c r="O1964" i="7" s="1"/>
  <c r="H1964" i="7"/>
  <c r="I1964" i="7" s="1"/>
  <c r="G1964" i="7"/>
  <c r="N1964" i="7" s="1"/>
  <c r="N1963" i="7"/>
  <c r="M1963" i="7"/>
  <c r="L1963" i="7"/>
  <c r="J1963" i="7"/>
  <c r="K1963" i="7" s="1"/>
  <c r="O1963" i="7" s="1"/>
  <c r="H1963" i="7"/>
  <c r="I1963" i="7" s="1"/>
  <c r="G1963" i="7"/>
  <c r="N1962" i="7"/>
  <c r="M1962" i="7"/>
  <c r="L1962" i="7"/>
  <c r="J1962" i="7"/>
  <c r="K1962" i="7" s="1"/>
  <c r="O1962" i="7" s="1"/>
  <c r="H1962" i="7"/>
  <c r="I1962" i="7" s="1"/>
  <c r="G1962" i="7"/>
  <c r="M1961" i="7"/>
  <c r="L1961" i="7"/>
  <c r="J1961" i="7"/>
  <c r="K1961" i="7" s="1"/>
  <c r="O1961" i="7" s="1"/>
  <c r="H1961" i="7"/>
  <c r="I1961" i="7" s="1"/>
  <c r="G1961" i="7"/>
  <c r="N1961" i="7" s="1"/>
  <c r="M1960" i="7"/>
  <c r="L1960" i="7"/>
  <c r="J1960" i="7"/>
  <c r="K1960" i="7" s="1"/>
  <c r="O1960" i="7" s="1"/>
  <c r="H1960" i="7"/>
  <c r="I1960" i="7" s="1"/>
  <c r="G1960" i="7"/>
  <c r="N1960" i="7" s="1"/>
  <c r="N1959" i="7"/>
  <c r="M1959" i="7"/>
  <c r="L1959" i="7"/>
  <c r="J1959" i="7"/>
  <c r="K1959" i="7" s="1"/>
  <c r="O1959" i="7" s="1"/>
  <c r="H1959" i="7"/>
  <c r="I1959" i="7" s="1"/>
  <c r="G1959" i="7"/>
  <c r="N1958" i="7"/>
  <c r="M1958" i="7"/>
  <c r="L1958" i="7"/>
  <c r="J1958" i="7"/>
  <c r="K1958" i="7" s="1"/>
  <c r="O1958" i="7" s="1"/>
  <c r="H1958" i="7"/>
  <c r="I1958" i="7" s="1"/>
  <c r="G1958" i="7"/>
  <c r="M1957" i="7"/>
  <c r="L1957" i="7"/>
  <c r="J1957" i="7"/>
  <c r="K1957" i="7" s="1"/>
  <c r="O1957" i="7" s="1"/>
  <c r="H1957" i="7"/>
  <c r="I1957" i="7" s="1"/>
  <c r="G1957" i="7"/>
  <c r="N1957" i="7" s="1"/>
  <c r="M1956" i="7"/>
  <c r="L1956" i="7"/>
  <c r="J1956" i="7"/>
  <c r="K1956" i="7" s="1"/>
  <c r="O1956" i="7" s="1"/>
  <c r="H1956" i="7"/>
  <c r="I1956" i="7" s="1"/>
  <c r="G1956" i="7"/>
  <c r="N1956" i="7" s="1"/>
  <c r="N1955" i="7"/>
  <c r="M1955" i="7"/>
  <c r="L1955" i="7"/>
  <c r="J1955" i="7"/>
  <c r="K1955" i="7" s="1"/>
  <c r="O1955" i="7" s="1"/>
  <c r="H1955" i="7"/>
  <c r="I1955" i="7" s="1"/>
  <c r="G1955" i="7"/>
  <c r="N1954" i="7"/>
  <c r="M1954" i="7"/>
  <c r="L1954" i="7"/>
  <c r="J1954" i="7"/>
  <c r="K1954" i="7" s="1"/>
  <c r="O1954" i="7" s="1"/>
  <c r="H1954" i="7"/>
  <c r="I1954" i="7" s="1"/>
  <c r="G1954" i="7"/>
  <c r="M1953" i="7"/>
  <c r="L1953" i="7"/>
  <c r="J1953" i="7"/>
  <c r="K1953" i="7" s="1"/>
  <c r="O1953" i="7" s="1"/>
  <c r="H1953" i="7"/>
  <c r="I1953" i="7" s="1"/>
  <c r="G1953" i="7"/>
  <c r="N1953" i="7" s="1"/>
  <c r="M1952" i="7"/>
  <c r="L1952" i="7"/>
  <c r="J1952" i="7"/>
  <c r="K1952" i="7" s="1"/>
  <c r="O1952" i="7" s="1"/>
  <c r="H1952" i="7"/>
  <c r="I1952" i="7" s="1"/>
  <c r="G1952" i="7"/>
  <c r="N1952" i="7" s="1"/>
  <c r="N1951" i="7"/>
  <c r="M1951" i="7"/>
  <c r="L1951" i="7"/>
  <c r="J1951" i="7"/>
  <c r="K1951" i="7" s="1"/>
  <c r="O1951" i="7" s="1"/>
  <c r="H1951" i="7"/>
  <c r="I1951" i="7" s="1"/>
  <c r="G1951" i="7"/>
  <c r="N1950" i="7"/>
  <c r="M1950" i="7"/>
  <c r="L1950" i="7"/>
  <c r="J1950" i="7"/>
  <c r="K1950" i="7" s="1"/>
  <c r="O1950" i="7" s="1"/>
  <c r="H1950" i="7"/>
  <c r="I1950" i="7" s="1"/>
  <c r="G1950" i="7"/>
  <c r="M1949" i="7"/>
  <c r="L1949" i="7"/>
  <c r="J1949" i="7"/>
  <c r="K1949" i="7" s="1"/>
  <c r="O1949" i="7" s="1"/>
  <c r="H1949" i="7"/>
  <c r="I1949" i="7" s="1"/>
  <c r="G1949" i="7"/>
  <c r="N1949" i="7" s="1"/>
  <c r="M1948" i="7"/>
  <c r="L1948" i="7"/>
  <c r="J1948" i="7"/>
  <c r="K1948" i="7" s="1"/>
  <c r="O1948" i="7" s="1"/>
  <c r="H1948" i="7"/>
  <c r="I1948" i="7" s="1"/>
  <c r="G1948" i="7"/>
  <c r="N1948" i="7" s="1"/>
  <c r="N1947" i="7"/>
  <c r="M1947" i="7"/>
  <c r="L1947" i="7"/>
  <c r="J1947" i="7"/>
  <c r="K1947" i="7" s="1"/>
  <c r="O1947" i="7" s="1"/>
  <c r="H1947" i="7"/>
  <c r="I1947" i="7" s="1"/>
  <c r="G1947" i="7"/>
  <c r="N1946" i="7"/>
  <c r="M1946" i="7"/>
  <c r="L1946" i="7"/>
  <c r="J1946" i="7"/>
  <c r="K1946" i="7" s="1"/>
  <c r="O1946" i="7" s="1"/>
  <c r="H1946" i="7"/>
  <c r="I1946" i="7" s="1"/>
  <c r="G1946" i="7"/>
  <c r="M1945" i="7"/>
  <c r="L1945" i="7"/>
  <c r="J1945" i="7"/>
  <c r="K1945" i="7" s="1"/>
  <c r="O1945" i="7" s="1"/>
  <c r="H1945" i="7"/>
  <c r="I1945" i="7" s="1"/>
  <c r="G1945" i="7"/>
  <c r="N1945" i="7" s="1"/>
  <c r="M1944" i="7"/>
  <c r="L1944" i="7"/>
  <c r="J1944" i="7"/>
  <c r="K1944" i="7" s="1"/>
  <c r="O1944" i="7" s="1"/>
  <c r="H1944" i="7"/>
  <c r="I1944" i="7" s="1"/>
  <c r="G1944" i="7"/>
  <c r="N1944" i="7" s="1"/>
  <c r="N1943" i="7"/>
  <c r="M1943" i="7"/>
  <c r="L1943" i="7"/>
  <c r="J1943" i="7"/>
  <c r="K1943" i="7" s="1"/>
  <c r="O1943" i="7" s="1"/>
  <c r="H1943" i="7"/>
  <c r="I1943" i="7" s="1"/>
  <c r="G1943" i="7"/>
  <c r="N1942" i="7"/>
  <c r="M1942" i="7"/>
  <c r="L1942" i="7"/>
  <c r="J1942" i="7"/>
  <c r="K1942" i="7" s="1"/>
  <c r="O1942" i="7" s="1"/>
  <c r="H1942" i="7"/>
  <c r="I1942" i="7" s="1"/>
  <c r="G1942" i="7"/>
  <c r="N1941" i="7"/>
  <c r="M1941" i="7"/>
  <c r="L1941" i="7"/>
  <c r="J1941" i="7"/>
  <c r="K1941" i="7" s="1"/>
  <c r="O1941" i="7" s="1"/>
  <c r="H1941" i="7"/>
  <c r="I1941" i="7" s="1"/>
  <c r="G1941" i="7"/>
  <c r="M1940" i="7"/>
  <c r="L1940" i="7"/>
  <c r="J1940" i="7"/>
  <c r="K1940" i="7" s="1"/>
  <c r="O1940" i="7" s="1"/>
  <c r="H1940" i="7"/>
  <c r="I1940" i="7" s="1"/>
  <c r="G1940" i="7"/>
  <c r="N1940" i="7" s="1"/>
  <c r="N1939" i="7"/>
  <c r="M1939" i="7"/>
  <c r="L1939" i="7"/>
  <c r="J1939" i="7"/>
  <c r="K1939" i="7" s="1"/>
  <c r="O1939" i="7" s="1"/>
  <c r="H1939" i="7"/>
  <c r="I1939" i="7" s="1"/>
  <c r="G1939" i="7"/>
  <c r="N1938" i="7"/>
  <c r="M1938" i="7"/>
  <c r="L1938" i="7"/>
  <c r="J1938" i="7"/>
  <c r="K1938" i="7" s="1"/>
  <c r="O1938" i="7" s="1"/>
  <c r="H1938" i="7"/>
  <c r="I1938" i="7" s="1"/>
  <c r="G1938" i="7"/>
  <c r="N1937" i="7"/>
  <c r="M1937" i="7"/>
  <c r="L1937" i="7"/>
  <c r="J1937" i="7"/>
  <c r="K1937" i="7" s="1"/>
  <c r="O1937" i="7" s="1"/>
  <c r="H1937" i="7"/>
  <c r="I1937" i="7" s="1"/>
  <c r="G1937" i="7"/>
  <c r="M1936" i="7"/>
  <c r="L1936" i="7"/>
  <c r="J1936" i="7"/>
  <c r="K1936" i="7" s="1"/>
  <c r="O1936" i="7" s="1"/>
  <c r="H1936" i="7"/>
  <c r="I1936" i="7" s="1"/>
  <c r="G1936" i="7"/>
  <c r="N1936" i="7" s="1"/>
  <c r="N1935" i="7"/>
  <c r="M1935" i="7"/>
  <c r="L1935" i="7"/>
  <c r="J1935" i="7"/>
  <c r="K1935" i="7" s="1"/>
  <c r="O1935" i="7" s="1"/>
  <c r="H1935" i="7"/>
  <c r="I1935" i="7" s="1"/>
  <c r="G1935" i="7"/>
  <c r="N1934" i="7"/>
  <c r="M1934" i="7"/>
  <c r="L1934" i="7"/>
  <c r="J1934" i="7"/>
  <c r="K1934" i="7" s="1"/>
  <c r="O1934" i="7" s="1"/>
  <c r="H1934" i="7"/>
  <c r="I1934" i="7" s="1"/>
  <c r="G1934" i="7"/>
  <c r="N1933" i="7"/>
  <c r="M1933" i="7"/>
  <c r="L1933" i="7"/>
  <c r="J1933" i="7"/>
  <c r="K1933" i="7" s="1"/>
  <c r="O1933" i="7" s="1"/>
  <c r="H1933" i="7"/>
  <c r="I1933" i="7" s="1"/>
  <c r="G1933" i="7"/>
  <c r="M1932" i="7"/>
  <c r="L1932" i="7"/>
  <c r="J1932" i="7"/>
  <c r="K1932" i="7" s="1"/>
  <c r="O1932" i="7" s="1"/>
  <c r="H1932" i="7"/>
  <c r="I1932" i="7" s="1"/>
  <c r="G1932" i="7"/>
  <c r="N1932" i="7" s="1"/>
  <c r="N1931" i="7"/>
  <c r="M1931" i="7"/>
  <c r="L1931" i="7"/>
  <c r="J1931" i="7"/>
  <c r="K1931" i="7" s="1"/>
  <c r="O1931" i="7" s="1"/>
  <c r="H1931" i="7"/>
  <c r="I1931" i="7" s="1"/>
  <c r="G1931" i="7"/>
  <c r="N1930" i="7"/>
  <c r="M1930" i="7"/>
  <c r="L1930" i="7"/>
  <c r="J1930" i="7"/>
  <c r="K1930" i="7" s="1"/>
  <c r="O1930" i="7" s="1"/>
  <c r="H1930" i="7"/>
  <c r="I1930" i="7" s="1"/>
  <c r="G1930" i="7"/>
  <c r="N1929" i="7"/>
  <c r="M1929" i="7"/>
  <c r="L1929" i="7"/>
  <c r="J1929" i="7"/>
  <c r="K1929" i="7" s="1"/>
  <c r="O1929" i="7" s="1"/>
  <c r="H1929" i="7"/>
  <c r="I1929" i="7" s="1"/>
  <c r="G1929" i="7"/>
  <c r="M1928" i="7"/>
  <c r="L1928" i="7"/>
  <c r="J1928" i="7"/>
  <c r="K1928" i="7" s="1"/>
  <c r="O1928" i="7" s="1"/>
  <c r="H1928" i="7"/>
  <c r="I1928" i="7" s="1"/>
  <c r="G1928" i="7"/>
  <c r="N1928" i="7" s="1"/>
  <c r="N1927" i="7"/>
  <c r="M1927" i="7"/>
  <c r="L1927" i="7"/>
  <c r="J1927" i="7"/>
  <c r="K1927" i="7" s="1"/>
  <c r="O1927" i="7" s="1"/>
  <c r="H1927" i="7"/>
  <c r="I1927" i="7" s="1"/>
  <c r="G1927" i="7"/>
  <c r="N1926" i="7"/>
  <c r="M1926" i="7"/>
  <c r="L1926" i="7"/>
  <c r="J1926" i="7"/>
  <c r="K1926" i="7" s="1"/>
  <c r="O1926" i="7" s="1"/>
  <c r="H1926" i="7"/>
  <c r="I1926" i="7" s="1"/>
  <c r="G1926" i="7"/>
  <c r="N1925" i="7"/>
  <c r="M1925" i="7"/>
  <c r="L1925" i="7"/>
  <c r="J1925" i="7"/>
  <c r="K1925" i="7" s="1"/>
  <c r="O1925" i="7" s="1"/>
  <c r="H1925" i="7"/>
  <c r="I1925" i="7" s="1"/>
  <c r="G1925" i="7"/>
  <c r="M1924" i="7"/>
  <c r="L1924" i="7"/>
  <c r="J1924" i="7"/>
  <c r="K1924" i="7" s="1"/>
  <c r="O1924" i="7" s="1"/>
  <c r="H1924" i="7"/>
  <c r="I1924" i="7" s="1"/>
  <c r="G1924" i="7"/>
  <c r="N1924" i="7" s="1"/>
  <c r="N1923" i="7"/>
  <c r="M1923" i="7"/>
  <c r="L1923" i="7"/>
  <c r="J1923" i="7"/>
  <c r="K1923" i="7" s="1"/>
  <c r="O1923" i="7" s="1"/>
  <c r="H1923" i="7"/>
  <c r="I1923" i="7" s="1"/>
  <c r="G1923" i="7"/>
  <c r="N1922" i="7"/>
  <c r="M1922" i="7"/>
  <c r="L1922" i="7"/>
  <c r="J1922" i="7"/>
  <c r="K1922" i="7" s="1"/>
  <c r="O1922" i="7" s="1"/>
  <c r="H1922" i="7"/>
  <c r="I1922" i="7" s="1"/>
  <c r="G1922" i="7"/>
  <c r="N1921" i="7"/>
  <c r="M1921" i="7"/>
  <c r="L1921" i="7"/>
  <c r="J1921" i="7"/>
  <c r="K1921" i="7" s="1"/>
  <c r="O1921" i="7" s="1"/>
  <c r="H1921" i="7"/>
  <c r="I1921" i="7" s="1"/>
  <c r="G1921" i="7"/>
  <c r="M1920" i="7"/>
  <c r="L1920" i="7"/>
  <c r="J1920" i="7"/>
  <c r="K1920" i="7" s="1"/>
  <c r="O1920" i="7" s="1"/>
  <c r="H1920" i="7"/>
  <c r="I1920" i="7" s="1"/>
  <c r="G1920" i="7"/>
  <c r="N1920" i="7" s="1"/>
  <c r="N1919" i="7"/>
  <c r="M1919" i="7"/>
  <c r="L1919" i="7"/>
  <c r="J1919" i="7"/>
  <c r="K1919" i="7" s="1"/>
  <c r="O1919" i="7" s="1"/>
  <c r="H1919" i="7"/>
  <c r="I1919" i="7" s="1"/>
  <c r="G1919" i="7"/>
  <c r="M1918" i="7"/>
  <c r="L1918" i="7"/>
  <c r="J1918" i="7"/>
  <c r="K1918" i="7" s="1"/>
  <c r="O1918" i="7" s="1"/>
  <c r="H1918" i="7"/>
  <c r="I1918" i="7" s="1"/>
  <c r="G1918" i="7"/>
  <c r="N1918" i="7" s="1"/>
  <c r="N1917" i="7"/>
  <c r="M1917" i="7"/>
  <c r="L1917" i="7"/>
  <c r="J1917" i="7"/>
  <c r="K1917" i="7" s="1"/>
  <c r="O1917" i="7" s="1"/>
  <c r="H1917" i="7"/>
  <c r="I1917" i="7" s="1"/>
  <c r="G1917" i="7"/>
  <c r="M1916" i="7"/>
  <c r="L1916" i="7"/>
  <c r="J1916" i="7"/>
  <c r="K1916" i="7" s="1"/>
  <c r="O1916" i="7" s="1"/>
  <c r="H1916" i="7"/>
  <c r="I1916" i="7" s="1"/>
  <c r="G1916" i="7"/>
  <c r="N1916" i="7" s="1"/>
  <c r="N1915" i="7"/>
  <c r="M1915" i="7"/>
  <c r="L1915" i="7"/>
  <c r="J1915" i="7"/>
  <c r="K1915" i="7" s="1"/>
  <c r="O1915" i="7" s="1"/>
  <c r="H1915" i="7"/>
  <c r="I1915" i="7" s="1"/>
  <c r="G1915" i="7"/>
  <c r="M1914" i="7"/>
  <c r="L1914" i="7"/>
  <c r="J1914" i="7"/>
  <c r="K1914" i="7" s="1"/>
  <c r="O1914" i="7" s="1"/>
  <c r="H1914" i="7"/>
  <c r="I1914" i="7" s="1"/>
  <c r="G1914" i="7"/>
  <c r="N1914" i="7" s="1"/>
  <c r="N1913" i="7"/>
  <c r="M1913" i="7"/>
  <c r="L1913" i="7"/>
  <c r="J1913" i="7"/>
  <c r="K1913" i="7" s="1"/>
  <c r="O1913" i="7" s="1"/>
  <c r="H1913" i="7"/>
  <c r="I1913" i="7" s="1"/>
  <c r="G1913" i="7"/>
  <c r="M1912" i="7"/>
  <c r="L1912" i="7"/>
  <c r="J1912" i="7"/>
  <c r="K1912" i="7" s="1"/>
  <c r="O1912" i="7" s="1"/>
  <c r="H1912" i="7"/>
  <c r="I1912" i="7" s="1"/>
  <c r="G1912" i="7"/>
  <c r="N1912" i="7" s="1"/>
  <c r="N1911" i="7"/>
  <c r="M1911" i="7"/>
  <c r="L1911" i="7"/>
  <c r="J1911" i="7"/>
  <c r="K1911" i="7" s="1"/>
  <c r="O1911" i="7" s="1"/>
  <c r="H1911" i="7"/>
  <c r="I1911" i="7" s="1"/>
  <c r="G1911" i="7"/>
  <c r="M1910" i="7"/>
  <c r="L1910" i="7"/>
  <c r="J1910" i="7"/>
  <c r="K1910" i="7" s="1"/>
  <c r="O1910" i="7" s="1"/>
  <c r="H1910" i="7"/>
  <c r="I1910" i="7" s="1"/>
  <c r="G1910" i="7"/>
  <c r="N1910" i="7" s="1"/>
  <c r="N1909" i="7"/>
  <c r="M1909" i="7"/>
  <c r="L1909" i="7"/>
  <c r="J1909" i="7"/>
  <c r="K1909" i="7" s="1"/>
  <c r="O1909" i="7" s="1"/>
  <c r="H1909" i="7"/>
  <c r="I1909" i="7" s="1"/>
  <c r="G1909" i="7"/>
  <c r="M1908" i="7"/>
  <c r="L1908" i="7"/>
  <c r="J1908" i="7"/>
  <c r="K1908" i="7" s="1"/>
  <c r="O1908" i="7" s="1"/>
  <c r="H1908" i="7"/>
  <c r="I1908" i="7" s="1"/>
  <c r="G1908" i="7"/>
  <c r="N1908" i="7" s="1"/>
  <c r="N1907" i="7"/>
  <c r="M1907" i="7"/>
  <c r="L1907" i="7"/>
  <c r="J1907" i="7"/>
  <c r="K1907" i="7" s="1"/>
  <c r="O1907" i="7" s="1"/>
  <c r="H1907" i="7"/>
  <c r="I1907" i="7" s="1"/>
  <c r="G1907" i="7"/>
  <c r="M1906" i="7"/>
  <c r="L1906" i="7"/>
  <c r="J1906" i="7"/>
  <c r="K1906" i="7" s="1"/>
  <c r="O1906" i="7" s="1"/>
  <c r="H1906" i="7"/>
  <c r="I1906" i="7" s="1"/>
  <c r="G1906" i="7"/>
  <c r="N1906" i="7" s="1"/>
  <c r="N1905" i="7"/>
  <c r="M1905" i="7"/>
  <c r="L1905" i="7"/>
  <c r="J1905" i="7"/>
  <c r="K1905" i="7" s="1"/>
  <c r="O1905" i="7" s="1"/>
  <c r="H1905" i="7"/>
  <c r="I1905" i="7" s="1"/>
  <c r="G1905" i="7"/>
  <c r="M1904" i="7"/>
  <c r="L1904" i="7"/>
  <c r="J1904" i="7"/>
  <c r="K1904" i="7" s="1"/>
  <c r="O1904" i="7" s="1"/>
  <c r="H1904" i="7"/>
  <c r="I1904" i="7" s="1"/>
  <c r="G1904" i="7"/>
  <c r="N1904" i="7" s="1"/>
  <c r="N1903" i="7"/>
  <c r="M1903" i="7"/>
  <c r="L1903" i="7"/>
  <c r="J1903" i="7"/>
  <c r="K1903" i="7" s="1"/>
  <c r="O1903" i="7" s="1"/>
  <c r="H1903" i="7"/>
  <c r="I1903" i="7" s="1"/>
  <c r="G1903" i="7"/>
  <c r="M1902" i="7"/>
  <c r="L1902" i="7"/>
  <c r="J1902" i="7"/>
  <c r="K1902" i="7" s="1"/>
  <c r="O1902" i="7" s="1"/>
  <c r="H1902" i="7"/>
  <c r="I1902" i="7" s="1"/>
  <c r="G1902" i="7"/>
  <c r="N1902" i="7" s="1"/>
  <c r="N1901" i="7"/>
  <c r="M1901" i="7"/>
  <c r="L1901" i="7"/>
  <c r="J1901" i="7"/>
  <c r="K1901" i="7" s="1"/>
  <c r="O1901" i="7" s="1"/>
  <c r="H1901" i="7"/>
  <c r="I1901" i="7" s="1"/>
  <c r="G1901" i="7"/>
  <c r="M1900" i="7"/>
  <c r="L1900" i="7"/>
  <c r="J1900" i="7"/>
  <c r="K1900" i="7" s="1"/>
  <c r="O1900" i="7" s="1"/>
  <c r="H1900" i="7"/>
  <c r="I1900" i="7" s="1"/>
  <c r="G1900" i="7"/>
  <c r="N1900" i="7" s="1"/>
  <c r="N1899" i="7"/>
  <c r="M1899" i="7"/>
  <c r="L1899" i="7"/>
  <c r="J1899" i="7"/>
  <c r="K1899" i="7" s="1"/>
  <c r="O1899" i="7" s="1"/>
  <c r="H1899" i="7"/>
  <c r="I1899" i="7" s="1"/>
  <c r="G1899" i="7"/>
  <c r="M1898" i="7"/>
  <c r="L1898" i="7"/>
  <c r="J1898" i="7"/>
  <c r="K1898" i="7" s="1"/>
  <c r="O1898" i="7" s="1"/>
  <c r="H1898" i="7"/>
  <c r="I1898" i="7" s="1"/>
  <c r="G1898" i="7"/>
  <c r="N1898" i="7" s="1"/>
  <c r="M1897" i="7"/>
  <c r="L1897" i="7"/>
  <c r="J1897" i="7"/>
  <c r="K1897" i="7" s="1"/>
  <c r="O1897" i="7" s="1"/>
  <c r="H1897" i="7"/>
  <c r="I1897" i="7" s="1"/>
  <c r="G1897" i="7"/>
  <c r="N1897" i="7" s="1"/>
  <c r="M1896" i="7"/>
  <c r="L1896" i="7"/>
  <c r="J1896" i="7"/>
  <c r="K1896" i="7" s="1"/>
  <c r="O1896" i="7" s="1"/>
  <c r="H1896" i="7"/>
  <c r="I1896" i="7" s="1"/>
  <c r="G1896" i="7"/>
  <c r="N1896" i="7" s="1"/>
  <c r="N1895" i="7"/>
  <c r="M1895" i="7"/>
  <c r="L1895" i="7"/>
  <c r="J1895" i="7"/>
  <c r="K1895" i="7" s="1"/>
  <c r="O1895" i="7" s="1"/>
  <c r="H1895" i="7"/>
  <c r="I1895" i="7" s="1"/>
  <c r="G1895" i="7"/>
  <c r="M1894" i="7"/>
  <c r="L1894" i="7"/>
  <c r="J1894" i="7"/>
  <c r="K1894" i="7" s="1"/>
  <c r="O1894" i="7" s="1"/>
  <c r="H1894" i="7"/>
  <c r="I1894" i="7" s="1"/>
  <c r="G1894" i="7"/>
  <c r="N1894" i="7" s="1"/>
  <c r="M1893" i="7"/>
  <c r="L1893" i="7"/>
  <c r="J1893" i="7"/>
  <c r="K1893" i="7" s="1"/>
  <c r="O1893" i="7" s="1"/>
  <c r="H1893" i="7"/>
  <c r="I1893" i="7" s="1"/>
  <c r="G1893" i="7"/>
  <c r="N1893" i="7" s="1"/>
  <c r="M1892" i="7"/>
  <c r="L1892" i="7"/>
  <c r="J1892" i="7"/>
  <c r="K1892" i="7" s="1"/>
  <c r="O1892" i="7" s="1"/>
  <c r="H1892" i="7"/>
  <c r="I1892" i="7" s="1"/>
  <c r="G1892" i="7"/>
  <c r="N1892" i="7" s="1"/>
  <c r="N1891" i="7"/>
  <c r="M1891" i="7"/>
  <c r="L1891" i="7"/>
  <c r="J1891" i="7"/>
  <c r="K1891" i="7" s="1"/>
  <c r="O1891" i="7" s="1"/>
  <c r="H1891" i="7"/>
  <c r="I1891" i="7" s="1"/>
  <c r="G1891" i="7"/>
  <c r="M1890" i="7"/>
  <c r="L1890" i="7"/>
  <c r="J1890" i="7"/>
  <c r="K1890" i="7" s="1"/>
  <c r="O1890" i="7" s="1"/>
  <c r="H1890" i="7"/>
  <c r="I1890" i="7" s="1"/>
  <c r="G1890" i="7"/>
  <c r="N1890" i="7" s="1"/>
  <c r="M1889" i="7"/>
  <c r="L1889" i="7"/>
  <c r="J1889" i="7"/>
  <c r="K1889" i="7" s="1"/>
  <c r="O1889" i="7" s="1"/>
  <c r="H1889" i="7"/>
  <c r="I1889" i="7" s="1"/>
  <c r="G1889" i="7"/>
  <c r="N1889" i="7" s="1"/>
  <c r="M1888" i="7"/>
  <c r="L1888" i="7"/>
  <c r="J1888" i="7"/>
  <c r="K1888" i="7" s="1"/>
  <c r="O1888" i="7" s="1"/>
  <c r="H1888" i="7"/>
  <c r="I1888" i="7" s="1"/>
  <c r="G1888" i="7"/>
  <c r="N1888" i="7" s="1"/>
  <c r="N1887" i="7"/>
  <c r="M1887" i="7"/>
  <c r="L1887" i="7"/>
  <c r="J1887" i="7"/>
  <c r="K1887" i="7" s="1"/>
  <c r="O1887" i="7" s="1"/>
  <c r="H1887" i="7"/>
  <c r="I1887" i="7" s="1"/>
  <c r="G1887" i="7"/>
  <c r="M1886" i="7"/>
  <c r="L1886" i="7"/>
  <c r="J1886" i="7"/>
  <c r="K1886" i="7" s="1"/>
  <c r="O1886" i="7" s="1"/>
  <c r="H1886" i="7"/>
  <c r="I1886" i="7" s="1"/>
  <c r="G1886" i="7"/>
  <c r="N1886" i="7" s="1"/>
  <c r="M1885" i="7"/>
  <c r="L1885" i="7"/>
  <c r="J1885" i="7"/>
  <c r="K1885" i="7" s="1"/>
  <c r="O1885" i="7" s="1"/>
  <c r="H1885" i="7"/>
  <c r="I1885" i="7" s="1"/>
  <c r="G1885" i="7"/>
  <c r="N1885" i="7" s="1"/>
  <c r="M1884" i="7"/>
  <c r="L1884" i="7"/>
  <c r="J1884" i="7"/>
  <c r="K1884" i="7" s="1"/>
  <c r="O1884" i="7" s="1"/>
  <c r="H1884" i="7"/>
  <c r="I1884" i="7" s="1"/>
  <c r="G1884" i="7"/>
  <c r="N1884" i="7" s="1"/>
  <c r="N1883" i="7"/>
  <c r="M1883" i="7"/>
  <c r="L1883" i="7"/>
  <c r="J1883" i="7"/>
  <c r="K1883" i="7" s="1"/>
  <c r="O1883" i="7" s="1"/>
  <c r="H1883" i="7"/>
  <c r="I1883" i="7" s="1"/>
  <c r="G1883" i="7"/>
  <c r="M1882" i="7"/>
  <c r="L1882" i="7"/>
  <c r="J1882" i="7"/>
  <c r="K1882" i="7" s="1"/>
  <c r="O1882" i="7" s="1"/>
  <c r="H1882" i="7"/>
  <c r="I1882" i="7" s="1"/>
  <c r="G1882" i="7"/>
  <c r="N1882" i="7" s="1"/>
  <c r="M1881" i="7"/>
  <c r="L1881" i="7"/>
  <c r="J1881" i="7"/>
  <c r="K1881" i="7" s="1"/>
  <c r="O1881" i="7" s="1"/>
  <c r="H1881" i="7"/>
  <c r="I1881" i="7" s="1"/>
  <c r="G1881" i="7"/>
  <c r="N1881" i="7" s="1"/>
  <c r="M1880" i="7"/>
  <c r="L1880" i="7"/>
  <c r="J1880" i="7"/>
  <c r="K1880" i="7" s="1"/>
  <c r="O1880" i="7" s="1"/>
  <c r="H1880" i="7"/>
  <c r="I1880" i="7" s="1"/>
  <c r="G1880" i="7"/>
  <c r="N1880" i="7" s="1"/>
  <c r="N1879" i="7"/>
  <c r="M1879" i="7"/>
  <c r="L1879" i="7"/>
  <c r="J1879" i="7"/>
  <c r="K1879" i="7" s="1"/>
  <c r="O1879" i="7" s="1"/>
  <c r="H1879" i="7"/>
  <c r="I1879" i="7" s="1"/>
  <c r="G1879" i="7"/>
  <c r="M1878" i="7"/>
  <c r="L1878" i="7"/>
  <c r="J1878" i="7"/>
  <c r="K1878" i="7" s="1"/>
  <c r="O1878" i="7" s="1"/>
  <c r="H1878" i="7"/>
  <c r="I1878" i="7" s="1"/>
  <c r="G1878" i="7"/>
  <c r="N1878" i="7" s="1"/>
  <c r="M1877" i="7"/>
  <c r="L1877" i="7"/>
  <c r="J1877" i="7"/>
  <c r="K1877" i="7" s="1"/>
  <c r="O1877" i="7" s="1"/>
  <c r="H1877" i="7"/>
  <c r="I1877" i="7" s="1"/>
  <c r="G1877" i="7"/>
  <c r="N1877" i="7" s="1"/>
  <c r="M1876" i="7"/>
  <c r="L1876" i="7"/>
  <c r="J1876" i="7"/>
  <c r="K1876" i="7" s="1"/>
  <c r="O1876" i="7" s="1"/>
  <c r="H1876" i="7"/>
  <c r="I1876" i="7" s="1"/>
  <c r="G1876" i="7"/>
  <c r="N1876" i="7" s="1"/>
  <c r="N1875" i="7"/>
  <c r="M1875" i="7"/>
  <c r="L1875" i="7"/>
  <c r="J1875" i="7"/>
  <c r="K1875" i="7" s="1"/>
  <c r="O1875" i="7" s="1"/>
  <c r="H1875" i="7"/>
  <c r="I1875" i="7" s="1"/>
  <c r="G1875" i="7"/>
  <c r="M1874" i="7"/>
  <c r="L1874" i="7"/>
  <c r="J1874" i="7"/>
  <c r="K1874" i="7" s="1"/>
  <c r="O1874" i="7" s="1"/>
  <c r="H1874" i="7"/>
  <c r="I1874" i="7" s="1"/>
  <c r="G1874" i="7"/>
  <c r="N1874" i="7" s="1"/>
  <c r="M1873" i="7"/>
  <c r="L1873" i="7"/>
  <c r="J1873" i="7"/>
  <c r="K1873" i="7" s="1"/>
  <c r="O1873" i="7" s="1"/>
  <c r="H1873" i="7"/>
  <c r="I1873" i="7" s="1"/>
  <c r="G1873" i="7"/>
  <c r="N1873" i="7" s="1"/>
  <c r="M1872" i="7"/>
  <c r="L1872" i="7"/>
  <c r="J1872" i="7"/>
  <c r="K1872" i="7" s="1"/>
  <c r="O1872" i="7" s="1"/>
  <c r="H1872" i="7"/>
  <c r="I1872" i="7" s="1"/>
  <c r="G1872" i="7"/>
  <c r="N1872" i="7" s="1"/>
  <c r="N1871" i="7"/>
  <c r="M1871" i="7"/>
  <c r="L1871" i="7"/>
  <c r="J1871" i="7"/>
  <c r="K1871" i="7" s="1"/>
  <c r="O1871" i="7" s="1"/>
  <c r="H1871" i="7"/>
  <c r="I1871" i="7" s="1"/>
  <c r="G1871" i="7"/>
  <c r="M1870" i="7"/>
  <c r="L1870" i="7"/>
  <c r="J1870" i="7"/>
  <c r="K1870" i="7" s="1"/>
  <c r="O1870" i="7" s="1"/>
  <c r="H1870" i="7"/>
  <c r="I1870" i="7" s="1"/>
  <c r="G1870" i="7"/>
  <c r="N1870" i="7" s="1"/>
  <c r="M1869" i="7"/>
  <c r="L1869" i="7"/>
  <c r="J1869" i="7"/>
  <c r="K1869" i="7" s="1"/>
  <c r="O1869" i="7" s="1"/>
  <c r="H1869" i="7"/>
  <c r="I1869" i="7" s="1"/>
  <c r="G1869" i="7"/>
  <c r="N1869" i="7" s="1"/>
  <c r="M1868" i="7"/>
  <c r="L1868" i="7"/>
  <c r="J1868" i="7"/>
  <c r="K1868" i="7" s="1"/>
  <c r="O1868" i="7" s="1"/>
  <c r="H1868" i="7"/>
  <c r="I1868" i="7" s="1"/>
  <c r="G1868" i="7"/>
  <c r="N1868" i="7" s="1"/>
  <c r="N1867" i="7"/>
  <c r="M1867" i="7"/>
  <c r="L1867" i="7"/>
  <c r="J1867" i="7"/>
  <c r="K1867" i="7" s="1"/>
  <c r="O1867" i="7" s="1"/>
  <c r="H1867" i="7"/>
  <c r="I1867" i="7" s="1"/>
  <c r="G1867" i="7"/>
  <c r="M1866" i="7"/>
  <c r="L1866" i="7"/>
  <c r="J1866" i="7"/>
  <c r="K1866" i="7" s="1"/>
  <c r="O1866" i="7" s="1"/>
  <c r="H1866" i="7"/>
  <c r="I1866" i="7" s="1"/>
  <c r="G1866" i="7"/>
  <c r="N1866" i="7" s="1"/>
  <c r="M1865" i="7"/>
  <c r="L1865" i="7"/>
  <c r="J1865" i="7"/>
  <c r="K1865" i="7" s="1"/>
  <c r="O1865" i="7" s="1"/>
  <c r="H1865" i="7"/>
  <c r="I1865" i="7" s="1"/>
  <c r="G1865" i="7"/>
  <c r="N1865" i="7" s="1"/>
  <c r="M1864" i="7"/>
  <c r="L1864" i="7"/>
  <c r="J1864" i="7"/>
  <c r="K1864" i="7" s="1"/>
  <c r="O1864" i="7" s="1"/>
  <c r="H1864" i="7"/>
  <c r="I1864" i="7" s="1"/>
  <c r="G1864" i="7"/>
  <c r="N1864" i="7" s="1"/>
  <c r="N1863" i="7"/>
  <c r="M1863" i="7"/>
  <c r="L1863" i="7"/>
  <c r="J1863" i="7"/>
  <c r="K1863" i="7" s="1"/>
  <c r="O1863" i="7" s="1"/>
  <c r="H1863" i="7"/>
  <c r="I1863" i="7" s="1"/>
  <c r="G1863" i="7"/>
  <c r="M1862" i="7"/>
  <c r="L1862" i="7"/>
  <c r="J1862" i="7"/>
  <c r="K1862" i="7" s="1"/>
  <c r="O1862" i="7" s="1"/>
  <c r="H1862" i="7"/>
  <c r="I1862" i="7" s="1"/>
  <c r="G1862" i="7"/>
  <c r="N1862" i="7" s="1"/>
  <c r="M1861" i="7"/>
  <c r="L1861" i="7"/>
  <c r="J1861" i="7"/>
  <c r="K1861" i="7" s="1"/>
  <c r="O1861" i="7" s="1"/>
  <c r="H1861" i="7"/>
  <c r="I1861" i="7" s="1"/>
  <c r="G1861" i="7"/>
  <c r="N1861" i="7" s="1"/>
  <c r="M1860" i="7"/>
  <c r="L1860" i="7"/>
  <c r="J1860" i="7"/>
  <c r="K1860" i="7" s="1"/>
  <c r="O1860" i="7" s="1"/>
  <c r="H1860" i="7"/>
  <c r="I1860" i="7" s="1"/>
  <c r="G1860" i="7"/>
  <c r="N1860" i="7" s="1"/>
  <c r="N1859" i="7"/>
  <c r="M1859" i="7"/>
  <c r="L1859" i="7"/>
  <c r="J1859" i="7"/>
  <c r="K1859" i="7" s="1"/>
  <c r="O1859" i="7" s="1"/>
  <c r="H1859" i="7"/>
  <c r="I1859" i="7" s="1"/>
  <c r="G1859" i="7"/>
  <c r="M1858" i="7"/>
  <c r="L1858" i="7"/>
  <c r="J1858" i="7"/>
  <c r="K1858" i="7" s="1"/>
  <c r="O1858" i="7" s="1"/>
  <c r="H1858" i="7"/>
  <c r="I1858" i="7" s="1"/>
  <c r="G1858" i="7"/>
  <c r="N1858" i="7" s="1"/>
  <c r="M1857" i="7"/>
  <c r="L1857" i="7"/>
  <c r="J1857" i="7"/>
  <c r="K1857" i="7" s="1"/>
  <c r="O1857" i="7" s="1"/>
  <c r="H1857" i="7"/>
  <c r="I1857" i="7" s="1"/>
  <c r="G1857" i="7"/>
  <c r="N1857" i="7" s="1"/>
  <c r="M1856" i="7"/>
  <c r="L1856" i="7"/>
  <c r="J1856" i="7"/>
  <c r="K1856" i="7" s="1"/>
  <c r="O1856" i="7" s="1"/>
  <c r="H1856" i="7"/>
  <c r="I1856" i="7" s="1"/>
  <c r="G1856" i="7"/>
  <c r="N1856" i="7" s="1"/>
  <c r="N1855" i="7"/>
  <c r="M1855" i="7"/>
  <c r="L1855" i="7"/>
  <c r="J1855" i="7"/>
  <c r="K1855" i="7" s="1"/>
  <c r="O1855" i="7" s="1"/>
  <c r="H1855" i="7"/>
  <c r="I1855" i="7" s="1"/>
  <c r="G1855" i="7"/>
  <c r="M1854" i="7"/>
  <c r="L1854" i="7"/>
  <c r="J1854" i="7"/>
  <c r="K1854" i="7" s="1"/>
  <c r="O1854" i="7" s="1"/>
  <c r="H1854" i="7"/>
  <c r="I1854" i="7" s="1"/>
  <c r="G1854" i="7"/>
  <c r="N1854" i="7" s="1"/>
  <c r="M1853" i="7"/>
  <c r="L1853" i="7"/>
  <c r="J1853" i="7"/>
  <c r="K1853" i="7" s="1"/>
  <c r="O1853" i="7" s="1"/>
  <c r="H1853" i="7"/>
  <c r="I1853" i="7" s="1"/>
  <c r="G1853" i="7"/>
  <c r="N1853" i="7" s="1"/>
  <c r="M1852" i="7"/>
  <c r="L1852" i="7"/>
  <c r="J1852" i="7"/>
  <c r="K1852" i="7" s="1"/>
  <c r="O1852" i="7" s="1"/>
  <c r="H1852" i="7"/>
  <c r="I1852" i="7" s="1"/>
  <c r="G1852" i="7"/>
  <c r="N1852" i="7" s="1"/>
  <c r="N1851" i="7"/>
  <c r="M1851" i="7"/>
  <c r="L1851" i="7"/>
  <c r="J1851" i="7"/>
  <c r="K1851" i="7" s="1"/>
  <c r="O1851" i="7" s="1"/>
  <c r="H1851" i="7"/>
  <c r="I1851" i="7" s="1"/>
  <c r="G1851" i="7"/>
  <c r="M1850" i="7"/>
  <c r="L1850" i="7"/>
  <c r="J1850" i="7"/>
  <c r="K1850" i="7" s="1"/>
  <c r="O1850" i="7" s="1"/>
  <c r="H1850" i="7"/>
  <c r="I1850" i="7" s="1"/>
  <c r="G1850" i="7"/>
  <c r="N1850" i="7" s="1"/>
  <c r="N1849" i="7"/>
  <c r="M1849" i="7"/>
  <c r="L1849" i="7"/>
  <c r="J1849" i="7"/>
  <c r="K1849" i="7" s="1"/>
  <c r="O1849" i="7" s="1"/>
  <c r="H1849" i="7"/>
  <c r="I1849" i="7" s="1"/>
  <c r="G1849" i="7"/>
  <c r="M1848" i="7"/>
  <c r="L1848" i="7"/>
  <c r="J1848" i="7"/>
  <c r="K1848" i="7" s="1"/>
  <c r="O1848" i="7" s="1"/>
  <c r="H1848" i="7"/>
  <c r="I1848" i="7" s="1"/>
  <c r="G1848" i="7"/>
  <c r="N1848" i="7" s="1"/>
  <c r="N1847" i="7"/>
  <c r="M1847" i="7"/>
  <c r="L1847" i="7"/>
  <c r="J1847" i="7"/>
  <c r="K1847" i="7" s="1"/>
  <c r="O1847" i="7" s="1"/>
  <c r="H1847" i="7"/>
  <c r="I1847" i="7" s="1"/>
  <c r="G1847" i="7"/>
  <c r="M1846" i="7"/>
  <c r="L1846" i="7"/>
  <c r="J1846" i="7"/>
  <c r="K1846" i="7" s="1"/>
  <c r="O1846" i="7" s="1"/>
  <c r="H1846" i="7"/>
  <c r="I1846" i="7" s="1"/>
  <c r="G1846" i="7"/>
  <c r="N1846" i="7" s="1"/>
  <c r="N1845" i="7"/>
  <c r="M1845" i="7"/>
  <c r="L1845" i="7"/>
  <c r="J1845" i="7"/>
  <c r="K1845" i="7" s="1"/>
  <c r="O1845" i="7" s="1"/>
  <c r="H1845" i="7"/>
  <c r="I1845" i="7" s="1"/>
  <c r="G1845" i="7"/>
  <c r="M1844" i="7"/>
  <c r="L1844" i="7"/>
  <c r="J1844" i="7"/>
  <c r="K1844" i="7" s="1"/>
  <c r="O1844" i="7" s="1"/>
  <c r="H1844" i="7"/>
  <c r="I1844" i="7" s="1"/>
  <c r="G1844" i="7"/>
  <c r="N1844" i="7" s="1"/>
  <c r="N1843" i="7"/>
  <c r="M1843" i="7"/>
  <c r="L1843" i="7"/>
  <c r="J1843" i="7"/>
  <c r="K1843" i="7" s="1"/>
  <c r="O1843" i="7" s="1"/>
  <c r="H1843" i="7"/>
  <c r="I1843" i="7" s="1"/>
  <c r="G1843" i="7"/>
  <c r="M1842" i="7"/>
  <c r="L1842" i="7"/>
  <c r="J1842" i="7"/>
  <c r="K1842" i="7" s="1"/>
  <c r="O1842" i="7" s="1"/>
  <c r="H1842" i="7"/>
  <c r="I1842" i="7" s="1"/>
  <c r="G1842" i="7"/>
  <c r="N1842" i="7" s="1"/>
  <c r="N1841" i="7"/>
  <c r="M1841" i="7"/>
  <c r="L1841" i="7"/>
  <c r="J1841" i="7"/>
  <c r="K1841" i="7" s="1"/>
  <c r="O1841" i="7" s="1"/>
  <c r="H1841" i="7"/>
  <c r="I1841" i="7" s="1"/>
  <c r="G1841" i="7"/>
  <c r="M1840" i="7"/>
  <c r="L1840" i="7"/>
  <c r="J1840" i="7"/>
  <c r="K1840" i="7" s="1"/>
  <c r="O1840" i="7" s="1"/>
  <c r="H1840" i="7"/>
  <c r="I1840" i="7" s="1"/>
  <c r="G1840" i="7"/>
  <c r="N1840" i="7" s="1"/>
  <c r="N1839" i="7"/>
  <c r="M1839" i="7"/>
  <c r="L1839" i="7"/>
  <c r="J1839" i="7"/>
  <c r="K1839" i="7" s="1"/>
  <c r="O1839" i="7" s="1"/>
  <c r="H1839" i="7"/>
  <c r="I1839" i="7" s="1"/>
  <c r="G1839" i="7"/>
  <c r="M1838" i="7"/>
  <c r="L1838" i="7"/>
  <c r="J1838" i="7"/>
  <c r="K1838" i="7" s="1"/>
  <c r="O1838" i="7" s="1"/>
  <c r="H1838" i="7"/>
  <c r="I1838" i="7" s="1"/>
  <c r="G1838" i="7"/>
  <c r="N1838" i="7" s="1"/>
  <c r="N1837" i="7"/>
  <c r="M1837" i="7"/>
  <c r="L1837" i="7"/>
  <c r="J1837" i="7"/>
  <c r="K1837" i="7" s="1"/>
  <c r="O1837" i="7" s="1"/>
  <c r="H1837" i="7"/>
  <c r="I1837" i="7" s="1"/>
  <c r="G1837" i="7"/>
  <c r="M1836" i="7"/>
  <c r="L1836" i="7"/>
  <c r="J1836" i="7"/>
  <c r="K1836" i="7" s="1"/>
  <c r="O1836" i="7" s="1"/>
  <c r="H1836" i="7"/>
  <c r="I1836" i="7" s="1"/>
  <c r="G1836" i="7"/>
  <c r="N1836" i="7" s="1"/>
  <c r="N1835" i="7"/>
  <c r="M1835" i="7"/>
  <c r="L1835" i="7"/>
  <c r="J1835" i="7"/>
  <c r="K1835" i="7" s="1"/>
  <c r="O1835" i="7" s="1"/>
  <c r="H1835" i="7"/>
  <c r="I1835" i="7" s="1"/>
  <c r="G1835" i="7"/>
  <c r="M1834" i="7"/>
  <c r="L1834" i="7"/>
  <c r="J1834" i="7"/>
  <c r="K1834" i="7" s="1"/>
  <c r="O1834" i="7" s="1"/>
  <c r="H1834" i="7"/>
  <c r="I1834" i="7" s="1"/>
  <c r="G1834" i="7"/>
  <c r="N1834" i="7" s="1"/>
  <c r="N1833" i="7"/>
  <c r="M1833" i="7"/>
  <c r="L1833" i="7"/>
  <c r="J1833" i="7"/>
  <c r="K1833" i="7" s="1"/>
  <c r="O1833" i="7" s="1"/>
  <c r="H1833" i="7"/>
  <c r="I1833" i="7" s="1"/>
  <c r="G1833" i="7"/>
  <c r="M1832" i="7"/>
  <c r="L1832" i="7"/>
  <c r="J1832" i="7"/>
  <c r="K1832" i="7" s="1"/>
  <c r="O1832" i="7" s="1"/>
  <c r="H1832" i="7"/>
  <c r="I1832" i="7" s="1"/>
  <c r="G1832" i="7"/>
  <c r="N1832" i="7" s="1"/>
  <c r="N1831" i="7"/>
  <c r="M1831" i="7"/>
  <c r="L1831" i="7"/>
  <c r="J1831" i="7"/>
  <c r="K1831" i="7" s="1"/>
  <c r="O1831" i="7" s="1"/>
  <c r="H1831" i="7"/>
  <c r="I1831" i="7" s="1"/>
  <c r="G1831" i="7"/>
  <c r="M1830" i="7"/>
  <c r="L1830" i="7"/>
  <c r="J1830" i="7"/>
  <c r="K1830" i="7" s="1"/>
  <c r="O1830" i="7" s="1"/>
  <c r="H1830" i="7"/>
  <c r="I1830" i="7" s="1"/>
  <c r="G1830" i="7"/>
  <c r="N1830" i="7" s="1"/>
  <c r="N1829" i="7"/>
  <c r="M1829" i="7"/>
  <c r="L1829" i="7"/>
  <c r="J1829" i="7"/>
  <c r="K1829" i="7" s="1"/>
  <c r="O1829" i="7" s="1"/>
  <c r="H1829" i="7"/>
  <c r="I1829" i="7" s="1"/>
  <c r="G1829" i="7"/>
  <c r="M1828" i="7"/>
  <c r="L1828" i="7"/>
  <c r="J1828" i="7"/>
  <c r="K1828" i="7" s="1"/>
  <c r="O1828" i="7" s="1"/>
  <c r="H1828" i="7"/>
  <c r="I1828" i="7" s="1"/>
  <c r="G1828" i="7"/>
  <c r="N1828" i="7" s="1"/>
  <c r="N1827" i="7"/>
  <c r="M1827" i="7"/>
  <c r="L1827" i="7"/>
  <c r="J1827" i="7"/>
  <c r="K1827" i="7" s="1"/>
  <c r="O1827" i="7" s="1"/>
  <c r="H1827" i="7"/>
  <c r="I1827" i="7" s="1"/>
  <c r="G1827" i="7"/>
  <c r="M1826" i="7"/>
  <c r="L1826" i="7"/>
  <c r="J1826" i="7"/>
  <c r="K1826" i="7" s="1"/>
  <c r="O1826" i="7" s="1"/>
  <c r="H1826" i="7"/>
  <c r="I1826" i="7" s="1"/>
  <c r="G1826" i="7"/>
  <c r="N1826" i="7" s="1"/>
  <c r="N1825" i="7"/>
  <c r="M1825" i="7"/>
  <c r="L1825" i="7"/>
  <c r="J1825" i="7"/>
  <c r="K1825" i="7" s="1"/>
  <c r="O1825" i="7" s="1"/>
  <c r="H1825" i="7"/>
  <c r="I1825" i="7" s="1"/>
  <c r="G1825" i="7"/>
  <c r="M1824" i="7"/>
  <c r="L1824" i="7"/>
  <c r="J1824" i="7"/>
  <c r="K1824" i="7" s="1"/>
  <c r="O1824" i="7" s="1"/>
  <c r="H1824" i="7"/>
  <c r="I1824" i="7" s="1"/>
  <c r="G1824" i="7"/>
  <c r="N1824" i="7" s="1"/>
  <c r="N1823" i="7"/>
  <c r="M1823" i="7"/>
  <c r="L1823" i="7"/>
  <c r="J1823" i="7"/>
  <c r="K1823" i="7" s="1"/>
  <c r="O1823" i="7" s="1"/>
  <c r="H1823" i="7"/>
  <c r="I1823" i="7" s="1"/>
  <c r="G1823" i="7"/>
  <c r="M1822" i="7"/>
  <c r="L1822" i="7"/>
  <c r="J1822" i="7"/>
  <c r="K1822" i="7" s="1"/>
  <c r="O1822" i="7" s="1"/>
  <c r="H1822" i="7"/>
  <c r="I1822" i="7" s="1"/>
  <c r="G1822" i="7"/>
  <c r="N1822" i="7" s="1"/>
  <c r="N1821" i="7"/>
  <c r="M1821" i="7"/>
  <c r="L1821" i="7"/>
  <c r="J1821" i="7"/>
  <c r="K1821" i="7" s="1"/>
  <c r="O1821" i="7" s="1"/>
  <c r="H1821" i="7"/>
  <c r="I1821" i="7" s="1"/>
  <c r="G1821" i="7"/>
  <c r="M1820" i="7"/>
  <c r="L1820" i="7"/>
  <c r="J1820" i="7"/>
  <c r="K1820" i="7" s="1"/>
  <c r="O1820" i="7" s="1"/>
  <c r="H1820" i="7"/>
  <c r="I1820" i="7" s="1"/>
  <c r="G1820" i="7"/>
  <c r="N1820" i="7" s="1"/>
  <c r="N1819" i="7"/>
  <c r="M1819" i="7"/>
  <c r="L1819" i="7"/>
  <c r="J1819" i="7"/>
  <c r="K1819" i="7" s="1"/>
  <c r="O1819" i="7" s="1"/>
  <c r="H1819" i="7"/>
  <c r="I1819" i="7" s="1"/>
  <c r="G1819" i="7"/>
  <c r="M1818" i="7"/>
  <c r="L1818" i="7"/>
  <c r="J1818" i="7"/>
  <c r="K1818" i="7" s="1"/>
  <c r="O1818" i="7" s="1"/>
  <c r="H1818" i="7"/>
  <c r="I1818" i="7" s="1"/>
  <c r="G1818" i="7"/>
  <c r="N1818" i="7" s="1"/>
  <c r="N1817" i="7"/>
  <c r="M1817" i="7"/>
  <c r="L1817" i="7"/>
  <c r="J1817" i="7"/>
  <c r="K1817" i="7" s="1"/>
  <c r="O1817" i="7" s="1"/>
  <c r="H1817" i="7"/>
  <c r="I1817" i="7" s="1"/>
  <c r="G1817" i="7"/>
  <c r="M1816" i="7"/>
  <c r="L1816" i="7"/>
  <c r="J1816" i="7"/>
  <c r="K1816" i="7" s="1"/>
  <c r="O1816" i="7" s="1"/>
  <c r="H1816" i="7"/>
  <c r="I1816" i="7" s="1"/>
  <c r="G1816" i="7"/>
  <c r="N1816" i="7" s="1"/>
  <c r="N1815" i="7"/>
  <c r="M1815" i="7"/>
  <c r="L1815" i="7"/>
  <c r="J1815" i="7"/>
  <c r="K1815" i="7" s="1"/>
  <c r="O1815" i="7" s="1"/>
  <c r="H1815" i="7"/>
  <c r="I1815" i="7" s="1"/>
  <c r="G1815" i="7"/>
  <c r="M1814" i="7"/>
  <c r="L1814" i="7"/>
  <c r="J1814" i="7"/>
  <c r="K1814" i="7" s="1"/>
  <c r="O1814" i="7" s="1"/>
  <c r="H1814" i="7"/>
  <c r="I1814" i="7" s="1"/>
  <c r="G1814" i="7"/>
  <c r="N1814" i="7" s="1"/>
  <c r="N1813" i="7"/>
  <c r="M1813" i="7"/>
  <c r="L1813" i="7"/>
  <c r="J1813" i="7"/>
  <c r="K1813" i="7" s="1"/>
  <c r="O1813" i="7" s="1"/>
  <c r="H1813" i="7"/>
  <c r="I1813" i="7" s="1"/>
  <c r="G1813" i="7"/>
  <c r="M1812" i="7"/>
  <c r="L1812" i="7"/>
  <c r="J1812" i="7"/>
  <c r="K1812" i="7" s="1"/>
  <c r="O1812" i="7" s="1"/>
  <c r="H1812" i="7"/>
  <c r="I1812" i="7" s="1"/>
  <c r="G1812" i="7"/>
  <c r="N1812" i="7" s="1"/>
  <c r="N1811" i="7"/>
  <c r="M1811" i="7"/>
  <c r="L1811" i="7"/>
  <c r="J1811" i="7"/>
  <c r="K1811" i="7" s="1"/>
  <c r="O1811" i="7" s="1"/>
  <c r="H1811" i="7"/>
  <c r="I1811" i="7" s="1"/>
  <c r="G1811" i="7"/>
  <c r="M1810" i="7"/>
  <c r="L1810" i="7"/>
  <c r="J1810" i="7"/>
  <c r="K1810" i="7" s="1"/>
  <c r="O1810" i="7" s="1"/>
  <c r="H1810" i="7"/>
  <c r="I1810" i="7" s="1"/>
  <c r="G1810" i="7"/>
  <c r="N1810" i="7" s="1"/>
  <c r="N1809" i="7"/>
  <c r="M1809" i="7"/>
  <c r="L1809" i="7"/>
  <c r="J1809" i="7"/>
  <c r="K1809" i="7" s="1"/>
  <c r="O1809" i="7" s="1"/>
  <c r="H1809" i="7"/>
  <c r="I1809" i="7" s="1"/>
  <c r="G1809" i="7"/>
  <c r="M1808" i="7"/>
  <c r="L1808" i="7"/>
  <c r="J1808" i="7"/>
  <c r="K1808" i="7" s="1"/>
  <c r="O1808" i="7" s="1"/>
  <c r="H1808" i="7"/>
  <c r="I1808" i="7" s="1"/>
  <c r="G1808" i="7"/>
  <c r="N1808" i="7" s="1"/>
  <c r="N1807" i="7"/>
  <c r="M1807" i="7"/>
  <c r="L1807" i="7"/>
  <c r="J1807" i="7"/>
  <c r="K1807" i="7" s="1"/>
  <c r="O1807" i="7" s="1"/>
  <c r="H1807" i="7"/>
  <c r="I1807" i="7" s="1"/>
  <c r="G1807" i="7"/>
  <c r="M1806" i="7"/>
  <c r="L1806" i="7"/>
  <c r="J1806" i="7"/>
  <c r="K1806" i="7" s="1"/>
  <c r="O1806" i="7" s="1"/>
  <c r="H1806" i="7"/>
  <c r="I1806" i="7" s="1"/>
  <c r="G1806" i="7"/>
  <c r="N1806" i="7" s="1"/>
  <c r="N1805" i="7"/>
  <c r="M1805" i="7"/>
  <c r="L1805" i="7"/>
  <c r="J1805" i="7"/>
  <c r="K1805" i="7" s="1"/>
  <c r="O1805" i="7" s="1"/>
  <c r="H1805" i="7"/>
  <c r="I1805" i="7" s="1"/>
  <c r="G1805" i="7"/>
  <c r="M1804" i="7"/>
  <c r="L1804" i="7"/>
  <c r="J1804" i="7"/>
  <c r="K1804" i="7" s="1"/>
  <c r="O1804" i="7" s="1"/>
  <c r="H1804" i="7"/>
  <c r="I1804" i="7" s="1"/>
  <c r="G1804" i="7"/>
  <c r="N1804" i="7" s="1"/>
  <c r="N1803" i="7"/>
  <c r="M1803" i="7"/>
  <c r="L1803" i="7"/>
  <c r="J1803" i="7"/>
  <c r="K1803" i="7" s="1"/>
  <c r="O1803" i="7" s="1"/>
  <c r="H1803" i="7"/>
  <c r="I1803" i="7" s="1"/>
  <c r="G1803" i="7"/>
  <c r="M1802" i="7"/>
  <c r="L1802" i="7"/>
  <c r="J1802" i="7"/>
  <c r="K1802" i="7" s="1"/>
  <c r="O1802" i="7" s="1"/>
  <c r="H1802" i="7"/>
  <c r="I1802" i="7" s="1"/>
  <c r="G1802" i="7"/>
  <c r="N1802" i="7" s="1"/>
  <c r="N1801" i="7"/>
  <c r="M1801" i="7"/>
  <c r="L1801" i="7"/>
  <c r="J1801" i="7"/>
  <c r="K1801" i="7" s="1"/>
  <c r="O1801" i="7" s="1"/>
  <c r="H1801" i="7"/>
  <c r="I1801" i="7" s="1"/>
  <c r="G1801" i="7"/>
  <c r="M1800" i="7"/>
  <c r="L1800" i="7"/>
  <c r="J1800" i="7"/>
  <c r="K1800" i="7" s="1"/>
  <c r="O1800" i="7" s="1"/>
  <c r="H1800" i="7"/>
  <c r="I1800" i="7" s="1"/>
  <c r="G1800" i="7"/>
  <c r="N1800" i="7" s="1"/>
  <c r="N1799" i="7"/>
  <c r="M1799" i="7"/>
  <c r="L1799" i="7"/>
  <c r="J1799" i="7"/>
  <c r="K1799" i="7" s="1"/>
  <c r="O1799" i="7" s="1"/>
  <c r="H1799" i="7"/>
  <c r="I1799" i="7" s="1"/>
  <c r="G1799" i="7"/>
  <c r="M1798" i="7"/>
  <c r="L1798" i="7"/>
  <c r="J1798" i="7"/>
  <c r="K1798" i="7" s="1"/>
  <c r="O1798" i="7" s="1"/>
  <c r="H1798" i="7"/>
  <c r="I1798" i="7" s="1"/>
  <c r="G1798" i="7"/>
  <c r="N1798" i="7" s="1"/>
  <c r="N1797" i="7"/>
  <c r="M1797" i="7"/>
  <c r="L1797" i="7"/>
  <c r="J1797" i="7"/>
  <c r="K1797" i="7" s="1"/>
  <c r="O1797" i="7" s="1"/>
  <c r="H1797" i="7"/>
  <c r="I1797" i="7" s="1"/>
  <c r="G1797" i="7"/>
  <c r="M1796" i="7"/>
  <c r="L1796" i="7"/>
  <c r="J1796" i="7"/>
  <c r="K1796" i="7" s="1"/>
  <c r="O1796" i="7" s="1"/>
  <c r="H1796" i="7"/>
  <c r="I1796" i="7" s="1"/>
  <c r="G1796" i="7"/>
  <c r="N1796" i="7" s="1"/>
  <c r="N1795" i="7"/>
  <c r="M1795" i="7"/>
  <c r="L1795" i="7"/>
  <c r="J1795" i="7"/>
  <c r="K1795" i="7" s="1"/>
  <c r="O1795" i="7" s="1"/>
  <c r="H1795" i="7"/>
  <c r="I1795" i="7" s="1"/>
  <c r="G1795" i="7"/>
  <c r="M1794" i="7"/>
  <c r="L1794" i="7"/>
  <c r="J1794" i="7"/>
  <c r="K1794" i="7" s="1"/>
  <c r="O1794" i="7" s="1"/>
  <c r="H1794" i="7"/>
  <c r="I1794" i="7" s="1"/>
  <c r="G1794" i="7"/>
  <c r="N1794" i="7" s="1"/>
  <c r="N1793" i="7"/>
  <c r="M1793" i="7"/>
  <c r="L1793" i="7"/>
  <c r="J1793" i="7"/>
  <c r="K1793" i="7" s="1"/>
  <c r="O1793" i="7" s="1"/>
  <c r="H1793" i="7"/>
  <c r="I1793" i="7" s="1"/>
  <c r="G1793" i="7"/>
  <c r="M1792" i="7"/>
  <c r="L1792" i="7"/>
  <c r="J1792" i="7"/>
  <c r="K1792" i="7" s="1"/>
  <c r="O1792" i="7" s="1"/>
  <c r="H1792" i="7"/>
  <c r="I1792" i="7" s="1"/>
  <c r="G1792" i="7"/>
  <c r="N1792" i="7" s="1"/>
  <c r="N1791" i="7"/>
  <c r="M1791" i="7"/>
  <c r="L1791" i="7"/>
  <c r="J1791" i="7"/>
  <c r="K1791" i="7" s="1"/>
  <c r="O1791" i="7" s="1"/>
  <c r="H1791" i="7"/>
  <c r="I1791" i="7" s="1"/>
  <c r="G1791" i="7"/>
  <c r="M1790" i="7"/>
  <c r="L1790" i="7"/>
  <c r="J1790" i="7"/>
  <c r="K1790" i="7" s="1"/>
  <c r="O1790" i="7" s="1"/>
  <c r="H1790" i="7"/>
  <c r="I1790" i="7" s="1"/>
  <c r="G1790" i="7"/>
  <c r="N1790" i="7" s="1"/>
  <c r="N1789" i="7"/>
  <c r="M1789" i="7"/>
  <c r="L1789" i="7"/>
  <c r="J1789" i="7"/>
  <c r="K1789" i="7" s="1"/>
  <c r="O1789" i="7" s="1"/>
  <c r="H1789" i="7"/>
  <c r="I1789" i="7" s="1"/>
  <c r="G1789" i="7"/>
  <c r="M1788" i="7"/>
  <c r="L1788" i="7"/>
  <c r="J1788" i="7"/>
  <c r="K1788" i="7" s="1"/>
  <c r="O1788" i="7" s="1"/>
  <c r="H1788" i="7"/>
  <c r="I1788" i="7" s="1"/>
  <c r="G1788" i="7"/>
  <c r="N1788" i="7" s="1"/>
  <c r="N1787" i="7"/>
  <c r="M1787" i="7"/>
  <c r="L1787" i="7"/>
  <c r="J1787" i="7"/>
  <c r="K1787" i="7" s="1"/>
  <c r="O1787" i="7" s="1"/>
  <c r="H1787" i="7"/>
  <c r="I1787" i="7" s="1"/>
  <c r="G1787" i="7"/>
  <c r="M1786" i="7"/>
  <c r="L1786" i="7"/>
  <c r="J1786" i="7"/>
  <c r="K1786" i="7" s="1"/>
  <c r="O1786" i="7" s="1"/>
  <c r="H1786" i="7"/>
  <c r="I1786" i="7" s="1"/>
  <c r="G1786" i="7"/>
  <c r="N1786" i="7" s="1"/>
  <c r="N1785" i="7"/>
  <c r="M1785" i="7"/>
  <c r="L1785" i="7"/>
  <c r="J1785" i="7"/>
  <c r="K1785" i="7" s="1"/>
  <c r="O1785" i="7" s="1"/>
  <c r="H1785" i="7"/>
  <c r="I1785" i="7" s="1"/>
  <c r="G1785" i="7"/>
  <c r="M1784" i="7"/>
  <c r="L1784" i="7"/>
  <c r="J1784" i="7"/>
  <c r="K1784" i="7" s="1"/>
  <c r="O1784" i="7" s="1"/>
  <c r="H1784" i="7"/>
  <c r="I1784" i="7" s="1"/>
  <c r="G1784" i="7"/>
  <c r="N1784" i="7" s="1"/>
  <c r="N1783" i="7"/>
  <c r="M1783" i="7"/>
  <c r="L1783" i="7"/>
  <c r="J1783" i="7"/>
  <c r="K1783" i="7" s="1"/>
  <c r="O1783" i="7" s="1"/>
  <c r="H1783" i="7"/>
  <c r="I1783" i="7" s="1"/>
  <c r="G1783" i="7"/>
  <c r="M1782" i="7"/>
  <c r="L1782" i="7"/>
  <c r="J1782" i="7"/>
  <c r="K1782" i="7" s="1"/>
  <c r="O1782" i="7" s="1"/>
  <c r="H1782" i="7"/>
  <c r="I1782" i="7" s="1"/>
  <c r="G1782" i="7"/>
  <c r="N1782" i="7" s="1"/>
  <c r="N1781" i="7"/>
  <c r="M1781" i="7"/>
  <c r="L1781" i="7"/>
  <c r="J1781" i="7"/>
  <c r="K1781" i="7" s="1"/>
  <c r="O1781" i="7" s="1"/>
  <c r="H1781" i="7"/>
  <c r="I1781" i="7" s="1"/>
  <c r="G1781" i="7"/>
  <c r="M1780" i="7"/>
  <c r="L1780" i="7"/>
  <c r="J1780" i="7"/>
  <c r="K1780" i="7" s="1"/>
  <c r="O1780" i="7" s="1"/>
  <c r="H1780" i="7"/>
  <c r="I1780" i="7" s="1"/>
  <c r="G1780" i="7"/>
  <c r="N1780" i="7" s="1"/>
  <c r="N1779" i="7"/>
  <c r="M1779" i="7"/>
  <c r="L1779" i="7"/>
  <c r="J1779" i="7"/>
  <c r="K1779" i="7" s="1"/>
  <c r="O1779" i="7" s="1"/>
  <c r="H1779" i="7"/>
  <c r="I1779" i="7" s="1"/>
  <c r="G1779" i="7"/>
  <c r="M1778" i="7"/>
  <c r="L1778" i="7"/>
  <c r="J1778" i="7"/>
  <c r="K1778" i="7" s="1"/>
  <c r="O1778" i="7" s="1"/>
  <c r="H1778" i="7"/>
  <c r="I1778" i="7" s="1"/>
  <c r="G1778" i="7"/>
  <c r="N1778" i="7" s="1"/>
  <c r="N1777" i="7"/>
  <c r="M1777" i="7"/>
  <c r="L1777" i="7"/>
  <c r="J1777" i="7"/>
  <c r="K1777" i="7" s="1"/>
  <c r="O1777" i="7" s="1"/>
  <c r="H1777" i="7"/>
  <c r="I1777" i="7" s="1"/>
  <c r="G1777" i="7"/>
  <c r="M1776" i="7"/>
  <c r="L1776" i="7"/>
  <c r="J1776" i="7"/>
  <c r="K1776" i="7" s="1"/>
  <c r="O1776" i="7" s="1"/>
  <c r="H1776" i="7"/>
  <c r="I1776" i="7" s="1"/>
  <c r="G1776" i="7"/>
  <c r="N1776" i="7" s="1"/>
  <c r="N1775" i="7"/>
  <c r="M1775" i="7"/>
  <c r="L1775" i="7"/>
  <c r="J1775" i="7"/>
  <c r="K1775" i="7" s="1"/>
  <c r="O1775" i="7" s="1"/>
  <c r="H1775" i="7"/>
  <c r="I1775" i="7" s="1"/>
  <c r="G1775" i="7"/>
  <c r="M1774" i="7"/>
  <c r="L1774" i="7"/>
  <c r="J1774" i="7"/>
  <c r="K1774" i="7" s="1"/>
  <c r="O1774" i="7" s="1"/>
  <c r="H1774" i="7"/>
  <c r="I1774" i="7" s="1"/>
  <c r="G1774" i="7"/>
  <c r="N1774" i="7" s="1"/>
  <c r="M1773" i="7"/>
  <c r="L1773" i="7"/>
  <c r="J1773" i="7"/>
  <c r="K1773" i="7" s="1"/>
  <c r="O1773" i="7" s="1"/>
  <c r="H1773" i="7"/>
  <c r="I1773" i="7" s="1"/>
  <c r="G1773" i="7"/>
  <c r="N1773" i="7" s="1"/>
  <c r="N1772" i="7"/>
  <c r="M1772" i="7"/>
  <c r="L1772" i="7"/>
  <c r="J1772" i="7"/>
  <c r="K1772" i="7" s="1"/>
  <c r="O1772" i="7" s="1"/>
  <c r="H1772" i="7"/>
  <c r="I1772" i="7" s="1"/>
  <c r="G1772" i="7"/>
  <c r="M1771" i="7"/>
  <c r="L1771" i="7"/>
  <c r="J1771" i="7"/>
  <c r="K1771" i="7" s="1"/>
  <c r="O1771" i="7" s="1"/>
  <c r="H1771" i="7"/>
  <c r="I1771" i="7" s="1"/>
  <c r="G1771" i="7"/>
  <c r="N1771" i="7" s="1"/>
  <c r="N1770" i="7"/>
  <c r="M1770" i="7"/>
  <c r="L1770" i="7"/>
  <c r="J1770" i="7"/>
  <c r="K1770" i="7" s="1"/>
  <c r="O1770" i="7" s="1"/>
  <c r="H1770" i="7"/>
  <c r="I1770" i="7" s="1"/>
  <c r="G1770" i="7"/>
  <c r="M1769" i="7"/>
  <c r="L1769" i="7"/>
  <c r="J1769" i="7"/>
  <c r="K1769" i="7" s="1"/>
  <c r="O1769" i="7" s="1"/>
  <c r="H1769" i="7"/>
  <c r="I1769" i="7" s="1"/>
  <c r="G1769" i="7"/>
  <c r="N1769" i="7" s="1"/>
  <c r="N1768" i="7"/>
  <c r="M1768" i="7"/>
  <c r="L1768" i="7"/>
  <c r="J1768" i="7"/>
  <c r="K1768" i="7" s="1"/>
  <c r="O1768" i="7" s="1"/>
  <c r="H1768" i="7"/>
  <c r="I1768" i="7" s="1"/>
  <c r="G1768" i="7"/>
  <c r="M1767" i="7"/>
  <c r="L1767" i="7"/>
  <c r="J1767" i="7"/>
  <c r="K1767" i="7" s="1"/>
  <c r="O1767" i="7" s="1"/>
  <c r="H1767" i="7"/>
  <c r="I1767" i="7" s="1"/>
  <c r="G1767" i="7"/>
  <c r="N1767" i="7" s="1"/>
  <c r="N1766" i="7"/>
  <c r="M1766" i="7"/>
  <c r="L1766" i="7"/>
  <c r="J1766" i="7"/>
  <c r="K1766" i="7" s="1"/>
  <c r="O1766" i="7" s="1"/>
  <c r="H1766" i="7"/>
  <c r="I1766" i="7" s="1"/>
  <c r="G1766" i="7"/>
  <c r="M1765" i="7"/>
  <c r="L1765" i="7"/>
  <c r="J1765" i="7"/>
  <c r="K1765" i="7" s="1"/>
  <c r="O1765" i="7" s="1"/>
  <c r="H1765" i="7"/>
  <c r="I1765" i="7" s="1"/>
  <c r="G1765" i="7"/>
  <c r="N1765" i="7" s="1"/>
  <c r="N1764" i="7"/>
  <c r="M1764" i="7"/>
  <c r="L1764" i="7"/>
  <c r="J1764" i="7"/>
  <c r="K1764" i="7" s="1"/>
  <c r="O1764" i="7" s="1"/>
  <c r="H1764" i="7"/>
  <c r="I1764" i="7" s="1"/>
  <c r="G1764" i="7"/>
  <c r="M1763" i="7"/>
  <c r="L1763" i="7"/>
  <c r="J1763" i="7"/>
  <c r="K1763" i="7" s="1"/>
  <c r="O1763" i="7" s="1"/>
  <c r="H1763" i="7"/>
  <c r="I1763" i="7" s="1"/>
  <c r="G1763" i="7"/>
  <c r="N1763" i="7" s="1"/>
  <c r="N1762" i="7"/>
  <c r="M1762" i="7"/>
  <c r="L1762" i="7"/>
  <c r="J1762" i="7"/>
  <c r="K1762" i="7" s="1"/>
  <c r="O1762" i="7" s="1"/>
  <c r="H1762" i="7"/>
  <c r="I1762" i="7" s="1"/>
  <c r="G1762" i="7"/>
  <c r="M1761" i="7"/>
  <c r="L1761" i="7"/>
  <c r="J1761" i="7"/>
  <c r="K1761" i="7" s="1"/>
  <c r="O1761" i="7" s="1"/>
  <c r="H1761" i="7"/>
  <c r="I1761" i="7" s="1"/>
  <c r="G1761" i="7"/>
  <c r="N1761" i="7" s="1"/>
  <c r="N1760" i="7"/>
  <c r="M1760" i="7"/>
  <c r="L1760" i="7"/>
  <c r="J1760" i="7"/>
  <c r="K1760" i="7" s="1"/>
  <c r="O1760" i="7" s="1"/>
  <c r="H1760" i="7"/>
  <c r="I1760" i="7" s="1"/>
  <c r="G1760" i="7"/>
  <c r="M1759" i="7"/>
  <c r="L1759" i="7"/>
  <c r="J1759" i="7"/>
  <c r="K1759" i="7" s="1"/>
  <c r="O1759" i="7" s="1"/>
  <c r="H1759" i="7"/>
  <c r="I1759" i="7" s="1"/>
  <c r="G1759" i="7"/>
  <c r="N1759" i="7" s="1"/>
  <c r="N1758" i="7"/>
  <c r="M1758" i="7"/>
  <c r="L1758" i="7"/>
  <c r="J1758" i="7"/>
  <c r="K1758" i="7" s="1"/>
  <c r="O1758" i="7" s="1"/>
  <c r="H1758" i="7"/>
  <c r="I1758" i="7" s="1"/>
  <c r="G1758" i="7"/>
  <c r="M1757" i="7"/>
  <c r="L1757" i="7"/>
  <c r="J1757" i="7"/>
  <c r="K1757" i="7" s="1"/>
  <c r="O1757" i="7" s="1"/>
  <c r="H1757" i="7"/>
  <c r="I1757" i="7" s="1"/>
  <c r="G1757" i="7"/>
  <c r="N1757" i="7" s="1"/>
  <c r="N1756" i="7"/>
  <c r="M1756" i="7"/>
  <c r="L1756" i="7"/>
  <c r="J1756" i="7"/>
  <c r="K1756" i="7" s="1"/>
  <c r="O1756" i="7" s="1"/>
  <c r="H1756" i="7"/>
  <c r="I1756" i="7" s="1"/>
  <c r="G1756" i="7"/>
  <c r="M1755" i="7"/>
  <c r="L1755" i="7"/>
  <c r="J1755" i="7"/>
  <c r="K1755" i="7" s="1"/>
  <c r="O1755" i="7" s="1"/>
  <c r="H1755" i="7"/>
  <c r="I1755" i="7" s="1"/>
  <c r="G1755" i="7"/>
  <c r="N1755" i="7" s="1"/>
  <c r="N1754" i="7"/>
  <c r="M1754" i="7"/>
  <c r="L1754" i="7"/>
  <c r="J1754" i="7"/>
  <c r="K1754" i="7" s="1"/>
  <c r="O1754" i="7" s="1"/>
  <c r="H1754" i="7"/>
  <c r="I1754" i="7" s="1"/>
  <c r="G1754" i="7"/>
  <c r="M1753" i="7"/>
  <c r="L1753" i="7"/>
  <c r="J1753" i="7"/>
  <c r="K1753" i="7" s="1"/>
  <c r="O1753" i="7" s="1"/>
  <c r="H1753" i="7"/>
  <c r="I1753" i="7" s="1"/>
  <c r="G1753" i="7"/>
  <c r="N1753" i="7" s="1"/>
  <c r="N1752" i="7"/>
  <c r="M1752" i="7"/>
  <c r="L1752" i="7"/>
  <c r="J1752" i="7"/>
  <c r="K1752" i="7" s="1"/>
  <c r="O1752" i="7" s="1"/>
  <c r="H1752" i="7"/>
  <c r="I1752" i="7" s="1"/>
  <c r="G1752" i="7"/>
  <c r="M1751" i="7"/>
  <c r="L1751" i="7"/>
  <c r="J1751" i="7"/>
  <c r="K1751" i="7" s="1"/>
  <c r="O1751" i="7" s="1"/>
  <c r="H1751" i="7"/>
  <c r="I1751" i="7" s="1"/>
  <c r="G1751" i="7"/>
  <c r="N1751" i="7" s="1"/>
  <c r="N1750" i="7"/>
  <c r="M1750" i="7"/>
  <c r="L1750" i="7"/>
  <c r="J1750" i="7"/>
  <c r="K1750" i="7" s="1"/>
  <c r="O1750" i="7" s="1"/>
  <c r="H1750" i="7"/>
  <c r="I1750" i="7" s="1"/>
  <c r="G1750" i="7"/>
  <c r="M1749" i="7"/>
  <c r="L1749" i="7"/>
  <c r="J1749" i="7"/>
  <c r="K1749" i="7" s="1"/>
  <c r="O1749" i="7" s="1"/>
  <c r="H1749" i="7"/>
  <c r="I1749" i="7" s="1"/>
  <c r="G1749" i="7"/>
  <c r="N1749" i="7" s="1"/>
  <c r="N1748" i="7"/>
  <c r="M1748" i="7"/>
  <c r="L1748" i="7"/>
  <c r="J1748" i="7"/>
  <c r="K1748" i="7" s="1"/>
  <c r="O1748" i="7" s="1"/>
  <c r="H1748" i="7"/>
  <c r="I1748" i="7" s="1"/>
  <c r="G1748" i="7"/>
  <c r="M1747" i="7"/>
  <c r="L1747" i="7"/>
  <c r="J1747" i="7"/>
  <c r="K1747" i="7" s="1"/>
  <c r="O1747" i="7" s="1"/>
  <c r="H1747" i="7"/>
  <c r="I1747" i="7" s="1"/>
  <c r="G1747" i="7"/>
  <c r="N1747" i="7" s="1"/>
  <c r="N1746" i="7"/>
  <c r="M1746" i="7"/>
  <c r="L1746" i="7"/>
  <c r="J1746" i="7"/>
  <c r="K1746" i="7" s="1"/>
  <c r="O1746" i="7" s="1"/>
  <c r="H1746" i="7"/>
  <c r="I1746" i="7" s="1"/>
  <c r="G1746" i="7"/>
  <c r="M1745" i="7"/>
  <c r="L1745" i="7"/>
  <c r="J1745" i="7"/>
  <c r="K1745" i="7" s="1"/>
  <c r="O1745" i="7" s="1"/>
  <c r="H1745" i="7"/>
  <c r="I1745" i="7" s="1"/>
  <c r="G1745" i="7"/>
  <c r="N1745" i="7" s="1"/>
  <c r="N1744" i="7"/>
  <c r="M1744" i="7"/>
  <c r="L1744" i="7"/>
  <c r="J1744" i="7"/>
  <c r="K1744" i="7" s="1"/>
  <c r="O1744" i="7" s="1"/>
  <c r="H1744" i="7"/>
  <c r="I1744" i="7" s="1"/>
  <c r="G1744" i="7"/>
  <c r="M1743" i="7"/>
  <c r="L1743" i="7"/>
  <c r="J1743" i="7"/>
  <c r="K1743" i="7" s="1"/>
  <c r="O1743" i="7" s="1"/>
  <c r="H1743" i="7"/>
  <c r="I1743" i="7" s="1"/>
  <c r="G1743" i="7"/>
  <c r="N1743" i="7" s="1"/>
  <c r="N1742" i="7"/>
  <c r="M1742" i="7"/>
  <c r="L1742" i="7"/>
  <c r="J1742" i="7"/>
  <c r="K1742" i="7" s="1"/>
  <c r="O1742" i="7" s="1"/>
  <c r="H1742" i="7"/>
  <c r="I1742" i="7" s="1"/>
  <c r="G1742" i="7"/>
  <c r="M1741" i="7"/>
  <c r="L1741" i="7"/>
  <c r="J1741" i="7"/>
  <c r="K1741" i="7" s="1"/>
  <c r="O1741" i="7" s="1"/>
  <c r="H1741" i="7"/>
  <c r="I1741" i="7" s="1"/>
  <c r="G1741" i="7"/>
  <c r="N1741" i="7" s="1"/>
  <c r="N1740" i="7"/>
  <c r="M1740" i="7"/>
  <c r="L1740" i="7"/>
  <c r="J1740" i="7"/>
  <c r="K1740" i="7" s="1"/>
  <c r="O1740" i="7" s="1"/>
  <c r="H1740" i="7"/>
  <c r="I1740" i="7" s="1"/>
  <c r="G1740" i="7"/>
  <c r="M1739" i="7"/>
  <c r="L1739" i="7"/>
  <c r="J1739" i="7"/>
  <c r="K1739" i="7" s="1"/>
  <c r="O1739" i="7" s="1"/>
  <c r="H1739" i="7"/>
  <c r="I1739" i="7" s="1"/>
  <c r="G1739" i="7"/>
  <c r="N1739" i="7" s="1"/>
  <c r="N1738" i="7"/>
  <c r="M1738" i="7"/>
  <c r="L1738" i="7"/>
  <c r="J1738" i="7"/>
  <c r="K1738" i="7" s="1"/>
  <c r="O1738" i="7" s="1"/>
  <c r="H1738" i="7"/>
  <c r="I1738" i="7" s="1"/>
  <c r="G1738" i="7"/>
  <c r="M1737" i="7"/>
  <c r="L1737" i="7"/>
  <c r="J1737" i="7"/>
  <c r="K1737" i="7" s="1"/>
  <c r="O1737" i="7" s="1"/>
  <c r="H1737" i="7"/>
  <c r="I1737" i="7" s="1"/>
  <c r="G1737" i="7"/>
  <c r="N1737" i="7" s="1"/>
  <c r="N1736" i="7"/>
  <c r="M1736" i="7"/>
  <c r="L1736" i="7"/>
  <c r="J1736" i="7"/>
  <c r="K1736" i="7" s="1"/>
  <c r="O1736" i="7" s="1"/>
  <c r="H1736" i="7"/>
  <c r="I1736" i="7" s="1"/>
  <c r="G1736" i="7"/>
  <c r="M1735" i="7"/>
  <c r="L1735" i="7"/>
  <c r="J1735" i="7"/>
  <c r="K1735" i="7" s="1"/>
  <c r="O1735" i="7" s="1"/>
  <c r="H1735" i="7"/>
  <c r="I1735" i="7" s="1"/>
  <c r="G1735" i="7"/>
  <c r="N1735" i="7" s="1"/>
  <c r="N1734" i="7"/>
  <c r="M1734" i="7"/>
  <c r="L1734" i="7"/>
  <c r="J1734" i="7"/>
  <c r="K1734" i="7" s="1"/>
  <c r="O1734" i="7" s="1"/>
  <c r="H1734" i="7"/>
  <c r="I1734" i="7" s="1"/>
  <c r="G1734" i="7"/>
  <c r="M1733" i="7"/>
  <c r="L1733" i="7"/>
  <c r="J1733" i="7"/>
  <c r="K1733" i="7" s="1"/>
  <c r="O1733" i="7" s="1"/>
  <c r="H1733" i="7"/>
  <c r="I1733" i="7" s="1"/>
  <c r="G1733" i="7"/>
  <c r="N1733" i="7" s="1"/>
  <c r="N1732" i="7"/>
  <c r="M1732" i="7"/>
  <c r="L1732" i="7"/>
  <c r="J1732" i="7"/>
  <c r="K1732" i="7" s="1"/>
  <c r="O1732" i="7" s="1"/>
  <c r="H1732" i="7"/>
  <c r="I1732" i="7" s="1"/>
  <c r="G1732" i="7"/>
  <c r="M1731" i="7"/>
  <c r="L1731" i="7"/>
  <c r="J1731" i="7"/>
  <c r="K1731" i="7" s="1"/>
  <c r="O1731" i="7" s="1"/>
  <c r="H1731" i="7"/>
  <c r="I1731" i="7" s="1"/>
  <c r="G1731" i="7"/>
  <c r="N1731" i="7" s="1"/>
  <c r="N1730" i="7"/>
  <c r="M1730" i="7"/>
  <c r="L1730" i="7"/>
  <c r="J1730" i="7"/>
  <c r="K1730" i="7" s="1"/>
  <c r="O1730" i="7" s="1"/>
  <c r="H1730" i="7"/>
  <c r="I1730" i="7" s="1"/>
  <c r="G1730" i="7"/>
  <c r="M1729" i="7"/>
  <c r="L1729" i="7"/>
  <c r="J1729" i="7"/>
  <c r="K1729" i="7" s="1"/>
  <c r="O1729" i="7" s="1"/>
  <c r="H1729" i="7"/>
  <c r="I1729" i="7" s="1"/>
  <c r="G1729" i="7"/>
  <c r="N1729" i="7" s="1"/>
  <c r="N1728" i="7"/>
  <c r="M1728" i="7"/>
  <c r="L1728" i="7"/>
  <c r="J1728" i="7"/>
  <c r="K1728" i="7" s="1"/>
  <c r="O1728" i="7" s="1"/>
  <c r="H1728" i="7"/>
  <c r="I1728" i="7" s="1"/>
  <c r="G1728" i="7"/>
  <c r="M1727" i="7"/>
  <c r="L1727" i="7"/>
  <c r="J1727" i="7"/>
  <c r="K1727" i="7" s="1"/>
  <c r="O1727" i="7" s="1"/>
  <c r="H1727" i="7"/>
  <c r="I1727" i="7" s="1"/>
  <c r="G1727" i="7"/>
  <c r="N1727" i="7" s="1"/>
  <c r="N1726" i="7"/>
  <c r="M1726" i="7"/>
  <c r="L1726" i="7"/>
  <c r="J1726" i="7"/>
  <c r="K1726" i="7" s="1"/>
  <c r="O1726" i="7" s="1"/>
  <c r="H1726" i="7"/>
  <c r="I1726" i="7" s="1"/>
  <c r="G1726" i="7"/>
  <c r="M1725" i="7"/>
  <c r="L1725" i="7"/>
  <c r="J1725" i="7"/>
  <c r="K1725" i="7" s="1"/>
  <c r="O1725" i="7" s="1"/>
  <c r="H1725" i="7"/>
  <c r="I1725" i="7" s="1"/>
  <c r="G1725" i="7"/>
  <c r="N1725" i="7" s="1"/>
  <c r="N1724" i="7"/>
  <c r="M1724" i="7"/>
  <c r="L1724" i="7"/>
  <c r="J1724" i="7"/>
  <c r="K1724" i="7" s="1"/>
  <c r="O1724" i="7" s="1"/>
  <c r="H1724" i="7"/>
  <c r="I1724" i="7" s="1"/>
  <c r="G1724" i="7"/>
  <c r="M1723" i="7"/>
  <c r="L1723" i="7"/>
  <c r="J1723" i="7"/>
  <c r="K1723" i="7" s="1"/>
  <c r="O1723" i="7" s="1"/>
  <c r="H1723" i="7"/>
  <c r="I1723" i="7" s="1"/>
  <c r="G1723" i="7"/>
  <c r="N1723" i="7" s="1"/>
  <c r="N1722" i="7"/>
  <c r="M1722" i="7"/>
  <c r="L1722" i="7"/>
  <c r="J1722" i="7"/>
  <c r="K1722" i="7" s="1"/>
  <c r="O1722" i="7" s="1"/>
  <c r="H1722" i="7"/>
  <c r="I1722" i="7" s="1"/>
  <c r="G1722" i="7"/>
  <c r="M1721" i="7"/>
  <c r="L1721" i="7"/>
  <c r="J1721" i="7"/>
  <c r="K1721" i="7" s="1"/>
  <c r="O1721" i="7" s="1"/>
  <c r="H1721" i="7"/>
  <c r="I1721" i="7" s="1"/>
  <c r="G1721" i="7"/>
  <c r="N1721" i="7" s="1"/>
  <c r="N1720" i="7"/>
  <c r="M1720" i="7"/>
  <c r="L1720" i="7"/>
  <c r="J1720" i="7"/>
  <c r="K1720" i="7" s="1"/>
  <c r="O1720" i="7" s="1"/>
  <c r="H1720" i="7"/>
  <c r="I1720" i="7" s="1"/>
  <c r="G1720" i="7"/>
  <c r="M1719" i="7"/>
  <c r="L1719" i="7"/>
  <c r="J1719" i="7"/>
  <c r="K1719" i="7" s="1"/>
  <c r="O1719" i="7" s="1"/>
  <c r="H1719" i="7"/>
  <c r="I1719" i="7" s="1"/>
  <c r="G1719" i="7"/>
  <c r="N1719" i="7" s="1"/>
  <c r="N1718" i="7"/>
  <c r="M1718" i="7"/>
  <c r="L1718" i="7"/>
  <c r="J1718" i="7"/>
  <c r="K1718" i="7" s="1"/>
  <c r="O1718" i="7" s="1"/>
  <c r="H1718" i="7"/>
  <c r="I1718" i="7" s="1"/>
  <c r="G1718" i="7"/>
  <c r="M1717" i="7"/>
  <c r="L1717" i="7"/>
  <c r="J1717" i="7"/>
  <c r="K1717" i="7" s="1"/>
  <c r="O1717" i="7" s="1"/>
  <c r="H1717" i="7"/>
  <c r="I1717" i="7" s="1"/>
  <c r="G1717" i="7"/>
  <c r="N1717" i="7" s="1"/>
  <c r="N1716" i="7"/>
  <c r="M1716" i="7"/>
  <c r="L1716" i="7"/>
  <c r="J1716" i="7"/>
  <c r="K1716" i="7" s="1"/>
  <c r="O1716" i="7" s="1"/>
  <c r="H1716" i="7"/>
  <c r="I1716" i="7" s="1"/>
  <c r="G1716" i="7"/>
  <c r="M1715" i="7"/>
  <c r="L1715" i="7"/>
  <c r="J1715" i="7"/>
  <c r="K1715" i="7" s="1"/>
  <c r="O1715" i="7" s="1"/>
  <c r="H1715" i="7"/>
  <c r="I1715" i="7" s="1"/>
  <c r="G1715" i="7"/>
  <c r="N1715" i="7" s="1"/>
  <c r="N1714" i="7"/>
  <c r="M1714" i="7"/>
  <c r="L1714" i="7"/>
  <c r="J1714" i="7"/>
  <c r="K1714" i="7" s="1"/>
  <c r="O1714" i="7" s="1"/>
  <c r="H1714" i="7"/>
  <c r="I1714" i="7" s="1"/>
  <c r="G1714" i="7"/>
  <c r="M1713" i="7"/>
  <c r="L1713" i="7"/>
  <c r="J1713" i="7"/>
  <c r="K1713" i="7" s="1"/>
  <c r="O1713" i="7" s="1"/>
  <c r="H1713" i="7"/>
  <c r="I1713" i="7" s="1"/>
  <c r="G1713" i="7"/>
  <c r="N1713" i="7" s="1"/>
  <c r="N1712" i="7"/>
  <c r="M1712" i="7"/>
  <c r="L1712" i="7"/>
  <c r="J1712" i="7"/>
  <c r="K1712" i="7" s="1"/>
  <c r="O1712" i="7" s="1"/>
  <c r="H1712" i="7"/>
  <c r="I1712" i="7" s="1"/>
  <c r="G1712" i="7"/>
  <c r="M1711" i="7"/>
  <c r="L1711" i="7"/>
  <c r="J1711" i="7"/>
  <c r="K1711" i="7" s="1"/>
  <c r="O1711" i="7" s="1"/>
  <c r="H1711" i="7"/>
  <c r="I1711" i="7" s="1"/>
  <c r="G1711" i="7"/>
  <c r="N1711" i="7" s="1"/>
  <c r="N1710" i="7"/>
  <c r="M1710" i="7"/>
  <c r="L1710" i="7"/>
  <c r="J1710" i="7"/>
  <c r="K1710" i="7" s="1"/>
  <c r="O1710" i="7" s="1"/>
  <c r="H1710" i="7"/>
  <c r="I1710" i="7" s="1"/>
  <c r="G1710" i="7"/>
  <c r="M1709" i="7"/>
  <c r="L1709" i="7"/>
  <c r="J1709" i="7"/>
  <c r="K1709" i="7" s="1"/>
  <c r="O1709" i="7" s="1"/>
  <c r="H1709" i="7"/>
  <c r="I1709" i="7" s="1"/>
  <c r="G1709" i="7"/>
  <c r="N1709" i="7" s="1"/>
  <c r="N1708" i="7"/>
  <c r="M1708" i="7"/>
  <c r="L1708" i="7"/>
  <c r="J1708" i="7"/>
  <c r="K1708" i="7" s="1"/>
  <c r="O1708" i="7" s="1"/>
  <c r="H1708" i="7"/>
  <c r="I1708" i="7" s="1"/>
  <c r="G1708" i="7"/>
  <c r="M1707" i="7"/>
  <c r="L1707" i="7"/>
  <c r="J1707" i="7"/>
  <c r="K1707" i="7" s="1"/>
  <c r="O1707" i="7" s="1"/>
  <c r="H1707" i="7"/>
  <c r="I1707" i="7" s="1"/>
  <c r="G1707" i="7"/>
  <c r="N1707" i="7" s="1"/>
  <c r="N1706" i="7"/>
  <c r="M1706" i="7"/>
  <c r="L1706" i="7"/>
  <c r="J1706" i="7"/>
  <c r="K1706" i="7" s="1"/>
  <c r="O1706" i="7" s="1"/>
  <c r="H1706" i="7"/>
  <c r="I1706" i="7" s="1"/>
  <c r="G1706" i="7"/>
  <c r="M1705" i="7"/>
  <c r="L1705" i="7"/>
  <c r="J1705" i="7"/>
  <c r="K1705" i="7" s="1"/>
  <c r="O1705" i="7" s="1"/>
  <c r="H1705" i="7"/>
  <c r="I1705" i="7" s="1"/>
  <c r="G1705" i="7"/>
  <c r="N1705" i="7" s="1"/>
  <c r="N1704" i="7"/>
  <c r="M1704" i="7"/>
  <c r="L1704" i="7"/>
  <c r="J1704" i="7"/>
  <c r="K1704" i="7" s="1"/>
  <c r="O1704" i="7" s="1"/>
  <c r="H1704" i="7"/>
  <c r="I1704" i="7" s="1"/>
  <c r="G1704" i="7"/>
  <c r="M1703" i="7"/>
  <c r="L1703" i="7"/>
  <c r="J1703" i="7"/>
  <c r="K1703" i="7" s="1"/>
  <c r="O1703" i="7" s="1"/>
  <c r="H1703" i="7"/>
  <c r="I1703" i="7" s="1"/>
  <c r="G1703" i="7"/>
  <c r="N1703" i="7" s="1"/>
  <c r="N1702" i="7"/>
  <c r="M1702" i="7"/>
  <c r="L1702" i="7"/>
  <c r="J1702" i="7"/>
  <c r="K1702" i="7" s="1"/>
  <c r="O1702" i="7" s="1"/>
  <c r="H1702" i="7"/>
  <c r="I1702" i="7" s="1"/>
  <c r="G1702" i="7"/>
  <c r="M1701" i="7"/>
  <c r="L1701" i="7"/>
  <c r="J1701" i="7"/>
  <c r="K1701" i="7" s="1"/>
  <c r="O1701" i="7" s="1"/>
  <c r="H1701" i="7"/>
  <c r="I1701" i="7" s="1"/>
  <c r="G1701" i="7"/>
  <c r="N1701" i="7" s="1"/>
  <c r="N1700" i="7"/>
  <c r="M1700" i="7"/>
  <c r="L1700" i="7"/>
  <c r="J1700" i="7"/>
  <c r="K1700" i="7" s="1"/>
  <c r="O1700" i="7" s="1"/>
  <c r="H1700" i="7"/>
  <c r="I1700" i="7" s="1"/>
  <c r="G1700" i="7"/>
  <c r="M1699" i="7"/>
  <c r="L1699" i="7"/>
  <c r="J1699" i="7"/>
  <c r="K1699" i="7" s="1"/>
  <c r="O1699" i="7" s="1"/>
  <c r="H1699" i="7"/>
  <c r="I1699" i="7" s="1"/>
  <c r="G1699" i="7"/>
  <c r="N1699" i="7" s="1"/>
  <c r="N1698" i="7"/>
  <c r="M1698" i="7"/>
  <c r="L1698" i="7"/>
  <c r="J1698" i="7"/>
  <c r="K1698" i="7" s="1"/>
  <c r="O1698" i="7" s="1"/>
  <c r="H1698" i="7"/>
  <c r="I1698" i="7" s="1"/>
  <c r="G1698" i="7"/>
  <c r="M1697" i="7"/>
  <c r="L1697" i="7"/>
  <c r="J1697" i="7"/>
  <c r="K1697" i="7" s="1"/>
  <c r="O1697" i="7" s="1"/>
  <c r="H1697" i="7"/>
  <c r="I1697" i="7" s="1"/>
  <c r="G1697" i="7"/>
  <c r="N1697" i="7" s="1"/>
  <c r="N1696" i="7"/>
  <c r="M1696" i="7"/>
  <c r="L1696" i="7"/>
  <c r="J1696" i="7"/>
  <c r="K1696" i="7" s="1"/>
  <c r="O1696" i="7" s="1"/>
  <c r="H1696" i="7"/>
  <c r="I1696" i="7" s="1"/>
  <c r="G1696" i="7"/>
  <c r="M1695" i="7"/>
  <c r="L1695" i="7"/>
  <c r="J1695" i="7"/>
  <c r="K1695" i="7" s="1"/>
  <c r="O1695" i="7" s="1"/>
  <c r="H1695" i="7"/>
  <c r="I1695" i="7" s="1"/>
  <c r="G1695" i="7"/>
  <c r="N1695" i="7" s="1"/>
  <c r="N1694" i="7"/>
  <c r="M1694" i="7"/>
  <c r="L1694" i="7"/>
  <c r="J1694" i="7"/>
  <c r="K1694" i="7" s="1"/>
  <c r="O1694" i="7" s="1"/>
  <c r="H1694" i="7"/>
  <c r="I1694" i="7" s="1"/>
  <c r="G1694" i="7"/>
  <c r="M1693" i="7"/>
  <c r="L1693" i="7"/>
  <c r="J1693" i="7"/>
  <c r="K1693" i="7" s="1"/>
  <c r="O1693" i="7" s="1"/>
  <c r="H1693" i="7"/>
  <c r="I1693" i="7" s="1"/>
  <c r="G1693" i="7"/>
  <c r="N1693" i="7" s="1"/>
  <c r="N1692" i="7"/>
  <c r="M1692" i="7"/>
  <c r="L1692" i="7"/>
  <c r="J1692" i="7"/>
  <c r="K1692" i="7" s="1"/>
  <c r="O1692" i="7" s="1"/>
  <c r="H1692" i="7"/>
  <c r="I1692" i="7" s="1"/>
  <c r="G1692" i="7"/>
  <c r="M1691" i="7"/>
  <c r="L1691" i="7"/>
  <c r="J1691" i="7"/>
  <c r="K1691" i="7" s="1"/>
  <c r="O1691" i="7" s="1"/>
  <c r="H1691" i="7"/>
  <c r="I1691" i="7" s="1"/>
  <c r="G1691" i="7"/>
  <c r="N1691" i="7" s="1"/>
  <c r="N1690" i="7"/>
  <c r="M1690" i="7"/>
  <c r="L1690" i="7"/>
  <c r="J1690" i="7"/>
  <c r="K1690" i="7" s="1"/>
  <c r="O1690" i="7" s="1"/>
  <c r="H1690" i="7"/>
  <c r="I1690" i="7" s="1"/>
  <c r="G1690" i="7"/>
  <c r="M1689" i="7"/>
  <c r="L1689" i="7"/>
  <c r="J1689" i="7"/>
  <c r="K1689" i="7" s="1"/>
  <c r="O1689" i="7" s="1"/>
  <c r="H1689" i="7"/>
  <c r="I1689" i="7" s="1"/>
  <c r="G1689" i="7"/>
  <c r="N1689" i="7" s="1"/>
  <c r="N1688" i="7"/>
  <c r="M1688" i="7"/>
  <c r="L1688" i="7"/>
  <c r="J1688" i="7"/>
  <c r="K1688" i="7" s="1"/>
  <c r="O1688" i="7" s="1"/>
  <c r="H1688" i="7"/>
  <c r="I1688" i="7" s="1"/>
  <c r="G1688" i="7"/>
  <c r="M1687" i="7"/>
  <c r="L1687" i="7"/>
  <c r="J1687" i="7"/>
  <c r="K1687" i="7" s="1"/>
  <c r="O1687" i="7" s="1"/>
  <c r="H1687" i="7"/>
  <c r="I1687" i="7" s="1"/>
  <c r="G1687" i="7"/>
  <c r="N1687" i="7" s="1"/>
  <c r="N1686" i="7"/>
  <c r="M1686" i="7"/>
  <c r="L1686" i="7"/>
  <c r="J1686" i="7"/>
  <c r="K1686" i="7" s="1"/>
  <c r="O1686" i="7" s="1"/>
  <c r="H1686" i="7"/>
  <c r="I1686" i="7" s="1"/>
  <c r="G1686" i="7"/>
  <c r="M1685" i="7"/>
  <c r="L1685" i="7"/>
  <c r="J1685" i="7"/>
  <c r="K1685" i="7" s="1"/>
  <c r="O1685" i="7" s="1"/>
  <c r="H1685" i="7"/>
  <c r="I1685" i="7" s="1"/>
  <c r="G1685" i="7"/>
  <c r="N1685" i="7" s="1"/>
  <c r="N1684" i="7"/>
  <c r="M1684" i="7"/>
  <c r="L1684" i="7"/>
  <c r="J1684" i="7"/>
  <c r="K1684" i="7" s="1"/>
  <c r="O1684" i="7" s="1"/>
  <c r="H1684" i="7"/>
  <c r="I1684" i="7" s="1"/>
  <c r="G1684" i="7"/>
  <c r="M1683" i="7"/>
  <c r="L1683" i="7"/>
  <c r="J1683" i="7"/>
  <c r="K1683" i="7" s="1"/>
  <c r="O1683" i="7" s="1"/>
  <c r="H1683" i="7"/>
  <c r="I1683" i="7" s="1"/>
  <c r="G1683" i="7"/>
  <c r="N1683" i="7" s="1"/>
  <c r="N1682" i="7"/>
  <c r="M1682" i="7"/>
  <c r="L1682" i="7"/>
  <c r="J1682" i="7"/>
  <c r="K1682" i="7" s="1"/>
  <c r="O1682" i="7" s="1"/>
  <c r="H1682" i="7"/>
  <c r="I1682" i="7" s="1"/>
  <c r="G1682" i="7"/>
  <c r="M1681" i="7"/>
  <c r="L1681" i="7"/>
  <c r="J1681" i="7"/>
  <c r="K1681" i="7" s="1"/>
  <c r="O1681" i="7" s="1"/>
  <c r="H1681" i="7"/>
  <c r="I1681" i="7" s="1"/>
  <c r="G1681" i="7"/>
  <c r="N1681" i="7" s="1"/>
  <c r="N1680" i="7"/>
  <c r="M1680" i="7"/>
  <c r="L1680" i="7"/>
  <c r="J1680" i="7"/>
  <c r="K1680" i="7" s="1"/>
  <c r="O1680" i="7" s="1"/>
  <c r="H1680" i="7"/>
  <c r="I1680" i="7" s="1"/>
  <c r="G1680" i="7"/>
  <c r="M1679" i="7"/>
  <c r="L1679" i="7"/>
  <c r="J1679" i="7"/>
  <c r="K1679" i="7" s="1"/>
  <c r="O1679" i="7" s="1"/>
  <c r="H1679" i="7"/>
  <c r="I1679" i="7" s="1"/>
  <c r="G1679" i="7"/>
  <c r="N1679" i="7" s="1"/>
  <c r="N1678" i="7"/>
  <c r="M1678" i="7"/>
  <c r="L1678" i="7"/>
  <c r="J1678" i="7"/>
  <c r="K1678" i="7" s="1"/>
  <c r="O1678" i="7" s="1"/>
  <c r="H1678" i="7"/>
  <c r="I1678" i="7" s="1"/>
  <c r="G1678" i="7"/>
  <c r="M1677" i="7"/>
  <c r="L1677" i="7"/>
  <c r="J1677" i="7"/>
  <c r="K1677" i="7" s="1"/>
  <c r="O1677" i="7" s="1"/>
  <c r="H1677" i="7"/>
  <c r="I1677" i="7" s="1"/>
  <c r="G1677" i="7"/>
  <c r="N1677" i="7" s="1"/>
  <c r="N1676" i="7"/>
  <c r="M1676" i="7"/>
  <c r="L1676" i="7"/>
  <c r="J1676" i="7"/>
  <c r="K1676" i="7" s="1"/>
  <c r="O1676" i="7" s="1"/>
  <c r="H1676" i="7"/>
  <c r="I1676" i="7" s="1"/>
  <c r="G1676" i="7"/>
  <c r="M1675" i="7"/>
  <c r="L1675" i="7"/>
  <c r="J1675" i="7"/>
  <c r="K1675" i="7" s="1"/>
  <c r="O1675" i="7" s="1"/>
  <c r="H1675" i="7"/>
  <c r="I1675" i="7" s="1"/>
  <c r="G1675" i="7"/>
  <c r="N1675" i="7" s="1"/>
  <c r="N1674" i="7"/>
  <c r="M1674" i="7"/>
  <c r="L1674" i="7"/>
  <c r="J1674" i="7"/>
  <c r="K1674" i="7" s="1"/>
  <c r="O1674" i="7" s="1"/>
  <c r="H1674" i="7"/>
  <c r="I1674" i="7" s="1"/>
  <c r="G1674" i="7"/>
  <c r="M1673" i="7"/>
  <c r="L1673" i="7"/>
  <c r="J1673" i="7"/>
  <c r="K1673" i="7" s="1"/>
  <c r="O1673" i="7" s="1"/>
  <c r="H1673" i="7"/>
  <c r="I1673" i="7" s="1"/>
  <c r="G1673" i="7"/>
  <c r="N1673" i="7" s="1"/>
  <c r="N1672" i="7"/>
  <c r="M1672" i="7"/>
  <c r="L1672" i="7"/>
  <c r="J1672" i="7"/>
  <c r="K1672" i="7" s="1"/>
  <c r="O1672" i="7" s="1"/>
  <c r="H1672" i="7"/>
  <c r="I1672" i="7" s="1"/>
  <c r="G1672" i="7"/>
  <c r="M1671" i="7"/>
  <c r="L1671" i="7"/>
  <c r="J1671" i="7"/>
  <c r="K1671" i="7" s="1"/>
  <c r="O1671" i="7" s="1"/>
  <c r="H1671" i="7"/>
  <c r="I1671" i="7" s="1"/>
  <c r="G1671" i="7"/>
  <c r="N1671" i="7" s="1"/>
  <c r="N1670" i="7"/>
  <c r="M1670" i="7"/>
  <c r="L1670" i="7"/>
  <c r="J1670" i="7"/>
  <c r="K1670" i="7" s="1"/>
  <c r="O1670" i="7" s="1"/>
  <c r="H1670" i="7"/>
  <c r="I1670" i="7" s="1"/>
  <c r="G1670" i="7"/>
  <c r="M1669" i="7"/>
  <c r="L1669" i="7"/>
  <c r="J1669" i="7"/>
  <c r="K1669" i="7" s="1"/>
  <c r="O1669" i="7" s="1"/>
  <c r="H1669" i="7"/>
  <c r="I1669" i="7" s="1"/>
  <c r="G1669" i="7"/>
  <c r="N1669" i="7" s="1"/>
  <c r="N1668" i="7"/>
  <c r="M1668" i="7"/>
  <c r="L1668" i="7"/>
  <c r="J1668" i="7"/>
  <c r="K1668" i="7" s="1"/>
  <c r="O1668" i="7" s="1"/>
  <c r="H1668" i="7"/>
  <c r="I1668" i="7" s="1"/>
  <c r="G1668" i="7"/>
  <c r="M1667" i="7"/>
  <c r="L1667" i="7"/>
  <c r="J1667" i="7"/>
  <c r="K1667" i="7" s="1"/>
  <c r="O1667" i="7" s="1"/>
  <c r="H1667" i="7"/>
  <c r="I1667" i="7" s="1"/>
  <c r="G1667" i="7"/>
  <c r="N1667" i="7" s="1"/>
  <c r="N1666" i="7"/>
  <c r="M1666" i="7"/>
  <c r="L1666" i="7"/>
  <c r="J1666" i="7"/>
  <c r="K1666" i="7" s="1"/>
  <c r="O1666" i="7" s="1"/>
  <c r="H1666" i="7"/>
  <c r="I1666" i="7" s="1"/>
  <c r="G1666" i="7"/>
  <c r="M1665" i="7"/>
  <c r="L1665" i="7"/>
  <c r="J1665" i="7"/>
  <c r="K1665" i="7" s="1"/>
  <c r="O1665" i="7" s="1"/>
  <c r="H1665" i="7"/>
  <c r="I1665" i="7" s="1"/>
  <c r="G1665" i="7"/>
  <c r="N1665" i="7" s="1"/>
  <c r="N1664" i="7"/>
  <c r="M1664" i="7"/>
  <c r="L1664" i="7"/>
  <c r="J1664" i="7"/>
  <c r="K1664" i="7" s="1"/>
  <c r="O1664" i="7" s="1"/>
  <c r="H1664" i="7"/>
  <c r="I1664" i="7" s="1"/>
  <c r="G1664" i="7"/>
  <c r="M1663" i="7"/>
  <c r="L1663" i="7"/>
  <c r="J1663" i="7"/>
  <c r="K1663" i="7" s="1"/>
  <c r="O1663" i="7" s="1"/>
  <c r="H1663" i="7"/>
  <c r="I1663" i="7" s="1"/>
  <c r="G1663" i="7"/>
  <c r="N1663" i="7" s="1"/>
  <c r="N1662" i="7"/>
  <c r="M1662" i="7"/>
  <c r="L1662" i="7"/>
  <c r="J1662" i="7"/>
  <c r="K1662" i="7" s="1"/>
  <c r="O1662" i="7" s="1"/>
  <c r="H1662" i="7"/>
  <c r="I1662" i="7" s="1"/>
  <c r="G1662" i="7"/>
  <c r="M1661" i="7"/>
  <c r="L1661" i="7"/>
  <c r="J1661" i="7"/>
  <c r="K1661" i="7" s="1"/>
  <c r="O1661" i="7" s="1"/>
  <c r="H1661" i="7"/>
  <c r="I1661" i="7" s="1"/>
  <c r="G1661" i="7"/>
  <c r="N1661" i="7" s="1"/>
  <c r="N1660" i="7"/>
  <c r="M1660" i="7"/>
  <c r="L1660" i="7"/>
  <c r="J1660" i="7"/>
  <c r="K1660" i="7" s="1"/>
  <c r="O1660" i="7" s="1"/>
  <c r="H1660" i="7"/>
  <c r="I1660" i="7" s="1"/>
  <c r="G1660" i="7"/>
  <c r="M1659" i="7"/>
  <c r="L1659" i="7"/>
  <c r="J1659" i="7"/>
  <c r="K1659" i="7" s="1"/>
  <c r="O1659" i="7" s="1"/>
  <c r="H1659" i="7"/>
  <c r="I1659" i="7" s="1"/>
  <c r="G1659" i="7"/>
  <c r="N1659" i="7" s="1"/>
  <c r="N1658" i="7"/>
  <c r="M1658" i="7"/>
  <c r="L1658" i="7"/>
  <c r="J1658" i="7"/>
  <c r="K1658" i="7" s="1"/>
  <c r="O1658" i="7" s="1"/>
  <c r="H1658" i="7"/>
  <c r="I1658" i="7" s="1"/>
  <c r="G1658" i="7"/>
  <c r="M1657" i="7"/>
  <c r="L1657" i="7"/>
  <c r="J1657" i="7"/>
  <c r="K1657" i="7" s="1"/>
  <c r="O1657" i="7" s="1"/>
  <c r="H1657" i="7"/>
  <c r="I1657" i="7" s="1"/>
  <c r="G1657" i="7"/>
  <c r="N1657" i="7" s="1"/>
  <c r="N1656" i="7"/>
  <c r="M1656" i="7"/>
  <c r="L1656" i="7"/>
  <c r="J1656" i="7"/>
  <c r="K1656" i="7" s="1"/>
  <c r="O1656" i="7" s="1"/>
  <c r="H1656" i="7"/>
  <c r="I1656" i="7" s="1"/>
  <c r="G1656" i="7"/>
  <c r="M1655" i="7"/>
  <c r="L1655" i="7"/>
  <c r="J1655" i="7"/>
  <c r="K1655" i="7" s="1"/>
  <c r="O1655" i="7" s="1"/>
  <c r="H1655" i="7"/>
  <c r="I1655" i="7" s="1"/>
  <c r="G1655" i="7"/>
  <c r="N1655" i="7" s="1"/>
  <c r="N1654" i="7"/>
  <c r="M1654" i="7"/>
  <c r="L1654" i="7"/>
  <c r="J1654" i="7"/>
  <c r="K1654" i="7" s="1"/>
  <c r="O1654" i="7" s="1"/>
  <c r="H1654" i="7"/>
  <c r="I1654" i="7" s="1"/>
  <c r="G1654" i="7"/>
  <c r="M1653" i="7"/>
  <c r="L1653" i="7"/>
  <c r="J1653" i="7"/>
  <c r="K1653" i="7" s="1"/>
  <c r="O1653" i="7" s="1"/>
  <c r="H1653" i="7"/>
  <c r="I1653" i="7" s="1"/>
  <c r="G1653" i="7"/>
  <c r="N1653" i="7" s="1"/>
  <c r="N1652" i="7"/>
  <c r="M1652" i="7"/>
  <c r="L1652" i="7"/>
  <c r="J1652" i="7"/>
  <c r="K1652" i="7" s="1"/>
  <c r="O1652" i="7" s="1"/>
  <c r="H1652" i="7"/>
  <c r="I1652" i="7" s="1"/>
  <c r="G1652" i="7"/>
  <c r="M1651" i="7"/>
  <c r="L1651" i="7"/>
  <c r="J1651" i="7"/>
  <c r="K1651" i="7" s="1"/>
  <c r="O1651" i="7" s="1"/>
  <c r="H1651" i="7"/>
  <c r="I1651" i="7" s="1"/>
  <c r="G1651" i="7"/>
  <c r="N1651" i="7" s="1"/>
  <c r="N1650" i="7"/>
  <c r="M1650" i="7"/>
  <c r="L1650" i="7"/>
  <c r="J1650" i="7"/>
  <c r="K1650" i="7" s="1"/>
  <c r="O1650" i="7" s="1"/>
  <c r="H1650" i="7"/>
  <c r="I1650" i="7" s="1"/>
  <c r="G1650" i="7"/>
  <c r="M1649" i="7"/>
  <c r="L1649" i="7"/>
  <c r="J1649" i="7"/>
  <c r="K1649" i="7" s="1"/>
  <c r="O1649" i="7" s="1"/>
  <c r="H1649" i="7"/>
  <c r="I1649" i="7" s="1"/>
  <c r="G1649" i="7"/>
  <c r="N1649" i="7" s="1"/>
  <c r="N1648" i="7"/>
  <c r="M1648" i="7"/>
  <c r="L1648" i="7"/>
  <c r="J1648" i="7"/>
  <c r="K1648" i="7" s="1"/>
  <c r="O1648" i="7" s="1"/>
  <c r="H1648" i="7"/>
  <c r="I1648" i="7" s="1"/>
  <c r="G1648" i="7"/>
  <c r="M1647" i="7"/>
  <c r="L1647" i="7"/>
  <c r="J1647" i="7"/>
  <c r="K1647" i="7" s="1"/>
  <c r="O1647" i="7" s="1"/>
  <c r="H1647" i="7"/>
  <c r="I1647" i="7" s="1"/>
  <c r="G1647" i="7"/>
  <c r="N1647" i="7" s="1"/>
  <c r="N1646" i="7"/>
  <c r="M1646" i="7"/>
  <c r="L1646" i="7"/>
  <c r="J1646" i="7"/>
  <c r="K1646" i="7" s="1"/>
  <c r="O1646" i="7" s="1"/>
  <c r="H1646" i="7"/>
  <c r="I1646" i="7" s="1"/>
  <c r="G1646" i="7"/>
  <c r="M1645" i="7"/>
  <c r="L1645" i="7"/>
  <c r="J1645" i="7"/>
  <c r="K1645" i="7" s="1"/>
  <c r="O1645" i="7" s="1"/>
  <c r="H1645" i="7"/>
  <c r="I1645" i="7" s="1"/>
  <c r="G1645" i="7"/>
  <c r="N1645" i="7" s="1"/>
  <c r="N1644" i="7"/>
  <c r="M1644" i="7"/>
  <c r="L1644" i="7"/>
  <c r="J1644" i="7"/>
  <c r="K1644" i="7" s="1"/>
  <c r="O1644" i="7" s="1"/>
  <c r="H1644" i="7"/>
  <c r="I1644" i="7" s="1"/>
  <c r="G1644" i="7"/>
  <c r="M1643" i="7"/>
  <c r="L1643" i="7"/>
  <c r="J1643" i="7"/>
  <c r="K1643" i="7" s="1"/>
  <c r="O1643" i="7" s="1"/>
  <c r="H1643" i="7"/>
  <c r="I1643" i="7" s="1"/>
  <c r="G1643" i="7"/>
  <c r="N1643" i="7" s="1"/>
  <c r="N1642" i="7"/>
  <c r="M1642" i="7"/>
  <c r="L1642" i="7"/>
  <c r="J1642" i="7"/>
  <c r="K1642" i="7" s="1"/>
  <c r="O1642" i="7" s="1"/>
  <c r="H1642" i="7"/>
  <c r="I1642" i="7" s="1"/>
  <c r="G1642" i="7"/>
  <c r="M1641" i="7"/>
  <c r="L1641" i="7"/>
  <c r="J1641" i="7"/>
  <c r="K1641" i="7" s="1"/>
  <c r="O1641" i="7" s="1"/>
  <c r="H1641" i="7"/>
  <c r="I1641" i="7" s="1"/>
  <c r="G1641" i="7"/>
  <c r="N1641" i="7" s="1"/>
  <c r="N1640" i="7"/>
  <c r="M1640" i="7"/>
  <c r="L1640" i="7"/>
  <c r="J1640" i="7"/>
  <c r="K1640" i="7" s="1"/>
  <c r="O1640" i="7" s="1"/>
  <c r="H1640" i="7"/>
  <c r="I1640" i="7" s="1"/>
  <c r="G1640" i="7"/>
  <c r="M1639" i="7"/>
  <c r="L1639" i="7"/>
  <c r="J1639" i="7"/>
  <c r="K1639" i="7" s="1"/>
  <c r="O1639" i="7" s="1"/>
  <c r="H1639" i="7"/>
  <c r="I1639" i="7" s="1"/>
  <c r="G1639" i="7"/>
  <c r="N1639" i="7" s="1"/>
  <c r="N1638" i="7"/>
  <c r="M1638" i="7"/>
  <c r="L1638" i="7"/>
  <c r="J1638" i="7"/>
  <c r="K1638" i="7" s="1"/>
  <c r="O1638" i="7" s="1"/>
  <c r="H1638" i="7"/>
  <c r="I1638" i="7" s="1"/>
  <c r="G1638" i="7"/>
  <c r="M1637" i="7"/>
  <c r="L1637" i="7"/>
  <c r="J1637" i="7"/>
  <c r="K1637" i="7" s="1"/>
  <c r="O1637" i="7" s="1"/>
  <c r="H1637" i="7"/>
  <c r="I1637" i="7" s="1"/>
  <c r="G1637" i="7"/>
  <c r="N1637" i="7" s="1"/>
  <c r="N1636" i="7"/>
  <c r="M1636" i="7"/>
  <c r="L1636" i="7"/>
  <c r="J1636" i="7"/>
  <c r="K1636" i="7" s="1"/>
  <c r="O1636" i="7" s="1"/>
  <c r="H1636" i="7"/>
  <c r="I1636" i="7" s="1"/>
  <c r="G1636" i="7"/>
  <c r="M1635" i="7"/>
  <c r="L1635" i="7"/>
  <c r="J1635" i="7"/>
  <c r="K1635" i="7" s="1"/>
  <c r="O1635" i="7" s="1"/>
  <c r="H1635" i="7"/>
  <c r="I1635" i="7" s="1"/>
  <c r="G1635" i="7"/>
  <c r="N1635" i="7" s="1"/>
  <c r="N1634" i="7"/>
  <c r="M1634" i="7"/>
  <c r="L1634" i="7"/>
  <c r="J1634" i="7"/>
  <c r="K1634" i="7" s="1"/>
  <c r="O1634" i="7" s="1"/>
  <c r="H1634" i="7"/>
  <c r="I1634" i="7" s="1"/>
  <c r="G1634" i="7"/>
  <c r="M1633" i="7"/>
  <c r="L1633" i="7"/>
  <c r="J1633" i="7"/>
  <c r="K1633" i="7" s="1"/>
  <c r="O1633" i="7" s="1"/>
  <c r="H1633" i="7"/>
  <c r="I1633" i="7" s="1"/>
  <c r="G1633" i="7"/>
  <c r="N1633" i="7" s="1"/>
  <c r="N1632" i="7"/>
  <c r="M1632" i="7"/>
  <c r="L1632" i="7"/>
  <c r="J1632" i="7"/>
  <c r="K1632" i="7" s="1"/>
  <c r="O1632" i="7" s="1"/>
  <c r="H1632" i="7"/>
  <c r="I1632" i="7" s="1"/>
  <c r="G1632" i="7"/>
  <c r="M1631" i="7"/>
  <c r="L1631" i="7"/>
  <c r="J1631" i="7"/>
  <c r="K1631" i="7" s="1"/>
  <c r="O1631" i="7" s="1"/>
  <c r="H1631" i="7"/>
  <c r="I1631" i="7" s="1"/>
  <c r="G1631" i="7"/>
  <c r="N1631" i="7" s="1"/>
  <c r="N1630" i="7"/>
  <c r="M1630" i="7"/>
  <c r="L1630" i="7"/>
  <c r="J1630" i="7"/>
  <c r="K1630" i="7" s="1"/>
  <c r="O1630" i="7" s="1"/>
  <c r="H1630" i="7"/>
  <c r="I1630" i="7" s="1"/>
  <c r="G1630" i="7"/>
  <c r="M1629" i="7"/>
  <c r="L1629" i="7"/>
  <c r="J1629" i="7"/>
  <c r="K1629" i="7" s="1"/>
  <c r="O1629" i="7" s="1"/>
  <c r="H1629" i="7"/>
  <c r="I1629" i="7" s="1"/>
  <c r="G1629" i="7"/>
  <c r="N1629" i="7" s="1"/>
  <c r="N1628" i="7"/>
  <c r="M1628" i="7"/>
  <c r="L1628" i="7"/>
  <c r="J1628" i="7"/>
  <c r="K1628" i="7" s="1"/>
  <c r="O1628" i="7" s="1"/>
  <c r="H1628" i="7"/>
  <c r="I1628" i="7" s="1"/>
  <c r="G1628" i="7"/>
  <c r="M1627" i="7"/>
  <c r="L1627" i="7"/>
  <c r="J1627" i="7"/>
  <c r="K1627" i="7" s="1"/>
  <c r="O1627" i="7" s="1"/>
  <c r="H1627" i="7"/>
  <c r="I1627" i="7" s="1"/>
  <c r="G1627" i="7"/>
  <c r="N1627" i="7" s="1"/>
  <c r="N1626" i="7"/>
  <c r="M1626" i="7"/>
  <c r="L1626" i="7"/>
  <c r="J1626" i="7"/>
  <c r="K1626" i="7" s="1"/>
  <c r="O1626" i="7" s="1"/>
  <c r="H1626" i="7"/>
  <c r="I1626" i="7" s="1"/>
  <c r="G1626" i="7"/>
  <c r="N1625" i="7"/>
  <c r="M1625" i="7"/>
  <c r="L1625" i="7"/>
  <c r="J1625" i="7"/>
  <c r="K1625" i="7" s="1"/>
  <c r="O1625" i="7" s="1"/>
  <c r="H1625" i="7"/>
  <c r="I1625" i="7" s="1"/>
  <c r="G1625" i="7"/>
  <c r="M1624" i="7"/>
  <c r="L1624" i="7"/>
  <c r="J1624" i="7"/>
  <c r="K1624" i="7" s="1"/>
  <c r="O1624" i="7" s="1"/>
  <c r="H1624" i="7"/>
  <c r="I1624" i="7" s="1"/>
  <c r="G1624" i="7"/>
  <c r="N1624" i="7" s="1"/>
  <c r="N1623" i="7"/>
  <c r="M1623" i="7"/>
  <c r="L1623" i="7"/>
  <c r="J1623" i="7"/>
  <c r="K1623" i="7" s="1"/>
  <c r="O1623" i="7" s="1"/>
  <c r="H1623" i="7"/>
  <c r="I1623" i="7" s="1"/>
  <c r="G1623" i="7"/>
  <c r="M1622" i="7"/>
  <c r="L1622" i="7"/>
  <c r="J1622" i="7"/>
  <c r="K1622" i="7" s="1"/>
  <c r="O1622" i="7" s="1"/>
  <c r="H1622" i="7"/>
  <c r="I1622" i="7" s="1"/>
  <c r="G1622" i="7"/>
  <c r="N1622" i="7" s="1"/>
  <c r="N1621" i="7"/>
  <c r="M1621" i="7"/>
  <c r="L1621" i="7"/>
  <c r="J1621" i="7"/>
  <c r="K1621" i="7" s="1"/>
  <c r="O1621" i="7" s="1"/>
  <c r="H1621" i="7"/>
  <c r="I1621" i="7" s="1"/>
  <c r="G1621" i="7"/>
  <c r="M1620" i="7"/>
  <c r="L1620" i="7"/>
  <c r="J1620" i="7"/>
  <c r="K1620" i="7" s="1"/>
  <c r="O1620" i="7" s="1"/>
  <c r="H1620" i="7"/>
  <c r="I1620" i="7" s="1"/>
  <c r="G1620" i="7"/>
  <c r="N1620" i="7" s="1"/>
  <c r="N1619" i="7"/>
  <c r="M1619" i="7"/>
  <c r="L1619" i="7"/>
  <c r="J1619" i="7"/>
  <c r="K1619" i="7" s="1"/>
  <c r="O1619" i="7" s="1"/>
  <c r="H1619" i="7"/>
  <c r="I1619" i="7" s="1"/>
  <c r="G1619" i="7"/>
  <c r="M1618" i="7"/>
  <c r="L1618" i="7"/>
  <c r="J1618" i="7"/>
  <c r="K1618" i="7" s="1"/>
  <c r="O1618" i="7" s="1"/>
  <c r="H1618" i="7"/>
  <c r="I1618" i="7" s="1"/>
  <c r="G1618" i="7"/>
  <c r="N1618" i="7" s="1"/>
  <c r="N1617" i="7"/>
  <c r="M1617" i="7"/>
  <c r="L1617" i="7"/>
  <c r="J1617" i="7"/>
  <c r="K1617" i="7" s="1"/>
  <c r="O1617" i="7" s="1"/>
  <c r="H1617" i="7"/>
  <c r="I1617" i="7" s="1"/>
  <c r="G1617" i="7"/>
  <c r="M1616" i="7"/>
  <c r="L1616" i="7"/>
  <c r="J1616" i="7"/>
  <c r="K1616" i="7" s="1"/>
  <c r="O1616" i="7" s="1"/>
  <c r="H1616" i="7"/>
  <c r="I1616" i="7" s="1"/>
  <c r="G1616" i="7"/>
  <c r="N1616" i="7" s="1"/>
  <c r="N1615" i="7"/>
  <c r="M1615" i="7"/>
  <c r="L1615" i="7"/>
  <c r="J1615" i="7"/>
  <c r="K1615" i="7" s="1"/>
  <c r="O1615" i="7" s="1"/>
  <c r="H1615" i="7"/>
  <c r="I1615" i="7" s="1"/>
  <c r="G1615" i="7"/>
  <c r="M1614" i="7"/>
  <c r="L1614" i="7"/>
  <c r="J1614" i="7"/>
  <c r="K1614" i="7" s="1"/>
  <c r="O1614" i="7" s="1"/>
  <c r="H1614" i="7"/>
  <c r="I1614" i="7" s="1"/>
  <c r="G1614" i="7"/>
  <c r="N1614" i="7" s="1"/>
  <c r="N1613" i="7"/>
  <c r="M1613" i="7"/>
  <c r="L1613" i="7"/>
  <c r="J1613" i="7"/>
  <c r="K1613" i="7" s="1"/>
  <c r="O1613" i="7" s="1"/>
  <c r="H1613" i="7"/>
  <c r="I1613" i="7" s="1"/>
  <c r="G1613" i="7"/>
  <c r="M1612" i="7"/>
  <c r="L1612" i="7"/>
  <c r="J1612" i="7"/>
  <c r="K1612" i="7" s="1"/>
  <c r="O1612" i="7" s="1"/>
  <c r="H1612" i="7"/>
  <c r="I1612" i="7" s="1"/>
  <c r="G1612" i="7"/>
  <c r="N1612" i="7" s="1"/>
  <c r="N1611" i="7"/>
  <c r="M1611" i="7"/>
  <c r="L1611" i="7"/>
  <c r="J1611" i="7"/>
  <c r="K1611" i="7" s="1"/>
  <c r="O1611" i="7" s="1"/>
  <c r="H1611" i="7"/>
  <c r="I1611" i="7" s="1"/>
  <c r="G1611" i="7"/>
  <c r="M1610" i="7"/>
  <c r="L1610" i="7"/>
  <c r="J1610" i="7"/>
  <c r="K1610" i="7" s="1"/>
  <c r="O1610" i="7" s="1"/>
  <c r="H1610" i="7"/>
  <c r="I1610" i="7" s="1"/>
  <c r="G1610" i="7"/>
  <c r="N1610" i="7" s="1"/>
  <c r="N1609" i="7"/>
  <c r="M1609" i="7"/>
  <c r="L1609" i="7"/>
  <c r="J1609" i="7"/>
  <c r="K1609" i="7" s="1"/>
  <c r="O1609" i="7" s="1"/>
  <c r="H1609" i="7"/>
  <c r="I1609" i="7" s="1"/>
  <c r="G1609" i="7"/>
  <c r="M1608" i="7"/>
  <c r="L1608" i="7"/>
  <c r="J1608" i="7"/>
  <c r="K1608" i="7" s="1"/>
  <c r="O1608" i="7" s="1"/>
  <c r="H1608" i="7"/>
  <c r="I1608" i="7" s="1"/>
  <c r="G1608" i="7"/>
  <c r="N1608" i="7" s="1"/>
  <c r="N1607" i="7"/>
  <c r="M1607" i="7"/>
  <c r="L1607" i="7"/>
  <c r="J1607" i="7"/>
  <c r="K1607" i="7" s="1"/>
  <c r="O1607" i="7" s="1"/>
  <c r="H1607" i="7"/>
  <c r="I1607" i="7" s="1"/>
  <c r="G1607" i="7"/>
  <c r="M1606" i="7"/>
  <c r="L1606" i="7"/>
  <c r="J1606" i="7"/>
  <c r="K1606" i="7" s="1"/>
  <c r="O1606" i="7" s="1"/>
  <c r="H1606" i="7"/>
  <c r="I1606" i="7" s="1"/>
  <c r="G1606" i="7"/>
  <c r="N1606" i="7" s="1"/>
  <c r="N1605" i="7"/>
  <c r="M1605" i="7"/>
  <c r="L1605" i="7"/>
  <c r="J1605" i="7"/>
  <c r="K1605" i="7" s="1"/>
  <c r="O1605" i="7" s="1"/>
  <c r="H1605" i="7"/>
  <c r="I1605" i="7" s="1"/>
  <c r="G1605" i="7"/>
  <c r="M1604" i="7"/>
  <c r="L1604" i="7"/>
  <c r="J1604" i="7"/>
  <c r="K1604" i="7" s="1"/>
  <c r="O1604" i="7" s="1"/>
  <c r="H1604" i="7"/>
  <c r="I1604" i="7" s="1"/>
  <c r="G1604" i="7"/>
  <c r="N1604" i="7" s="1"/>
  <c r="N1603" i="7"/>
  <c r="M1603" i="7"/>
  <c r="L1603" i="7"/>
  <c r="J1603" i="7"/>
  <c r="K1603" i="7" s="1"/>
  <c r="O1603" i="7" s="1"/>
  <c r="H1603" i="7"/>
  <c r="I1603" i="7" s="1"/>
  <c r="G1603" i="7"/>
  <c r="M1602" i="7"/>
  <c r="L1602" i="7"/>
  <c r="J1602" i="7"/>
  <c r="K1602" i="7" s="1"/>
  <c r="O1602" i="7" s="1"/>
  <c r="H1602" i="7"/>
  <c r="I1602" i="7" s="1"/>
  <c r="G1602" i="7"/>
  <c r="N1602" i="7" s="1"/>
  <c r="N1601" i="7"/>
  <c r="M1601" i="7"/>
  <c r="L1601" i="7"/>
  <c r="J1601" i="7"/>
  <c r="K1601" i="7" s="1"/>
  <c r="O1601" i="7" s="1"/>
  <c r="H1601" i="7"/>
  <c r="I1601" i="7" s="1"/>
  <c r="G1601" i="7"/>
  <c r="M1600" i="7"/>
  <c r="L1600" i="7"/>
  <c r="J1600" i="7"/>
  <c r="K1600" i="7" s="1"/>
  <c r="O1600" i="7" s="1"/>
  <c r="H1600" i="7"/>
  <c r="I1600" i="7" s="1"/>
  <c r="G1600" i="7"/>
  <c r="N1600" i="7" s="1"/>
  <c r="N1599" i="7"/>
  <c r="M1599" i="7"/>
  <c r="L1599" i="7"/>
  <c r="J1599" i="7"/>
  <c r="K1599" i="7" s="1"/>
  <c r="O1599" i="7" s="1"/>
  <c r="H1599" i="7"/>
  <c r="I1599" i="7" s="1"/>
  <c r="G1599" i="7"/>
  <c r="M1598" i="7"/>
  <c r="L1598" i="7"/>
  <c r="J1598" i="7"/>
  <c r="K1598" i="7" s="1"/>
  <c r="O1598" i="7" s="1"/>
  <c r="H1598" i="7"/>
  <c r="I1598" i="7" s="1"/>
  <c r="G1598" i="7"/>
  <c r="N1598" i="7" s="1"/>
  <c r="N1597" i="7"/>
  <c r="M1597" i="7"/>
  <c r="L1597" i="7"/>
  <c r="J1597" i="7"/>
  <c r="K1597" i="7" s="1"/>
  <c r="O1597" i="7" s="1"/>
  <c r="H1597" i="7"/>
  <c r="I1597" i="7" s="1"/>
  <c r="G1597" i="7"/>
  <c r="M1596" i="7"/>
  <c r="L1596" i="7"/>
  <c r="J1596" i="7"/>
  <c r="K1596" i="7" s="1"/>
  <c r="O1596" i="7" s="1"/>
  <c r="H1596" i="7"/>
  <c r="I1596" i="7" s="1"/>
  <c r="G1596" i="7"/>
  <c r="N1596" i="7" s="1"/>
  <c r="N1595" i="7"/>
  <c r="M1595" i="7"/>
  <c r="L1595" i="7"/>
  <c r="J1595" i="7"/>
  <c r="K1595" i="7" s="1"/>
  <c r="O1595" i="7" s="1"/>
  <c r="H1595" i="7"/>
  <c r="I1595" i="7" s="1"/>
  <c r="G1595" i="7"/>
  <c r="M1594" i="7"/>
  <c r="L1594" i="7"/>
  <c r="J1594" i="7"/>
  <c r="K1594" i="7" s="1"/>
  <c r="O1594" i="7" s="1"/>
  <c r="H1594" i="7"/>
  <c r="I1594" i="7" s="1"/>
  <c r="G1594" i="7"/>
  <c r="N1594" i="7" s="1"/>
  <c r="N1593" i="7"/>
  <c r="M1593" i="7"/>
  <c r="L1593" i="7"/>
  <c r="J1593" i="7"/>
  <c r="K1593" i="7" s="1"/>
  <c r="O1593" i="7" s="1"/>
  <c r="H1593" i="7"/>
  <c r="I1593" i="7" s="1"/>
  <c r="G1593" i="7"/>
  <c r="M1592" i="7"/>
  <c r="L1592" i="7"/>
  <c r="J1592" i="7"/>
  <c r="K1592" i="7" s="1"/>
  <c r="O1592" i="7" s="1"/>
  <c r="H1592" i="7"/>
  <c r="I1592" i="7" s="1"/>
  <c r="G1592" i="7"/>
  <c r="N1592" i="7" s="1"/>
  <c r="N1591" i="7"/>
  <c r="M1591" i="7"/>
  <c r="L1591" i="7"/>
  <c r="J1591" i="7"/>
  <c r="K1591" i="7" s="1"/>
  <c r="O1591" i="7" s="1"/>
  <c r="H1591" i="7"/>
  <c r="I1591" i="7" s="1"/>
  <c r="G1591" i="7"/>
  <c r="M1590" i="7"/>
  <c r="L1590" i="7"/>
  <c r="J1590" i="7"/>
  <c r="K1590" i="7" s="1"/>
  <c r="O1590" i="7" s="1"/>
  <c r="H1590" i="7"/>
  <c r="I1590" i="7" s="1"/>
  <c r="G1590" i="7"/>
  <c r="N1590" i="7" s="1"/>
  <c r="N1589" i="7"/>
  <c r="M1589" i="7"/>
  <c r="L1589" i="7"/>
  <c r="J1589" i="7"/>
  <c r="K1589" i="7" s="1"/>
  <c r="O1589" i="7" s="1"/>
  <c r="H1589" i="7"/>
  <c r="I1589" i="7" s="1"/>
  <c r="G1589" i="7"/>
  <c r="M1588" i="7"/>
  <c r="L1588" i="7"/>
  <c r="J1588" i="7"/>
  <c r="K1588" i="7" s="1"/>
  <c r="O1588" i="7" s="1"/>
  <c r="H1588" i="7"/>
  <c r="I1588" i="7" s="1"/>
  <c r="G1588" i="7"/>
  <c r="N1588" i="7" s="1"/>
  <c r="N1587" i="7"/>
  <c r="M1587" i="7"/>
  <c r="L1587" i="7"/>
  <c r="J1587" i="7"/>
  <c r="K1587" i="7" s="1"/>
  <c r="O1587" i="7" s="1"/>
  <c r="H1587" i="7"/>
  <c r="I1587" i="7" s="1"/>
  <c r="G1587" i="7"/>
  <c r="M1586" i="7"/>
  <c r="L1586" i="7"/>
  <c r="J1586" i="7"/>
  <c r="K1586" i="7" s="1"/>
  <c r="O1586" i="7" s="1"/>
  <c r="H1586" i="7"/>
  <c r="I1586" i="7" s="1"/>
  <c r="G1586" i="7"/>
  <c r="N1586" i="7" s="1"/>
  <c r="N1585" i="7"/>
  <c r="M1585" i="7"/>
  <c r="L1585" i="7"/>
  <c r="J1585" i="7"/>
  <c r="K1585" i="7" s="1"/>
  <c r="O1585" i="7" s="1"/>
  <c r="H1585" i="7"/>
  <c r="I1585" i="7" s="1"/>
  <c r="G1585" i="7"/>
  <c r="M1584" i="7"/>
  <c r="L1584" i="7"/>
  <c r="J1584" i="7"/>
  <c r="K1584" i="7" s="1"/>
  <c r="O1584" i="7" s="1"/>
  <c r="H1584" i="7"/>
  <c r="I1584" i="7" s="1"/>
  <c r="G1584" i="7"/>
  <c r="N1584" i="7" s="1"/>
  <c r="N1583" i="7"/>
  <c r="M1583" i="7"/>
  <c r="L1583" i="7"/>
  <c r="J1583" i="7"/>
  <c r="K1583" i="7" s="1"/>
  <c r="O1583" i="7" s="1"/>
  <c r="H1583" i="7"/>
  <c r="I1583" i="7" s="1"/>
  <c r="G1583" i="7"/>
  <c r="M1582" i="7"/>
  <c r="L1582" i="7"/>
  <c r="J1582" i="7"/>
  <c r="K1582" i="7" s="1"/>
  <c r="O1582" i="7" s="1"/>
  <c r="H1582" i="7"/>
  <c r="I1582" i="7" s="1"/>
  <c r="G1582" i="7"/>
  <c r="N1582" i="7" s="1"/>
  <c r="N1581" i="7"/>
  <c r="M1581" i="7"/>
  <c r="L1581" i="7"/>
  <c r="J1581" i="7"/>
  <c r="K1581" i="7" s="1"/>
  <c r="O1581" i="7" s="1"/>
  <c r="H1581" i="7"/>
  <c r="I1581" i="7" s="1"/>
  <c r="G1581" i="7"/>
  <c r="M1580" i="7"/>
  <c r="L1580" i="7"/>
  <c r="J1580" i="7"/>
  <c r="K1580" i="7" s="1"/>
  <c r="O1580" i="7" s="1"/>
  <c r="H1580" i="7"/>
  <c r="I1580" i="7" s="1"/>
  <c r="G1580" i="7"/>
  <c r="N1580" i="7" s="1"/>
  <c r="N1579" i="7"/>
  <c r="M1579" i="7"/>
  <c r="L1579" i="7"/>
  <c r="J1579" i="7"/>
  <c r="K1579" i="7" s="1"/>
  <c r="O1579" i="7" s="1"/>
  <c r="H1579" i="7"/>
  <c r="I1579" i="7" s="1"/>
  <c r="G1579" i="7"/>
  <c r="M1578" i="7"/>
  <c r="L1578" i="7"/>
  <c r="J1578" i="7"/>
  <c r="K1578" i="7" s="1"/>
  <c r="O1578" i="7" s="1"/>
  <c r="H1578" i="7"/>
  <c r="I1578" i="7" s="1"/>
  <c r="G1578" i="7"/>
  <c r="N1578" i="7" s="1"/>
  <c r="N1577" i="7"/>
  <c r="M1577" i="7"/>
  <c r="L1577" i="7"/>
  <c r="J1577" i="7"/>
  <c r="K1577" i="7" s="1"/>
  <c r="O1577" i="7" s="1"/>
  <c r="H1577" i="7"/>
  <c r="I1577" i="7" s="1"/>
  <c r="G1577" i="7"/>
  <c r="M1576" i="7"/>
  <c r="L1576" i="7"/>
  <c r="J1576" i="7"/>
  <c r="K1576" i="7" s="1"/>
  <c r="O1576" i="7" s="1"/>
  <c r="H1576" i="7"/>
  <c r="I1576" i="7" s="1"/>
  <c r="G1576" i="7"/>
  <c r="N1576" i="7" s="1"/>
  <c r="N1575" i="7"/>
  <c r="M1575" i="7"/>
  <c r="L1575" i="7"/>
  <c r="J1575" i="7"/>
  <c r="K1575" i="7" s="1"/>
  <c r="O1575" i="7" s="1"/>
  <c r="H1575" i="7"/>
  <c r="I1575" i="7" s="1"/>
  <c r="G1575" i="7"/>
  <c r="M1574" i="7"/>
  <c r="L1574" i="7"/>
  <c r="J1574" i="7"/>
  <c r="K1574" i="7" s="1"/>
  <c r="O1574" i="7" s="1"/>
  <c r="H1574" i="7"/>
  <c r="I1574" i="7" s="1"/>
  <c r="G1574" i="7"/>
  <c r="N1574" i="7" s="1"/>
  <c r="N1573" i="7"/>
  <c r="M1573" i="7"/>
  <c r="L1573" i="7"/>
  <c r="J1573" i="7"/>
  <c r="K1573" i="7" s="1"/>
  <c r="O1573" i="7" s="1"/>
  <c r="H1573" i="7"/>
  <c r="I1573" i="7" s="1"/>
  <c r="G1573" i="7"/>
  <c r="M1572" i="7"/>
  <c r="L1572" i="7"/>
  <c r="J1572" i="7"/>
  <c r="K1572" i="7" s="1"/>
  <c r="O1572" i="7" s="1"/>
  <c r="H1572" i="7"/>
  <c r="I1572" i="7" s="1"/>
  <c r="G1572" i="7"/>
  <c r="N1572" i="7" s="1"/>
  <c r="N1571" i="7"/>
  <c r="M1571" i="7"/>
  <c r="L1571" i="7"/>
  <c r="J1571" i="7"/>
  <c r="K1571" i="7" s="1"/>
  <c r="O1571" i="7" s="1"/>
  <c r="H1571" i="7"/>
  <c r="I1571" i="7" s="1"/>
  <c r="G1571" i="7"/>
  <c r="M1570" i="7"/>
  <c r="L1570" i="7"/>
  <c r="J1570" i="7"/>
  <c r="K1570" i="7" s="1"/>
  <c r="O1570" i="7" s="1"/>
  <c r="H1570" i="7"/>
  <c r="I1570" i="7" s="1"/>
  <c r="G1570" i="7"/>
  <c r="N1570" i="7" s="1"/>
  <c r="N1569" i="7"/>
  <c r="M1569" i="7"/>
  <c r="L1569" i="7"/>
  <c r="J1569" i="7"/>
  <c r="K1569" i="7" s="1"/>
  <c r="O1569" i="7" s="1"/>
  <c r="H1569" i="7"/>
  <c r="I1569" i="7" s="1"/>
  <c r="G1569" i="7"/>
  <c r="M1568" i="7"/>
  <c r="L1568" i="7"/>
  <c r="J1568" i="7"/>
  <c r="K1568" i="7" s="1"/>
  <c r="O1568" i="7" s="1"/>
  <c r="H1568" i="7"/>
  <c r="I1568" i="7" s="1"/>
  <c r="G1568" i="7"/>
  <c r="N1568" i="7" s="1"/>
  <c r="N1567" i="7"/>
  <c r="M1567" i="7"/>
  <c r="L1567" i="7"/>
  <c r="J1567" i="7"/>
  <c r="K1567" i="7" s="1"/>
  <c r="O1567" i="7" s="1"/>
  <c r="H1567" i="7"/>
  <c r="I1567" i="7" s="1"/>
  <c r="G1567" i="7"/>
  <c r="M1566" i="7"/>
  <c r="L1566" i="7"/>
  <c r="J1566" i="7"/>
  <c r="K1566" i="7" s="1"/>
  <c r="O1566" i="7" s="1"/>
  <c r="H1566" i="7"/>
  <c r="I1566" i="7" s="1"/>
  <c r="G1566" i="7"/>
  <c r="N1566" i="7" s="1"/>
  <c r="N1565" i="7"/>
  <c r="M1565" i="7"/>
  <c r="L1565" i="7"/>
  <c r="J1565" i="7"/>
  <c r="K1565" i="7" s="1"/>
  <c r="O1565" i="7" s="1"/>
  <c r="H1565" i="7"/>
  <c r="I1565" i="7" s="1"/>
  <c r="G1565" i="7"/>
  <c r="M1564" i="7"/>
  <c r="L1564" i="7"/>
  <c r="J1564" i="7"/>
  <c r="K1564" i="7" s="1"/>
  <c r="O1564" i="7" s="1"/>
  <c r="H1564" i="7"/>
  <c r="I1564" i="7" s="1"/>
  <c r="G1564" i="7"/>
  <c r="N1564" i="7" s="1"/>
  <c r="N1563" i="7"/>
  <c r="M1563" i="7"/>
  <c r="L1563" i="7"/>
  <c r="J1563" i="7"/>
  <c r="K1563" i="7" s="1"/>
  <c r="O1563" i="7" s="1"/>
  <c r="H1563" i="7"/>
  <c r="I1563" i="7" s="1"/>
  <c r="G1563" i="7"/>
  <c r="M1562" i="7"/>
  <c r="L1562" i="7"/>
  <c r="J1562" i="7"/>
  <c r="K1562" i="7" s="1"/>
  <c r="O1562" i="7" s="1"/>
  <c r="H1562" i="7"/>
  <c r="I1562" i="7" s="1"/>
  <c r="G1562" i="7"/>
  <c r="N1562" i="7" s="1"/>
  <c r="N1561" i="7"/>
  <c r="M1561" i="7"/>
  <c r="L1561" i="7"/>
  <c r="J1561" i="7"/>
  <c r="K1561" i="7" s="1"/>
  <c r="O1561" i="7" s="1"/>
  <c r="H1561" i="7"/>
  <c r="I1561" i="7" s="1"/>
  <c r="G1561" i="7"/>
  <c r="M1560" i="7"/>
  <c r="L1560" i="7"/>
  <c r="J1560" i="7"/>
  <c r="K1560" i="7" s="1"/>
  <c r="O1560" i="7" s="1"/>
  <c r="H1560" i="7"/>
  <c r="I1560" i="7" s="1"/>
  <c r="G1560" i="7"/>
  <c r="N1560" i="7" s="1"/>
  <c r="N1559" i="7"/>
  <c r="M1559" i="7"/>
  <c r="L1559" i="7"/>
  <c r="J1559" i="7"/>
  <c r="K1559" i="7" s="1"/>
  <c r="O1559" i="7" s="1"/>
  <c r="H1559" i="7"/>
  <c r="I1559" i="7" s="1"/>
  <c r="G1559" i="7"/>
  <c r="M1558" i="7"/>
  <c r="L1558" i="7"/>
  <c r="J1558" i="7"/>
  <c r="K1558" i="7" s="1"/>
  <c r="O1558" i="7" s="1"/>
  <c r="H1558" i="7"/>
  <c r="I1558" i="7" s="1"/>
  <c r="G1558" i="7"/>
  <c r="N1558" i="7" s="1"/>
  <c r="N1557" i="7"/>
  <c r="M1557" i="7"/>
  <c r="L1557" i="7"/>
  <c r="J1557" i="7"/>
  <c r="K1557" i="7" s="1"/>
  <c r="O1557" i="7" s="1"/>
  <c r="H1557" i="7"/>
  <c r="I1557" i="7" s="1"/>
  <c r="G1557" i="7"/>
  <c r="M1556" i="7"/>
  <c r="L1556" i="7"/>
  <c r="J1556" i="7"/>
  <c r="K1556" i="7" s="1"/>
  <c r="O1556" i="7" s="1"/>
  <c r="H1556" i="7"/>
  <c r="I1556" i="7" s="1"/>
  <c r="G1556" i="7"/>
  <c r="N1556" i="7" s="1"/>
  <c r="N1555" i="7"/>
  <c r="M1555" i="7"/>
  <c r="L1555" i="7"/>
  <c r="J1555" i="7"/>
  <c r="K1555" i="7" s="1"/>
  <c r="O1555" i="7" s="1"/>
  <c r="H1555" i="7"/>
  <c r="I1555" i="7" s="1"/>
  <c r="G1555" i="7"/>
  <c r="M1554" i="7"/>
  <c r="L1554" i="7"/>
  <c r="J1554" i="7"/>
  <c r="K1554" i="7" s="1"/>
  <c r="O1554" i="7" s="1"/>
  <c r="H1554" i="7"/>
  <c r="I1554" i="7" s="1"/>
  <c r="G1554" i="7"/>
  <c r="N1554" i="7" s="1"/>
  <c r="N1553" i="7"/>
  <c r="M1553" i="7"/>
  <c r="L1553" i="7"/>
  <c r="J1553" i="7"/>
  <c r="K1553" i="7" s="1"/>
  <c r="O1553" i="7" s="1"/>
  <c r="H1553" i="7"/>
  <c r="I1553" i="7" s="1"/>
  <c r="G1553" i="7"/>
  <c r="M1552" i="7"/>
  <c r="L1552" i="7"/>
  <c r="J1552" i="7"/>
  <c r="K1552" i="7" s="1"/>
  <c r="O1552" i="7" s="1"/>
  <c r="H1552" i="7"/>
  <c r="I1552" i="7" s="1"/>
  <c r="G1552" i="7"/>
  <c r="N1552" i="7" s="1"/>
  <c r="N1551" i="7"/>
  <c r="M1551" i="7"/>
  <c r="L1551" i="7"/>
  <c r="J1551" i="7"/>
  <c r="K1551" i="7" s="1"/>
  <c r="O1551" i="7" s="1"/>
  <c r="H1551" i="7"/>
  <c r="I1551" i="7" s="1"/>
  <c r="G1551" i="7"/>
  <c r="M1550" i="7"/>
  <c r="L1550" i="7"/>
  <c r="J1550" i="7"/>
  <c r="K1550" i="7" s="1"/>
  <c r="O1550" i="7" s="1"/>
  <c r="H1550" i="7"/>
  <c r="I1550" i="7" s="1"/>
  <c r="G1550" i="7"/>
  <c r="N1550" i="7" s="1"/>
  <c r="N1549" i="7"/>
  <c r="M1549" i="7"/>
  <c r="L1549" i="7"/>
  <c r="J1549" i="7"/>
  <c r="K1549" i="7" s="1"/>
  <c r="O1549" i="7" s="1"/>
  <c r="H1549" i="7"/>
  <c r="I1549" i="7" s="1"/>
  <c r="G1549" i="7"/>
  <c r="M1548" i="7"/>
  <c r="L1548" i="7"/>
  <c r="J1548" i="7"/>
  <c r="K1548" i="7" s="1"/>
  <c r="O1548" i="7" s="1"/>
  <c r="H1548" i="7"/>
  <c r="I1548" i="7" s="1"/>
  <c r="G1548" i="7"/>
  <c r="N1548" i="7" s="1"/>
  <c r="N1547" i="7"/>
  <c r="M1547" i="7"/>
  <c r="L1547" i="7"/>
  <c r="J1547" i="7"/>
  <c r="K1547" i="7" s="1"/>
  <c r="O1547" i="7" s="1"/>
  <c r="H1547" i="7"/>
  <c r="I1547" i="7" s="1"/>
  <c r="G1547" i="7"/>
  <c r="M1546" i="7"/>
  <c r="L1546" i="7"/>
  <c r="J1546" i="7"/>
  <c r="K1546" i="7" s="1"/>
  <c r="O1546" i="7" s="1"/>
  <c r="H1546" i="7"/>
  <c r="I1546" i="7" s="1"/>
  <c r="G1546" i="7"/>
  <c r="N1546" i="7" s="1"/>
  <c r="N1545" i="7"/>
  <c r="M1545" i="7"/>
  <c r="L1545" i="7"/>
  <c r="J1545" i="7"/>
  <c r="K1545" i="7" s="1"/>
  <c r="O1545" i="7" s="1"/>
  <c r="H1545" i="7"/>
  <c r="I1545" i="7" s="1"/>
  <c r="G1545" i="7"/>
  <c r="M1544" i="7"/>
  <c r="L1544" i="7"/>
  <c r="J1544" i="7"/>
  <c r="K1544" i="7" s="1"/>
  <c r="O1544" i="7" s="1"/>
  <c r="H1544" i="7"/>
  <c r="I1544" i="7" s="1"/>
  <c r="G1544" i="7"/>
  <c r="N1544" i="7" s="1"/>
  <c r="N1543" i="7"/>
  <c r="M1543" i="7"/>
  <c r="L1543" i="7"/>
  <c r="J1543" i="7"/>
  <c r="K1543" i="7" s="1"/>
  <c r="O1543" i="7" s="1"/>
  <c r="H1543" i="7"/>
  <c r="I1543" i="7" s="1"/>
  <c r="G1543" i="7"/>
  <c r="M1542" i="7"/>
  <c r="L1542" i="7"/>
  <c r="J1542" i="7"/>
  <c r="K1542" i="7" s="1"/>
  <c r="O1542" i="7" s="1"/>
  <c r="H1542" i="7"/>
  <c r="I1542" i="7" s="1"/>
  <c r="G1542" i="7"/>
  <c r="N1542" i="7" s="1"/>
  <c r="N1541" i="7"/>
  <c r="M1541" i="7"/>
  <c r="L1541" i="7"/>
  <c r="J1541" i="7"/>
  <c r="K1541" i="7" s="1"/>
  <c r="O1541" i="7" s="1"/>
  <c r="H1541" i="7"/>
  <c r="I1541" i="7" s="1"/>
  <c r="G1541" i="7"/>
  <c r="M1540" i="7"/>
  <c r="L1540" i="7"/>
  <c r="J1540" i="7"/>
  <c r="K1540" i="7" s="1"/>
  <c r="O1540" i="7" s="1"/>
  <c r="H1540" i="7"/>
  <c r="I1540" i="7" s="1"/>
  <c r="G1540" i="7"/>
  <c r="N1540" i="7" s="1"/>
  <c r="N1539" i="7"/>
  <c r="M1539" i="7"/>
  <c r="L1539" i="7"/>
  <c r="J1539" i="7"/>
  <c r="K1539" i="7" s="1"/>
  <c r="O1539" i="7" s="1"/>
  <c r="H1539" i="7"/>
  <c r="I1539" i="7" s="1"/>
  <c r="G1539" i="7"/>
  <c r="M1538" i="7"/>
  <c r="L1538" i="7"/>
  <c r="J1538" i="7"/>
  <c r="K1538" i="7" s="1"/>
  <c r="O1538" i="7" s="1"/>
  <c r="H1538" i="7"/>
  <c r="I1538" i="7" s="1"/>
  <c r="G1538" i="7"/>
  <c r="N1538" i="7" s="1"/>
  <c r="N1537" i="7"/>
  <c r="M1537" i="7"/>
  <c r="L1537" i="7"/>
  <c r="J1537" i="7"/>
  <c r="K1537" i="7" s="1"/>
  <c r="O1537" i="7" s="1"/>
  <c r="H1537" i="7"/>
  <c r="I1537" i="7" s="1"/>
  <c r="G1537" i="7"/>
  <c r="M1536" i="7"/>
  <c r="L1536" i="7"/>
  <c r="J1536" i="7"/>
  <c r="K1536" i="7" s="1"/>
  <c r="O1536" i="7" s="1"/>
  <c r="H1536" i="7"/>
  <c r="I1536" i="7" s="1"/>
  <c r="G1536" i="7"/>
  <c r="N1536" i="7" s="1"/>
  <c r="N1535" i="7"/>
  <c r="M1535" i="7"/>
  <c r="L1535" i="7"/>
  <c r="J1535" i="7"/>
  <c r="K1535" i="7" s="1"/>
  <c r="O1535" i="7" s="1"/>
  <c r="H1535" i="7"/>
  <c r="I1535" i="7" s="1"/>
  <c r="G1535" i="7"/>
  <c r="M1534" i="7"/>
  <c r="L1534" i="7"/>
  <c r="J1534" i="7"/>
  <c r="K1534" i="7" s="1"/>
  <c r="O1534" i="7" s="1"/>
  <c r="H1534" i="7"/>
  <c r="I1534" i="7" s="1"/>
  <c r="G1534" i="7"/>
  <c r="N1534" i="7" s="1"/>
  <c r="N1533" i="7"/>
  <c r="M1533" i="7"/>
  <c r="L1533" i="7"/>
  <c r="J1533" i="7"/>
  <c r="K1533" i="7" s="1"/>
  <c r="O1533" i="7" s="1"/>
  <c r="H1533" i="7"/>
  <c r="I1533" i="7" s="1"/>
  <c r="G1533" i="7"/>
  <c r="M1532" i="7"/>
  <c r="L1532" i="7"/>
  <c r="J1532" i="7"/>
  <c r="K1532" i="7" s="1"/>
  <c r="O1532" i="7" s="1"/>
  <c r="H1532" i="7"/>
  <c r="I1532" i="7" s="1"/>
  <c r="G1532" i="7"/>
  <c r="N1532" i="7" s="1"/>
  <c r="N1531" i="7"/>
  <c r="M1531" i="7"/>
  <c r="L1531" i="7"/>
  <c r="J1531" i="7"/>
  <c r="K1531" i="7" s="1"/>
  <c r="O1531" i="7" s="1"/>
  <c r="H1531" i="7"/>
  <c r="I1531" i="7" s="1"/>
  <c r="G1531" i="7"/>
  <c r="M1530" i="7"/>
  <c r="L1530" i="7"/>
  <c r="J1530" i="7"/>
  <c r="K1530" i="7" s="1"/>
  <c r="O1530" i="7" s="1"/>
  <c r="H1530" i="7"/>
  <c r="I1530" i="7" s="1"/>
  <c r="G1530" i="7"/>
  <c r="N1530" i="7" s="1"/>
  <c r="N1529" i="7"/>
  <c r="M1529" i="7"/>
  <c r="L1529" i="7"/>
  <c r="J1529" i="7"/>
  <c r="K1529" i="7" s="1"/>
  <c r="O1529" i="7" s="1"/>
  <c r="H1529" i="7"/>
  <c r="I1529" i="7" s="1"/>
  <c r="G1529" i="7"/>
  <c r="M1528" i="7"/>
  <c r="L1528" i="7"/>
  <c r="J1528" i="7"/>
  <c r="K1528" i="7" s="1"/>
  <c r="O1528" i="7" s="1"/>
  <c r="H1528" i="7"/>
  <c r="I1528" i="7" s="1"/>
  <c r="G1528" i="7"/>
  <c r="N1528" i="7" s="1"/>
  <c r="N1527" i="7"/>
  <c r="M1527" i="7"/>
  <c r="L1527" i="7"/>
  <c r="J1527" i="7"/>
  <c r="K1527" i="7" s="1"/>
  <c r="O1527" i="7" s="1"/>
  <c r="H1527" i="7"/>
  <c r="I1527" i="7" s="1"/>
  <c r="G1527" i="7"/>
  <c r="M1526" i="7"/>
  <c r="L1526" i="7"/>
  <c r="J1526" i="7"/>
  <c r="K1526" i="7" s="1"/>
  <c r="O1526" i="7" s="1"/>
  <c r="H1526" i="7"/>
  <c r="I1526" i="7" s="1"/>
  <c r="G1526" i="7"/>
  <c r="N1526" i="7" s="1"/>
  <c r="N1525" i="7"/>
  <c r="M1525" i="7"/>
  <c r="L1525" i="7"/>
  <c r="J1525" i="7"/>
  <c r="K1525" i="7" s="1"/>
  <c r="O1525" i="7" s="1"/>
  <c r="H1525" i="7"/>
  <c r="I1525" i="7" s="1"/>
  <c r="G1525" i="7"/>
  <c r="M1524" i="7"/>
  <c r="L1524" i="7"/>
  <c r="J1524" i="7"/>
  <c r="K1524" i="7" s="1"/>
  <c r="O1524" i="7" s="1"/>
  <c r="H1524" i="7"/>
  <c r="I1524" i="7" s="1"/>
  <c r="G1524" i="7"/>
  <c r="N1524" i="7" s="1"/>
  <c r="N1523" i="7"/>
  <c r="M1523" i="7"/>
  <c r="L1523" i="7"/>
  <c r="J1523" i="7"/>
  <c r="K1523" i="7" s="1"/>
  <c r="O1523" i="7" s="1"/>
  <c r="H1523" i="7"/>
  <c r="I1523" i="7" s="1"/>
  <c r="G1523" i="7"/>
  <c r="M1522" i="7"/>
  <c r="L1522" i="7"/>
  <c r="J1522" i="7"/>
  <c r="K1522" i="7" s="1"/>
  <c r="O1522" i="7" s="1"/>
  <c r="H1522" i="7"/>
  <c r="I1522" i="7" s="1"/>
  <c r="G1522" i="7"/>
  <c r="N1522" i="7" s="1"/>
  <c r="N1521" i="7"/>
  <c r="M1521" i="7"/>
  <c r="L1521" i="7"/>
  <c r="J1521" i="7"/>
  <c r="K1521" i="7" s="1"/>
  <c r="O1521" i="7" s="1"/>
  <c r="H1521" i="7"/>
  <c r="I1521" i="7" s="1"/>
  <c r="G1521" i="7"/>
  <c r="M1520" i="7"/>
  <c r="L1520" i="7"/>
  <c r="J1520" i="7"/>
  <c r="K1520" i="7" s="1"/>
  <c r="O1520" i="7" s="1"/>
  <c r="H1520" i="7"/>
  <c r="I1520" i="7" s="1"/>
  <c r="G1520" i="7"/>
  <c r="N1520" i="7" s="1"/>
  <c r="N1519" i="7"/>
  <c r="M1519" i="7"/>
  <c r="L1519" i="7"/>
  <c r="J1519" i="7"/>
  <c r="K1519" i="7" s="1"/>
  <c r="O1519" i="7" s="1"/>
  <c r="H1519" i="7"/>
  <c r="I1519" i="7" s="1"/>
  <c r="G1519" i="7"/>
  <c r="M1518" i="7"/>
  <c r="L1518" i="7"/>
  <c r="J1518" i="7"/>
  <c r="K1518" i="7" s="1"/>
  <c r="O1518" i="7" s="1"/>
  <c r="H1518" i="7"/>
  <c r="I1518" i="7" s="1"/>
  <c r="G1518" i="7"/>
  <c r="N1518" i="7" s="1"/>
  <c r="N1517" i="7"/>
  <c r="M1517" i="7"/>
  <c r="L1517" i="7"/>
  <c r="J1517" i="7"/>
  <c r="K1517" i="7" s="1"/>
  <c r="O1517" i="7" s="1"/>
  <c r="H1517" i="7"/>
  <c r="I1517" i="7" s="1"/>
  <c r="G1517" i="7"/>
  <c r="M1516" i="7"/>
  <c r="L1516" i="7"/>
  <c r="J1516" i="7"/>
  <c r="K1516" i="7" s="1"/>
  <c r="O1516" i="7" s="1"/>
  <c r="H1516" i="7"/>
  <c r="I1516" i="7" s="1"/>
  <c r="G1516" i="7"/>
  <c r="N1516" i="7" s="1"/>
  <c r="N1515" i="7"/>
  <c r="M1515" i="7"/>
  <c r="L1515" i="7"/>
  <c r="J1515" i="7"/>
  <c r="K1515" i="7" s="1"/>
  <c r="O1515" i="7" s="1"/>
  <c r="H1515" i="7"/>
  <c r="I1515" i="7" s="1"/>
  <c r="G1515" i="7"/>
  <c r="M1514" i="7"/>
  <c r="L1514" i="7"/>
  <c r="J1514" i="7"/>
  <c r="K1514" i="7" s="1"/>
  <c r="O1514" i="7" s="1"/>
  <c r="H1514" i="7"/>
  <c r="I1514" i="7" s="1"/>
  <c r="G1514" i="7"/>
  <c r="N1514" i="7" s="1"/>
  <c r="N1513" i="7"/>
  <c r="M1513" i="7"/>
  <c r="L1513" i="7"/>
  <c r="J1513" i="7"/>
  <c r="K1513" i="7" s="1"/>
  <c r="O1513" i="7" s="1"/>
  <c r="H1513" i="7"/>
  <c r="I1513" i="7" s="1"/>
  <c r="G1513" i="7"/>
  <c r="M1512" i="7"/>
  <c r="L1512" i="7"/>
  <c r="J1512" i="7"/>
  <c r="K1512" i="7" s="1"/>
  <c r="O1512" i="7" s="1"/>
  <c r="H1512" i="7"/>
  <c r="I1512" i="7" s="1"/>
  <c r="G1512" i="7"/>
  <c r="N1512" i="7" s="1"/>
  <c r="N1511" i="7"/>
  <c r="M1511" i="7"/>
  <c r="L1511" i="7"/>
  <c r="J1511" i="7"/>
  <c r="K1511" i="7" s="1"/>
  <c r="O1511" i="7" s="1"/>
  <c r="H1511" i="7"/>
  <c r="I1511" i="7" s="1"/>
  <c r="G1511" i="7"/>
  <c r="M1510" i="7"/>
  <c r="L1510" i="7"/>
  <c r="J1510" i="7"/>
  <c r="K1510" i="7" s="1"/>
  <c r="O1510" i="7" s="1"/>
  <c r="H1510" i="7"/>
  <c r="I1510" i="7" s="1"/>
  <c r="G1510" i="7"/>
  <c r="N1510" i="7" s="1"/>
  <c r="N1509" i="7"/>
  <c r="M1509" i="7"/>
  <c r="L1509" i="7"/>
  <c r="J1509" i="7"/>
  <c r="K1509" i="7" s="1"/>
  <c r="O1509" i="7" s="1"/>
  <c r="H1509" i="7"/>
  <c r="I1509" i="7" s="1"/>
  <c r="G1509" i="7"/>
  <c r="M1508" i="7"/>
  <c r="L1508" i="7"/>
  <c r="J1508" i="7"/>
  <c r="K1508" i="7" s="1"/>
  <c r="O1508" i="7" s="1"/>
  <c r="H1508" i="7"/>
  <c r="I1508" i="7" s="1"/>
  <c r="G1508" i="7"/>
  <c r="N1508" i="7" s="1"/>
  <c r="N1507" i="7"/>
  <c r="M1507" i="7"/>
  <c r="L1507" i="7"/>
  <c r="J1507" i="7"/>
  <c r="K1507" i="7" s="1"/>
  <c r="O1507" i="7" s="1"/>
  <c r="H1507" i="7"/>
  <c r="I1507" i="7" s="1"/>
  <c r="G1507" i="7"/>
  <c r="M1506" i="7"/>
  <c r="L1506" i="7"/>
  <c r="J1506" i="7"/>
  <c r="K1506" i="7" s="1"/>
  <c r="O1506" i="7" s="1"/>
  <c r="H1506" i="7"/>
  <c r="I1506" i="7" s="1"/>
  <c r="G1506" i="7"/>
  <c r="N1506" i="7" s="1"/>
  <c r="N1505" i="7"/>
  <c r="M1505" i="7"/>
  <c r="L1505" i="7"/>
  <c r="J1505" i="7"/>
  <c r="K1505" i="7" s="1"/>
  <c r="O1505" i="7" s="1"/>
  <c r="H1505" i="7"/>
  <c r="I1505" i="7" s="1"/>
  <c r="G1505" i="7"/>
  <c r="M1504" i="7"/>
  <c r="L1504" i="7"/>
  <c r="J1504" i="7"/>
  <c r="K1504" i="7" s="1"/>
  <c r="O1504" i="7" s="1"/>
  <c r="H1504" i="7"/>
  <c r="I1504" i="7" s="1"/>
  <c r="G1504" i="7"/>
  <c r="N1504" i="7" s="1"/>
  <c r="N1503" i="7"/>
  <c r="M1503" i="7"/>
  <c r="L1503" i="7"/>
  <c r="J1503" i="7"/>
  <c r="K1503" i="7" s="1"/>
  <c r="O1503" i="7" s="1"/>
  <c r="H1503" i="7"/>
  <c r="I1503" i="7" s="1"/>
  <c r="G1503" i="7"/>
  <c r="M1502" i="7"/>
  <c r="L1502" i="7"/>
  <c r="J1502" i="7"/>
  <c r="K1502" i="7" s="1"/>
  <c r="O1502" i="7" s="1"/>
  <c r="H1502" i="7"/>
  <c r="I1502" i="7" s="1"/>
  <c r="G1502" i="7"/>
  <c r="N1502" i="7" s="1"/>
  <c r="N1501" i="7"/>
  <c r="M1501" i="7"/>
  <c r="L1501" i="7"/>
  <c r="J1501" i="7"/>
  <c r="K1501" i="7" s="1"/>
  <c r="O1501" i="7" s="1"/>
  <c r="H1501" i="7"/>
  <c r="I1501" i="7" s="1"/>
  <c r="G1501" i="7"/>
  <c r="M1500" i="7"/>
  <c r="L1500" i="7"/>
  <c r="J1500" i="7"/>
  <c r="K1500" i="7" s="1"/>
  <c r="O1500" i="7" s="1"/>
  <c r="H1500" i="7"/>
  <c r="I1500" i="7" s="1"/>
  <c r="G1500" i="7"/>
  <c r="N1500" i="7" s="1"/>
  <c r="N1499" i="7"/>
  <c r="M1499" i="7"/>
  <c r="L1499" i="7"/>
  <c r="J1499" i="7"/>
  <c r="K1499" i="7" s="1"/>
  <c r="O1499" i="7" s="1"/>
  <c r="H1499" i="7"/>
  <c r="I1499" i="7" s="1"/>
  <c r="G1499" i="7"/>
  <c r="M1498" i="7"/>
  <c r="L1498" i="7"/>
  <c r="J1498" i="7"/>
  <c r="K1498" i="7" s="1"/>
  <c r="O1498" i="7" s="1"/>
  <c r="H1498" i="7"/>
  <c r="I1498" i="7" s="1"/>
  <c r="G1498" i="7"/>
  <c r="N1498" i="7" s="1"/>
  <c r="N1497" i="7"/>
  <c r="M1497" i="7"/>
  <c r="L1497" i="7"/>
  <c r="J1497" i="7"/>
  <c r="K1497" i="7" s="1"/>
  <c r="O1497" i="7" s="1"/>
  <c r="H1497" i="7"/>
  <c r="I1497" i="7" s="1"/>
  <c r="G1497" i="7"/>
  <c r="M1496" i="7"/>
  <c r="L1496" i="7"/>
  <c r="J1496" i="7"/>
  <c r="K1496" i="7" s="1"/>
  <c r="O1496" i="7" s="1"/>
  <c r="H1496" i="7"/>
  <c r="I1496" i="7" s="1"/>
  <c r="G1496" i="7"/>
  <c r="N1496" i="7" s="1"/>
  <c r="M1495" i="7"/>
  <c r="L1495" i="7"/>
  <c r="J1495" i="7"/>
  <c r="K1495" i="7" s="1"/>
  <c r="O1495" i="7" s="1"/>
  <c r="H1495" i="7"/>
  <c r="I1495" i="7" s="1"/>
  <c r="G1495" i="7"/>
  <c r="N1495" i="7" s="1"/>
  <c r="M1494" i="7"/>
  <c r="L1494" i="7"/>
  <c r="J1494" i="7"/>
  <c r="K1494" i="7" s="1"/>
  <c r="O1494" i="7" s="1"/>
  <c r="H1494" i="7"/>
  <c r="I1494" i="7" s="1"/>
  <c r="G1494" i="7"/>
  <c r="N1494" i="7" s="1"/>
  <c r="N1493" i="7"/>
  <c r="M1493" i="7"/>
  <c r="L1493" i="7"/>
  <c r="J1493" i="7"/>
  <c r="K1493" i="7" s="1"/>
  <c r="O1493" i="7" s="1"/>
  <c r="H1493" i="7"/>
  <c r="I1493" i="7" s="1"/>
  <c r="G1493" i="7"/>
  <c r="M1492" i="7"/>
  <c r="L1492" i="7"/>
  <c r="J1492" i="7"/>
  <c r="K1492" i="7" s="1"/>
  <c r="O1492" i="7" s="1"/>
  <c r="H1492" i="7"/>
  <c r="I1492" i="7" s="1"/>
  <c r="G1492" i="7"/>
  <c r="N1492" i="7" s="1"/>
  <c r="M1491" i="7"/>
  <c r="L1491" i="7"/>
  <c r="J1491" i="7"/>
  <c r="K1491" i="7" s="1"/>
  <c r="O1491" i="7" s="1"/>
  <c r="H1491" i="7"/>
  <c r="I1491" i="7" s="1"/>
  <c r="G1491" i="7"/>
  <c r="N1491" i="7" s="1"/>
  <c r="M1490" i="7"/>
  <c r="L1490" i="7"/>
  <c r="J1490" i="7"/>
  <c r="K1490" i="7" s="1"/>
  <c r="O1490" i="7" s="1"/>
  <c r="H1490" i="7"/>
  <c r="I1490" i="7" s="1"/>
  <c r="G1490" i="7"/>
  <c r="N1490" i="7" s="1"/>
  <c r="N1489" i="7"/>
  <c r="M1489" i="7"/>
  <c r="L1489" i="7"/>
  <c r="J1489" i="7"/>
  <c r="K1489" i="7" s="1"/>
  <c r="O1489" i="7" s="1"/>
  <c r="H1489" i="7"/>
  <c r="I1489" i="7" s="1"/>
  <c r="G1489" i="7"/>
  <c r="M1488" i="7"/>
  <c r="L1488" i="7"/>
  <c r="J1488" i="7"/>
  <c r="K1488" i="7" s="1"/>
  <c r="O1488" i="7" s="1"/>
  <c r="H1488" i="7"/>
  <c r="I1488" i="7" s="1"/>
  <c r="G1488" i="7"/>
  <c r="N1488" i="7" s="1"/>
  <c r="M1487" i="7"/>
  <c r="L1487" i="7"/>
  <c r="J1487" i="7"/>
  <c r="K1487" i="7" s="1"/>
  <c r="O1487" i="7" s="1"/>
  <c r="H1487" i="7"/>
  <c r="I1487" i="7" s="1"/>
  <c r="G1487" i="7"/>
  <c r="N1487" i="7" s="1"/>
  <c r="M1486" i="7"/>
  <c r="L1486" i="7"/>
  <c r="J1486" i="7"/>
  <c r="K1486" i="7" s="1"/>
  <c r="O1486" i="7" s="1"/>
  <c r="H1486" i="7"/>
  <c r="I1486" i="7" s="1"/>
  <c r="G1486" i="7"/>
  <c r="N1486" i="7" s="1"/>
  <c r="N1485" i="7"/>
  <c r="M1485" i="7"/>
  <c r="L1485" i="7"/>
  <c r="J1485" i="7"/>
  <c r="K1485" i="7" s="1"/>
  <c r="O1485" i="7" s="1"/>
  <c r="H1485" i="7"/>
  <c r="I1485" i="7" s="1"/>
  <c r="G1485" i="7"/>
  <c r="M1484" i="7"/>
  <c r="L1484" i="7"/>
  <c r="J1484" i="7"/>
  <c r="K1484" i="7" s="1"/>
  <c r="O1484" i="7" s="1"/>
  <c r="H1484" i="7"/>
  <c r="I1484" i="7" s="1"/>
  <c r="G1484" i="7"/>
  <c r="N1484" i="7" s="1"/>
  <c r="M1483" i="7"/>
  <c r="L1483" i="7"/>
  <c r="J1483" i="7"/>
  <c r="K1483" i="7" s="1"/>
  <c r="O1483" i="7" s="1"/>
  <c r="H1483" i="7"/>
  <c r="I1483" i="7" s="1"/>
  <c r="G1483" i="7"/>
  <c r="N1483" i="7" s="1"/>
  <c r="M1482" i="7"/>
  <c r="L1482" i="7"/>
  <c r="J1482" i="7"/>
  <c r="K1482" i="7" s="1"/>
  <c r="O1482" i="7" s="1"/>
  <c r="H1482" i="7"/>
  <c r="I1482" i="7" s="1"/>
  <c r="G1482" i="7"/>
  <c r="N1482" i="7" s="1"/>
  <c r="M1481" i="7"/>
  <c r="L1481" i="7"/>
  <c r="J1481" i="7"/>
  <c r="K1481" i="7" s="1"/>
  <c r="O1481" i="7" s="1"/>
  <c r="H1481" i="7"/>
  <c r="I1481" i="7" s="1"/>
  <c r="G1481" i="7"/>
  <c r="N1481" i="7" s="1"/>
  <c r="N1480" i="7"/>
  <c r="M1480" i="7"/>
  <c r="L1480" i="7"/>
  <c r="J1480" i="7"/>
  <c r="K1480" i="7" s="1"/>
  <c r="O1480" i="7" s="1"/>
  <c r="H1480" i="7"/>
  <c r="I1480" i="7" s="1"/>
  <c r="G1480" i="7"/>
  <c r="M1479" i="7"/>
  <c r="L1479" i="7"/>
  <c r="J1479" i="7"/>
  <c r="K1479" i="7" s="1"/>
  <c r="O1479" i="7" s="1"/>
  <c r="H1479" i="7"/>
  <c r="I1479" i="7" s="1"/>
  <c r="G1479" i="7"/>
  <c r="N1479" i="7" s="1"/>
  <c r="N1478" i="7"/>
  <c r="M1478" i="7"/>
  <c r="L1478" i="7"/>
  <c r="J1478" i="7"/>
  <c r="K1478" i="7" s="1"/>
  <c r="O1478" i="7" s="1"/>
  <c r="H1478" i="7"/>
  <c r="I1478" i="7" s="1"/>
  <c r="G1478" i="7"/>
  <c r="M1477" i="7"/>
  <c r="L1477" i="7"/>
  <c r="J1477" i="7"/>
  <c r="K1477" i="7" s="1"/>
  <c r="O1477" i="7" s="1"/>
  <c r="H1477" i="7"/>
  <c r="I1477" i="7" s="1"/>
  <c r="G1477" i="7"/>
  <c r="N1477" i="7" s="1"/>
  <c r="N1476" i="7"/>
  <c r="M1476" i="7"/>
  <c r="L1476" i="7"/>
  <c r="J1476" i="7"/>
  <c r="K1476" i="7" s="1"/>
  <c r="O1476" i="7" s="1"/>
  <c r="H1476" i="7"/>
  <c r="I1476" i="7" s="1"/>
  <c r="G1476" i="7"/>
  <c r="M1475" i="7"/>
  <c r="L1475" i="7"/>
  <c r="J1475" i="7"/>
  <c r="K1475" i="7" s="1"/>
  <c r="O1475" i="7" s="1"/>
  <c r="H1475" i="7"/>
  <c r="I1475" i="7" s="1"/>
  <c r="G1475" i="7"/>
  <c r="N1475" i="7" s="1"/>
  <c r="N1474" i="7"/>
  <c r="M1474" i="7"/>
  <c r="L1474" i="7"/>
  <c r="J1474" i="7"/>
  <c r="K1474" i="7" s="1"/>
  <c r="O1474" i="7" s="1"/>
  <c r="H1474" i="7"/>
  <c r="I1474" i="7" s="1"/>
  <c r="G1474" i="7"/>
  <c r="M1473" i="7"/>
  <c r="L1473" i="7"/>
  <c r="J1473" i="7"/>
  <c r="K1473" i="7" s="1"/>
  <c r="O1473" i="7" s="1"/>
  <c r="H1473" i="7"/>
  <c r="I1473" i="7" s="1"/>
  <c r="G1473" i="7"/>
  <c r="N1473" i="7" s="1"/>
  <c r="N1472" i="7"/>
  <c r="M1472" i="7"/>
  <c r="L1472" i="7"/>
  <c r="J1472" i="7"/>
  <c r="K1472" i="7" s="1"/>
  <c r="O1472" i="7" s="1"/>
  <c r="H1472" i="7"/>
  <c r="I1472" i="7" s="1"/>
  <c r="G1472" i="7"/>
  <c r="M1471" i="7"/>
  <c r="L1471" i="7"/>
  <c r="J1471" i="7"/>
  <c r="K1471" i="7" s="1"/>
  <c r="O1471" i="7" s="1"/>
  <c r="H1471" i="7"/>
  <c r="I1471" i="7" s="1"/>
  <c r="G1471" i="7"/>
  <c r="N1471" i="7" s="1"/>
  <c r="N1470" i="7"/>
  <c r="M1470" i="7"/>
  <c r="L1470" i="7"/>
  <c r="J1470" i="7"/>
  <c r="K1470" i="7" s="1"/>
  <c r="O1470" i="7" s="1"/>
  <c r="H1470" i="7"/>
  <c r="I1470" i="7" s="1"/>
  <c r="G1470" i="7"/>
  <c r="M1469" i="7"/>
  <c r="L1469" i="7"/>
  <c r="J1469" i="7"/>
  <c r="K1469" i="7" s="1"/>
  <c r="O1469" i="7" s="1"/>
  <c r="H1469" i="7"/>
  <c r="I1469" i="7" s="1"/>
  <c r="G1469" i="7"/>
  <c r="N1469" i="7" s="1"/>
  <c r="N1468" i="7"/>
  <c r="M1468" i="7"/>
  <c r="L1468" i="7"/>
  <c r="J1468" i="7"/>
  <c r="K1468" i="7" s="1"/>
  <c r="O1468" i="7" s="1"/>
  <c r="H1468" i="7"/>
  <c r="I1468" i="7" s="1"/>
  <c r="G1468" i="7"/>
  <c r="M1467" i="7"/>
  <c r="L1467" i="7"/>
  <c r="J1467" i="7"/>
  <c r="K1467" i="7" s="1"/>
  <c r="O1467" i="7" s="1"/>
  <c r="H1467" i="7"/>
  <c r="I1467" i="7" s="1"/>
  <c r="G1467" i="7"/>
  <c r="N1467" i="7" s="1"/>
  <c r="N1466" i="7"/>
  <c r="M1466" i="7"/>
  <c r="L1466" i="7"/>
  <c r="J1466" i="7"/>
  <c r="K1466" i="7" s="1"/>
  <c r="O1466" i="7" s="1"/>
  <c r="H1466" i="7"/>
  <c r="I1466" i="7" s="1"/>
  <c r="G1466" i="7"/>
  <c r="M1465" i="7"/>
  <c r="L1465" i="7"/>
  <c r="J1465" i="7"/>
  <c r="K1465" i="7" s="1"/>
  <c r="O1465" i="7" s="1"/>
  <c r="H1465" i="7"/>
  <c r="I1465" i="7" s="1"/>
  <c r="G1465" i="7"/>
  <c r="N1465" i="7" s="1"/>
  <c r="N1464" i="7"/>
  <c r="M1464" i="7"/>
  <c r="L1464" i="7"/>
  <c r="J1464" i="7"/>
  <c r="K1464" i="7" s="1"/>
  <c r="O1464" i="7" s="1"/>
  <c r="H1464" i="7"/>
  <c r="I1464" i="7" s="1"/>
  <c r="G1464" i="7"/>
  <c r="M1463" i="7"/>
  <c r="L1463" i="7"/>
  <c r="J1463" i="7"/>
  <c r="K1463" i="7" s="1"/>
  <c r="O1463" i="7" s="1"/>
  <c r="H1463" i="7"/>
  <c r="I1463" i="7" s="1"/>
  <c r="G1463" i="7"/>
  <c r="N1463" i="7" s="1"/>
  <c r="N1462" i="7"/>
  <c r="M1462" i="7"/>
  <c r="L1462" i="7"/>
  <c r="J1462" i="7"/>
  <c r="K1462" i="7" s="1"/>
  <c r="O1462" i="7" s="1"/>
  <c r="H1462" i="7"/>
  <c r="I1462" i="7" s="1"/>
  <c r="G1462" i="7"/>
  <c r="M1461" i="7"/>
  <c r="L1461" i="7"/>
  <c r="J1461" i="7"/>
  <c r="K1461" i="7" s="1"/>
  <c r="O1461" i="7" s="1"/>
  <c r="H1461" i="7"/>
  <c r="I1461" i="7" s="1"/>
  <c r="G1461" i="7"/>
  <c r="N1461" i="7" s="1"/>
  <c r="N1460" i="7"/>
  <c r="M1460" i="7"/>
  <c r="L1460" i="7"/>
  <c r="J1460" i="7"/>
  <c r="K1460" i="7" s="1"/>
  <c r="O1460" i="7" s="1"/>
  <c r="H1460" i="7"/>
  <c r="I1460" i="7" s="1"/>
  <c r="G1460" i="7"/>
  <c r="M1459" i="7"/>
  <c r="L1459" i="7"/>
  <c r="J1459" i="7"/>
  <c r="K1459" i="7" s="1"/>
  <c r="O1459" i="7" s="1"/>
  <c r="H1459" i="7"/>
  <c r="I1459" i="7" s="1"/>
  <c r="G1459" i="7"/>
  <c r="N1459" i="7" s="1"/>
  <c r="N1458" i="7"/>
  <c r="M1458" i="7"/>
  <c r="L1458" i="7"/>
  <c r="J1458" i="7"/>
  <c r="K1458" i="7" s="1"/>
  <c r="O1458" i="7" s="1"/>
  <c r="H1458" i="7"/>
  <c r="I1458" i="7" s="1"/>
  <c r="G1458" i="7"/>
  <c r="M1457" i="7"/>
  <c r="L1457" i="7"/>
  <c r="J1457" i="7"/>
  <c r="K1457" i="7" s="1"/>
  <c r="O1457" i="7" s="1"/>
  <c r="H1457" i="7"/>
  <c r="I1457" i="7" s="1"/>
  <c r="G1457" i="7"/>
  <c r="N1457" i="7" s="1"/>
  <c r="N1456" i="7"/>
  <c r="M1456" i="7"/>
  <c r="L1456" i="7"/>
  <c r="J1456" i="7"/>
  <c r="K1456" i="7" s="1"/>
  <c r="O1456" i="7" s="1"/>
  <c r="H1456" i="7"/>
  <c r="I1456" i="7" s="1"/>
  <c r="G1456" i="7"/>
  <c r="M1455" i="7"/>
  <c r="L1455" i="7"/>
  <c r="J1455" i="7"/>
  <c r="K1455" i="7" s="1"/>
  <c r="O1455" i="7" s="1"/>
  <c r="H1455" i="7"/>
  <c r="I1455" i="7" s="1"/>
  <c r="G1455" i="7"/>
  <c r="N1455" i="7" s="1"/>
  <c r="N1454" i="7"/>
  <c r="M1454" i="7"/>
  <c r="L1454" i="7"/>
  <c r="J1454" i="7"/>
  <c r="K1454" i="7" s="1"/>
  <c r="O1454" i="7" s="1"/>
  <c r="H1454" i="7"/>
  <c r="I1454" i="7" s="1"/>
  <c r="G1454" i="7"/>
  <c r="M1453" i="7"/>
  <c r="L1453" i="7"/>
  <c r="J1453" i="7"/>
  <c r="K1453" i="7" s="1"/>
  <c r="O1453" i="7" s="1"/>
  <c r="H1453" i="7"/>
  <c r="I1453" i="7" s="1"/>
  <c r="G1453" i="7"/>
  <c r="N1453" i="7" s="1"/>
  <c r="N1452" i="7"/>
  <c r="M1452" i="7"/>
  <c r="L1452" i="7"/>
  <c r="J1452" i="7"/>
  <c r="K1452" i="7" s="1"/>
  <c r="O1452" i="7" s="1"/>
  <c r="H1452" i="7"/>
  <c r="I1452" i="7" s="1"/>
  <c r="G1452" i="7"/>
  <c r="M1451" i="7"/>
  <c r="L1451" i="7"/>
  <c r="J1451" i="7"/>
  <c r="K1451" i="7" s="1"/>
  <c r="O1451" i="7" s="1"/>
  <c r="H1451" i="7"/>
  <c r="I1451" i="7" s="1"/>
  <c r="G1451" i="7"/>
  <c r="N1451" i="7" s="1"/>
  <c r="N1450" i="7"/>
  <c r="M1450" i="7"/>
  <c r="L1450" i="7"/>
  <c r="J1450" i="7"/>
  <c r="K1450" i="7" s="1"/>
  <c r="O1450" i="7" s="1"/>
  <c r="H1450" i="7"/>
  <c r="I1450" i="7" s="1"/>
  <c r="G1450" i="7"/>
  <c r="M1449" i="7"/>
  <c r="L1449" i="7"/>
  <c r="J1449" i="7"/>
  <c r="K1449" i="7" s="1"/>
  <c r="O1449" i="7" s="1"/>
  <c r="H1449" i="7"/>
  <c r="I1449" i="7" s="1"/>
  <c r="G1449" i="7"/>
  <c r="N1449" i="7" s="1"/>
  <c r="N1448" i="7"/>
  <c r="M1448" i="7"/>
  <c r="L1448" i="7"/>
  <c r="J1448" i="7"/>
  <c r="K1448" i="7" s="1"/>
  <c r="O1448" i="7" s="1"/>
  <c r="H1448" i="7"/>
  <c r="I1448" i="7" s="1"/>
  <c r="G1448" i="7"/>
  <c r="M1447" i="7"/>
  <c r="L1447" i="7"/>
  <c r="J1447" i="7"/>
  <c r="K1447" i="7" s="1"/>
  <c r="O1447" i="7" s="1"/>
  <c r="H1447" i="7"/>
  <c r="I1447" i="7" s="1"/>
  <c r="G1447" i="7"/>
  <c r="N1447" i="7" s="1"/>
  <c r="N1446" i="7"/>
  <c r="M1446" i="7"/>
  <c r="L1446" i="7"/>
  <c r="J1446" i="7"/>
  <c r="K1446" i="7" s="1"/>
  <c r="O1446" i="7" s="1"/>
  <c r="H1446" i="7"/>
  <c r="I1446" i="7" s="1"/>
  <c r="G1446" i="7"/>
  <c r="M1445" i="7"/>
  <c r="L1445" i="7"/>
  <c r="J1445" i="7"/>
  <c r="K1445" i="7" s="1"/>
  <c r="O1445" i="7" s="1"/>
  <c r="H1445" i="7"/>
  <c r="I1445" i="7" s="1"/>
  <c r="G1445" i="7"/>
  <c r="N1445" i="7" s="1"/>
  <c r="N1444" i="7"/>
  <c r="M1444" i="7"/>
  <c r="L1444" i="7"/>
  <c r="J1444" i="7"/>
  <c r="K1444" i="7" s="1"/>
  <c r="O1444" i="7" s="1"/>
  <c r="H1444" i="7"/>
  <c r="I1444" i="7" s="1"/>
  <c r="G1444" i="7"/>
  <c r="M1443" i="7"/>
  <c r="L1443" i="7"/>
  <c r="J1443" i="7"/>
  <c r="K1443" i="7" s="1"/>
  <c r="O1443" i="7" s="1"/>
  <c r="H1443" i="7"/>
  <c r="I1443" i="7" s="1"/>
  <c r="G1443" i="7"/>
  <c r="N1443" i="7" s="1"/>
  <c r="N1442" i="7"/>
  <c r="M1442" i="7"/>
  <c r="L1442" i="7"/>
  <c r="J1442" i="7"/>
  <c r="K1442" i="7" s="1"/>
  <c r="O1442" i="7" s="1"/>
  <c r="H1442" i="7"/>
  <c r="I1442" i="7" s="1"/>
  <c r="G1442" i="7"/>
  <c r="M1441" i="7"/>
  <c r="L1441" i="7"/>
  <c r="J1441" i="7"/>
  <c r="K1441" i="7" s="1"/>
  <c r="O1441" i="7" s="1"/>
  <c r="H1441" i="7"/>
  <c r="I1441" i="7" s="1"/>
  <c r="G1441" i="7"/>
  <c r="N1441" i="7" s="1"/>
  <c r="N1440" i="7"/>
  <c r="M1440" i="7"/>
  <c r="L1440" i="7"/>
  <c r="J1440" i="7"/>
  <c r="K1440" i="7" s="1"/>
  <c r="O1440" i="7" s="1"/>
  <c r="H1440" i="7"/>
  <c r="I1440" i="7" s="1"/>
  <c r="G1440" i="7"/>
  <c r="M1439" i="7"/>
  <c r="L1439" i="7"/>
  <c r="J1439" i="7"/>
  <c r="K1439" i="7" s="1"/>
  <c r="O1439" i="7" s="1"/>
  <c r="H1439" i="7"/>
  <c r="I1439" i="7" s="1"/>
  <c r="G1439" i="7"/>
  <c r="N1439" i="7" s="1"/>
  <c r="N1438" i="7"/>
  <c r="M1438" i="7"/>
  <c r="L1438" i="7"/>
  <c r="J1438" i="7"/>
  <c r="K1438" i="7" s="1"/>
  <c r="O1438" i="7" s="1"/>
  <c r="H1438" i="7"/>
  <c r="I1438" i="7" s="1"/>
  <c r="G1438" i="7"/>
  <c r="M1437" i="7"/>
  <c r="L1437" i="7"/>
  <c r="J1437" i="7"/>
  <c r="K1437" i="7" s="1"/>
  <c r="O1437" i="7" s="1"/>
  <c r="H1437" i="7"/>
  <c r="I1437" i="7" s="1"/>
  <c r="G1437" i="7"/>
  <c r="N1437" i="7" s="1"/>
  <c r="N1436" i="7"/>
  <c r="M1436" i="7"/>
  <c r="L1436" i="7"/>
  <c r="J1436" i="7"/>
  <c r="K1436" i="7" s="1"/>
  <c r="O1436" i="7" s="1"/>
  <c r="H1436" i="7"/>
  <c r="I1436" i="7" s="1"/>
  <c r="G1436" i="7"/>
  <c r="M1435" i="7"/>
  <c r="L1435" i="7"/>
  <c r="J1435" i="7"/>
  <c r="K1435" i="7" s="1"/>
  <c r="O1435" i="7" s="1"/>
  <c r="H1435" i="7"/>
  <c r="I1435" i="7" s="1"/>
  <c r="G1435" i="7"/>
  <c r="N1435" i="7" s="1"/>
  <c r="N1434" i="7"/>
  <c r="M1434" i="7"/>
  <c r="L1434" i="7"/>
  <c r="J1434" i="7"/>
  <c r="K1434" i="7" s="1"/>
  <c r="O1434" i="7" s="1"/>
  <c r="H1434" i="7"/>
  <c r="I1434" i="7" s="1"/>
  <c r="G1434" i="7"/>
  <c r="M1433" i="7"/>
  <c r="L1433" i="7"/>
  <c r="J1433" i="7"/>
  <c r="K1433" i="7" s="1"/>
  <c r="O1433" i="7" s="1"/>
  <c r="H1433" i="7"/>
  <c r="I1433" i="7" s="1"/>
  <c r="G1433" i="7"/>
  <c r="N1433" i="7" s="1"/>
  <c r="N1432" i="7"/>
  <c r="M1432" i="7"/>
  <c r="L1432" i="7"/>
  <c r="J1432" i="7"/>
  <c r="K1432" i="7" s="1"/>
  <c r="O1432" i="7" s="1"/>
  <c r="H1432" i="7"/>
  <c r="I1432" i="7" s="1"/>
  <c r="G1432" i="7"/>
  <c r="M1431" i="7"/>
  <c r="L1431" i="7"/>
  <c r="J1431" i="7"/>
  <c r="K1431" i="7" s="1"/>
  <c r="O1431" i="7" s="1"/>
  <c r="H1431" i="7"/>
  <c r="I1431" i="7" s="1"/>
  <c r="G1431" i="7"/>
  <c r="N1431" i="7" s="1"/>
  <c r="N1430" i="7"/>
  <c r="M1430" i="7"/>
  <c r="L1430" i="7"/>
  <c r="J1430" i="7"/>
  <c r="K1430" i="7" s="1"/>
  <c r="O1430" i="7" s="1"/>
  <c r="H1430" i="7"/>
  <c r="I1430" i="7" s="1"/>
  <c r="G1430" i="7"/>
  <c r="M1429" i="7"/>
  <c r="L1429" i="7"/>
  <c r="J1429" i="7"/>
  <c r="K1429" i="7" s="1"/>
  <c r="O1429" i="7" s="1"/>
  <c r="H1429" i="7"/>
  <c r="I1429" i="7" s="1"/>
  <c r="G1429" i="7"/>
  <c r="N1429" i="7" s="1"/>
  <c r="N1428" i="7"/>
  <c r="M1428" i="7"/>
  <c r="L1428" i="7"/>
  <c r="J1428" i="7"/>
  <c r="K1428" i="7" s="1"/>
  <c r="O1428" i="7" s="1"/>
  <c r="H1428" i="7"/>
  <c r="I1428" i="7" s="1"/>
  <c r="G1428" i="7"/>
  <c r="M1427" i="7"/>
  <c r="L1427" i="7"/>
  <c r="J1427" i="7"/>
  <c r="K1427" i="7" s="1"/>
  <c r="O1427" i="7" s="1"/>
  <c r="H1427" i="7"/>
  <c r="I1427" i="7" s="1"/>
  <c r="G1427" i="7"/>
  <c r="N1427" i="7" s="1"/>
  <c r="N1426" i="7"/>
  <c r="M1426" i="7"/>
  <c r="L1426" i="7"/>
  <c r="J1426" i="7"/>
  <c r="K1426" i="7" s="1"/>
  <c r="O1426" i="7" s="1"/>
  <c r="H1426" i="7"/>
  <c r="I1426" i="7" s="1"/>
  <c r="G1426" i="7"/>
  <c r="M1425" i="7"/>
  <c r="L1425" i="7"/>
  <c r="J1425" i="7"/>
  <c r="K1425" i="7" s="1"/>
  <c r="O1425" i="7" s="1"/>
  <c r="H1425" i="7"/>
  <c r="I1425" i="7" s="1"/>
  <c r="G1425" i="7"/>
  <c r="N1425" i="7" s="1"/>
  <c r="N1424" i="7"/>
  <c r="M1424" i="7"/>
  <c r="L1424" i="7"/>
  <c r="J1424" i="7"/>
  <c r="K1424" i="7" s="1"/>
  <c r="O1424" i="7" s="1"/>
  <c r="H1424" i="7"/>
  <c r="I1424" i="7" s="1"/>
  <c r="G1424" i="7"/>
  <c r="M1423" i="7"/>
  <c r="L1423" i="7"/>
  <c r="J1423" i="7"/>
  <c r="K1423" i="7" s="1"/>
  <c r="O1423" i="7" s="1"/>
  <c r="H1423" i="7"/>
  <c r="I1423" i="7" s="1"/>
  <c r="G1423" i="7"/>
  <c r="N1423" i="7" s="1"/>
  <c r="N1422" i="7"/>
  <c r="M1422" i="7"/>
  <c r="L1422" i="7"/>
  <c r="J1422" i="7"/>
  <c r="K1422" i="7" s="1"/>
  <c r="O1422" i="7" s="1"/>
  <c r="H1422" i="7"/>
  <c r="I1422" i="7" s="1"/>
  <c r="G1422" i="7"/>
  <c r="M1421" i="7"/>
  <c r="L1421" i="7"/>
  <c r="J1421" i="7"/>
  <c r="K1421" i="7" s="1"/>
  <c r="O1421" i="7" s="1"/>
  <c r="H1421" i="7"/>
  <c r="I1421" i="7" s="1"/>
  <c r="G1421" i="7"/>
  <c r="N1421" i="7" s="1"/>
  <c r="N1420" i="7"/>
  <c r="M1420" i="7"/>
  <c r="L1420" i="7"/>
  <c r="J1420" i="7"/>
  <c r="K1420" i="7" s="1"/>
  <c r="O1420" i="7" s="1"/>
  <c r="H1420" i="7"/>
  <c r="I1420" i="7" s="1"/>
  <c r="G1420" i="7"/>
  <c r="M1419" i="7"/>
  <c r="L1419" i="7"/>
  <c r="J1419" i="7"/>
  <c r="K1419" i="7" s="1"/>
  <c r="O1419" i="7" s="1"/>
  <c r="H1419" i="7"/>
  <c r="I1419" i="7" s="1"/>
  <c r="G1419" i="7"/>
  <c r="N1419" i="7" s="1"/>
  <c r="N1418" i="7"/>
  <c r="M1418" i="7"/>
  <c r="L1418" i="7"/>
  <c r="J1418" i="7"/>
  <c r="K1418" i="7" s="1"/>
  <c r="O1418" i="7" s="1"/>
  <c r="H1418" i="7"/>
  <c r="I1418" i="7" s="1"/>
  <c r="G1418" i="7"/>
  <c r="M1417" i="7"/>
  <c r="L1417" i="7"/>
  <c r="J1417" i="7"/>
  <c r="K1417" i="7" s="1"/>
  <c r="O1417" i="7" s="1"/>
  <c r="H1417" i="7"/>
  <c r="I1417" i="7" s="1"/>
  <c r="G1417" i="7"/>
  <c r="N1417" i="7" s="1"/>
  <c r="N1416" i="7"/>
  <c r="M1416" i="7"/>
  <c r="L1416" i="7"/>
  <c r="J1416" i="7"/>
  <c r="K1416" i="7" s="1"/>
  <c r="O1416" i="7" s="1"/>
  <c r="H1416" i="7"/>
  <c r="I1416" i="7" s="1"/>
  <c r="G1416" i="7"/>
  <c r="M1415" i="7"/>
  <c r="L1415" i="7"/>
  <c r="J1415" i="7"/>
  <c r="K1415" i="7" s="1"/>
  <c r="O1415" i="7" s="1"/>
  <c r="H1415" i="7"/>
  <c r="I1415" i="7" s="1"/>
  <c r="G1415" i="7"/>
  <c r="N1415" i="7" s="1"/>
  <c r="N1414" i="7"/>
  <c r="M1414" i="7"/>
  <c r="L1414" i="7"/>
  <c r="J1414" i="7"/>
  <c r="K1414" i="7" s="1"/>
  <c r="O1414" i="7" s="1"/>
  <c r="H1414" i="7"/>
  <c r="I1414" i="7" s="1"/>
  <c r="G1414" i="7"/>
  <c r="M1413" i="7"/>
  <c r="L1413" i="7"/>
  <c r="J1413" i="7"/>
  <c r="K1413" i="7" s="1"/>
  <c r="O1413" i="7" s="1"/>
  <c r="H1413" i="7"/>
  <c r="I1413" i="7" s="1"/>
  <c r="G1413" i="7"/>
  <c r="N1413" i="7" s="1"/>
  <c r="N1412" i="7"/>
  <c r="M1412" i="7"/>
  <c r="L1412" i="7"/>
  <c r="J1412" i="7"/>
  <c r="K1412" i="7" s="1"/>
  <c r="O1412" i="7" s="1"/>
  <c r="H1412" i="7"/>
  <c r="I1412" i="7" s="1"/>
  <c r="G1412" i="7"/>
  <c r="M1411" i="7"/>
  <c r="L1411" i="7"/>
  <c r="J1411" i="7"/>
  <c r="K1411" i="7" s="1"/>
  <c r="O1411" i="7" s="1"/>
  <c r="H1411" i="7"/>
  <c r="I1411" i="7" s="1"/>
  <c r="G1411" i="7"/>
  <c r="N1411" i="7" s="1"/>
  <c r="N1410" i="7"/>
  <c r="M1410" i="7"/>
  <c r="L1410" i="7"/>
  <c r="J1410" i="7"/>
  <c r="K1410" i="7" s="1"/>
  <c r="O1410" i="7" s="1"/>
  <c r="H1410" i="7"/>
  <c r="I1410" i="7" s="1"/>
  <c r="G1410" i="7"/>
  <c r="M1409" i="7"/>
  <c r="L1409" i="7"/>
  <c r="J1409" i="7"/>
  <c r="K1409" i="7" s="1"/>
  <c r="O1409" i="7" s="1"/>
  <c r="H1409" i="7"/>
  <c r="I1409" i="7" s="1"/>
  <c r="G1409" i="7"/>
  <c r="N1409" i="7" s="1"/>
  <c r="N1408" i="7"/>
  <c r="M1408" i="7"/>
  <c r="L1408" i="7"/>
  <c r="J1408" i="7"/>
  <c r="K1408" i="7" s="1"/>
  <c r="O1408" i="7" s="1"/>
  <c r="H1408" i="7"/>
  <c r="I1408" i="7" s="1"/>
  <c r="G1408" i="7"/>
  <c r="M1407" i="7"/>
  <c r="L1407" i="7"/>
  <c r="J1407" i="7"/>
  <c r="K1407" i="7" s="1"/>
  <c r="O1407" i="7" s="1"/>
  <c r="H1407" i="7"/>
  <c r="I1407" i="7" s="1"/>
  <c r="G1407" i="7"/>
  <c r="N1407" i="7" s="1"/>
  <c r="N1406" i="7"/>
  <c r="M1406" i="7"/>
  <c r="L1406" i="7"/>
  <c r="J1406" i="7"/>
  <c r="K1406" i="7" s="1"/>
  <c r="O1406" i="7" s="1"/>
  <c r="H1406" i="7"/>
  <c r="I1406" i="7" s="1"/>
  <c r="G1406" i="7"/>
  <c r="M1405" i="7"/>
  <c r="L1405" i="7"/>
  <c r="J1405" i="7"/>
  <c r="K1405" i="7" s="1"/>
  <c r="O1405" i="7" s="1"/>
  <c r="H1405" i="7"/>
  <c r="I1405" i="7" s="1"/>
  <c r="G1405" i="7"/>
  <c r="N1405" i="7" s="1"/>
  <c r="N1404" i="7"/>
  <c r="M1404" i="7"/>
  <c r="L1404" i="7"/>
  <c r="J1404" i="7"/>
  <c r="K1404" i="7" s="1"/>
  <c r="O1404" i="7" s="1"/>
  <c r="H1404" i="7"/>
  <c r="I1404" i="7" s="1"/>
  <c r="G1404" i="7"/>
  <c r="M1403" i="7"/>
  <c r="L1403" i="7"/>
  <c r="J1403" i="7"/>
  <c r="K1403" i="7" s="1"/>
  <c r="O1403" i="7" s="1"/>
  <c r="H1403" i="7"/>
  <c r="I1403" i="7" s="1"/>
  <c r="G1403" i="7"/>
  <c r="N1403" i="7" s="1"/>
  <c r="N1402" i="7"/>
  <c r="M1402" i="7"/>
  <c r="L1402" i="7"/>
  <c r="J1402" i="7"/>
  <c r="K1402" i="7" s="1"/>
  <c r="O1402" i="7" s="1"/>
  <c r="H1402" i="7"/>
  <c r="I1402" i="7" s="1"/>
  <c r="G1402" i="7"/>
  <c r="M1401" i="7"/>
  <c r="L1401" i="7"/>
  <c r="J1401" i="7"/>
  <c r="K1401" i="7" s="1"/>
  <c r="O1401" i="7" s="1"/>
  <c r="H1401" i="7"/>
  <c r="I1401" i="7" s="1"/>
  <c r="G1401" i="7"/>
  <c r="N1401" i="7" s="1"/>
  <c r="N1400" i="7"/>
  <c r="M1400" i="7"/>
  <c r="L1400" i="7"/>
  <c r="J1400" i="7"/>
  <c r="K1400" i="7" s="1"/>
  <c r="O1400" i="7" s="1"/>
  <c r="H1400" i="7"/>
  <c r="I1400" i="7" s="1"/>
  <c r="G1400" i="7"/>
  <c r="M1399" i="7"/>
  <c r="L1399" i="7"/>
  <c r="J1399" i="7"/>
  <c r="K1399" i="7" s="1"/>
  <c r="O1399" i="7" s="1"/>
  <c r="H1399" i="7"/>
  <c r="I1399" i="7" s="1"/>
  <c r="G1399" i="7"/>
  <c r="N1399" i="7" s="1"/>
  <c r="N1398" i="7"/>
  <c r="M1398" i="7"/>
  <c r="L1398" i="7"/>
  <c r="J1398" i="7"/>
  <c r="K1398" i="7" s="1"/>
  <c r="O1398" i="7" s="1"/>
  <c r="H1398" i="7"/>
  <c r="I1398" i="7" s="1"/>
  <c r="G1398" i="7"/>
  <c r="M1397" i="7"/>
  <c r="L1397" i="7"/>
  <c r="J1397" i="7"/>
  <c r="K1397" i="7" s="1"/>
  <c r="O1397" i="7" s="1"/>
  <c r="H1397" i="7"/>
  <c r="I1397" i="7" s="1"/>
  <c r="G1397" i="7"/>
  <c r="N1397" i="7" s="1"/>
  <c r="N1396" i="7"/>
  <c r="M1396" i="7"/>
  <c r="L1396" i="7"/>
  <c r="J1396" i="7"/>
  <c r="K1396" i="7" s="1"/>
  <c r="O1396" i="7" s="1"/>
  <c r="H1396" i="7"/>
  <c r="I1396" i="7" s="1"/>
  <c r="G1396" i="7"/>
  <c r="M1395" i="7"/>
  <c r="L1395" i="7"/>
  <c r="J1395" i="7"/>
  <c r="K1395" i="7" s="1"/>
  <c r="O1395" i="7" s="1"/>
  <c r="H1395" i="7"/>
  <c r="I1395" i="7" s="1"/>
  <c r="G1395" i="7"/>
  <c r="N1395" i="7" s="1"/>
  <c r="N1394" i="7"/>
  <c r="M1394" i="7"/>
  <c r="L1394" i="7"/>
  <c r="J1394" i="7"/>
  <c r="K1394" i="7" s="1"/>
  <c r="O1394" i="7" s="1"/>
  <c r="H1394" i="7"/>
  <c r="I1394" i="7" s="1"/>
  <c r="G1394" i="7"/>
  <c r="M1393" i="7"/>
  <c r="L1393" i="7"/>
  <c r="J1393" i="7"/>
  <c r="K1393" i="7" s="1"/>
  <c r="O1393" i="7" s="1"/>
  <c r="H1393" i="7"/>
  <c r="I1393" i="7" s="1"/>
  <c r="G1393" i="7"/>
  <c r="N1393" i="7" s="1"/>
  <c r="N1392" i="7"/>
  <c r="M1392" i="7"/>
  <c r="L1392" i="7"/>
  <c r="J1392" i="7"/>
  <c r="K1392" i="7" s="1"/>
  <c r="O1392" i="7" s="1"/>
  <c r="H1392" i="7"/>
  <c r="I1392" i="7" s="1"/>
  <c r="G1392" i="7"/>
  <c r="M1391" i="7"/>
  <c r="L1391" i="7"/>
  <c r="J1391" i="7"/>
  <c r="K1391" i="7" s="1"/>
  <c r="O1391" i="7" s="1"/>
  <c r="H1391" i="7"/>
  <c r="I1391" i="7" s="1"/>
  <c r="G1391" i="7"/>
  <c r="N1391" i="7" s="1"/>
  <c r="N1390" i="7"/>
  <c r="M1390" i="7"/>
  <c r="L1390" i="7"/>
  <c r="J1390" i="7"/>
  <c r="K1390" i="7" s="1"/>
  <c r="O1390" i="7" s="1"/>
  <c r="H1390" i="7"/>
  <c r="I1390" i="7" s="1"/>
  <c r="G1390" i="7"/>
  <c r="M1389" i="7"/>
  <c r="L1389" i="7"/>
  <c r="J1389" i="7"/>
  <c r="K1389" i="7" s="1"/>
  <c r="O1389" i="7" s="1"/>
  <c r="H1389" i="7"/>
  <c r="I1389" i="7" s="1"/>
  <c r="G1389" i="7"/>
  <c r="N1389" i="7" s="1"/>
  <c r="N1388" i="7"/>
  <c r="M1388" i="7"/>
  <c r="L1388" i="7"/>
  <c r="J1388" i="7"/>
  <c r="K1388" i="7" s="1"/>
  <c r="O1388" i="7" s="1"/>
  <c r="H1388" i="7"/>
  <c r="I1388" i="7" s="1"/>
  <c r="G1388" i="7"/>
  <c r="M1387" i="7"/>
  <c r="L1387" i="7"/>
  <c r="J1387" i="7"/>
  <c r="K1387" i="7" s="1"/>
  <c r="O1387" i="7" s="1"/>
  <c r="H1387" i="7"/>
  <c r="I1387" i="7" s="1"/>
  <c r="G1387" i="7"/>
  <c r="N1387" i="7" s="1"/>
  <c r="N1386" i="7"/>
  <c r="M1386" i="7"/>
  <c r="L1386" i="7"/>
  <c r="J1386" i="7"/>
  <c r="K1386" i="7" s="1"/>
  <c r="O1386" i="7" s="1"/>
  <c r="H1386" i="7"/>
  <c r="I1386" i="7" s="1"/>
  <c r="G1386" i="7"/>
  <c r="M1385" i="7"/>
  <c r="L1385" i="7"/>
  <c r="J1385" i="7"/>
  <c r="K1385" i="7" s="1"/>
  <c r="O1385" i="7" s="1"/>
  <c r="H1385" i="7"/>
  <c r="I1385" i="7" s="1"/>
  <c r="G1385" i="7"/>
  <c r="N1385" i="7" s="1"/>
  <c r="N1384" i="7"/>
  <c r="M1384" i="7"/>
  <c r="L1384" i="7"/>
  <c r="J1384" i="7"/>
  <c r="K1384" i="7" s="1"/>
  <c r="O1384" i="7" s="1"/>
  <c r="H1384" i="7"/>
  <c r="I1384" i="7" s="1"/>
  <c r="G1384" i="7"/>
  <c r="M1383" i="7"/>
  <c r="L1383" i="7"/>
  <c r="J1383" i="7"/>
  <c r="K1383" i="7" s="1"/>
  <c r="O1383" i="7" s="1"/>
  <c r="H1383" i="7"/>
  <c r="I1383" i="7" s="1"/>
  <c r="G1383" i="7"/>
  <c r="N1383" i="7" s="1"/>
  <c r="N1382" i="7"/>
  <c r="M1382" i="7"/>
  <c r="L1382" i="7"/>
  <c r="J1382" i="7"/>
  <c r="K1382" i="7" s="1"/>
  <c r="O1382" i="7" s="1"/>
  <c r="H1382" i="7"/>
  <c r="I1382" i="7" s="1"/>
  <c r="G1382" i="7"/>
  <c r="M1381" i="7"/>
  <c r="L1381" i="7"/>
  <c r="J1381" i="7"/>
  <c r="K1381" i="7" s="1"/>
  <c r="O1381" i="7" s="1"/>
  <c r="H1381" i="7"/>
  <c r="I1381" i="7" s="1"/>
  <c r="G1381" i="7"/>
  <c r="N1381" i="7" s="1"/>
  <c r="N1380" i="7"/>
  <c r="M1380" i="7"/>
  <c r="L1380" i="7"/>
  <c r="J1380" i="7"/>
  <c r="K1380" i="7" s="1"/>
  <c r="O1380" i="7" s="1"/>
  <c r="H1380" i="7"/>
  <c r="I1380" i="7" s="1"/>
  <c r="G1380" i="7"/>
  <c r="M1379" i="7"/>
  <c r="L1379" i="7"/>
  <c r="J1379" i="7"/>
  <c r="K1379" i="7" s="1"/>
  <c r="O1379" i="7" s="1"/>
  <c r="H1379" i="7"/>
  <c r="I1379" i="7" s="1"/>
  <c r="G1379" i="7"/>
  <c r="N1379" i="7" s="1"/>
  <c r="N1378" i="7"/>
  <c r="M1378" i="7"/>
  <c r="L1378" i="7"/>
  <c r="J1378" i="7"/>
  <c r="K1378" i="7" s="1"/>
  <c r="O1378" i="7" s="1"/>
  <c r="H1378" i="7"/>
  <c r="I1378" i="7" s="1"/>
  <c r="G1378" i="7"/>
  <c r="M1377" i="7"/>
  <c r="L1377" i="7"/>
  <c r="J1377" i="7"/>
  <c r="K1377" i="7" s="1"/>
  <c r="O1377" i="7" s="1"/>
  <c r="H1377" i="7"/>
  <c r="I1377" i="7" s="1"/>
  <c r="G1377" i="7"/>
  <c r="N1377" i="7" s="1"/>
  <c r="N1376" i="7"/>
  <c r="M1376" i="7"/>
  <c r="L1376" i="7"/>
  <c r="J1376" i="7"/>
  <c r="K1376" i="7" s="1"/>
  <c r="O1376" i="7" s="1"/>
  <c r="H1376" i="7"/>
  <c r="I1376" i="7" s="1"/>
  <c r="G1376" i="7"/>
  <c r="M1375" i="7"/>
  <c r="L1375" i="7"/>
  <c r="J1375" i="7"/>
  <c r="K1375" i="7" s="1"/>
  <c r="O1375" i="7" s="1"/>
  <c r="H1375" i="7"/>
  <c r="I1375" i="7" s="1"/>
  <c r="G1375" i="7"/>
  <c r="N1375" i="7" s="1"/>
  <c r="N1374" i="7"/>
  <c r="M1374" i="7"/>
  <c r="L1374" i="7"/>
  <c r="J1374" i="7"/>
  <c r="K1374" i="7" s="1"/>
  <c r="O1374" i="7" s="1"/>
  <c r="H1374" i="7"/>
  <c r="I1374" i="7" s="1"/>
  <c r="G1374" i="7"/>
  <c r="M1373" i="7"/>
  <c r="L1373" i="7"/>
  <c r="J1373" i="7"/>
  <c r="K1373" i="7" s="1"/>
  <c r="O1373" i="7" s="1"/>
  <c r="H1373" i="7"/>
  <c r="I1373" i="7" s="1"/>
  <c r="G1373" i="7"/>
  <c r="N1373" i="7" s="1"/>
  <c r="N1372" i="7"/>
  <c r="M1372" i="7"/>
  <c r="L1372" i="7"/>
  <c r="J1372" i="7"/>
  <c r="K1372" i="7" s="1"/>
  <c r="O1372" i="7" s="1"/>
  <c r="H1372" i="7"/>
  <c r="I1372" i="7" s="1"/>
  <c r="G1372" i="7"/>
  <c r="M1371" i="7"/>
  <c r="L1371" i="7"/>
  <c r="J1371" i="7"/>
  <c r="K1371" i="7" s="1"/>
  <c r="O1371" i="7" s="1"/>
  <c r="H1371" i="7"/>
  <c r="I1371" i="7" s="1"/>
  <c r="G1371" i="7"/>
  <c r="N1371" i="7" s="1"/>
  <c r="N1370" i="7"/>
  <c r="M1370" i="7"/>
  <c r="L1370" i="7"/>
  <c r="J1370" i="7"/>
  <c r="K1370" i="7" s="1"/>
  <c r="O1370" i="7" s="1"/>
  <c r="H1370" i="7"/>
  <c r="I1370" i="7" s="1"/>
  <c r="G1370" i="7"/>
  <c r="M1369" i="7"/>
  <c r="L1369" i="7"/>
  <c r="J1369" i="7"/>
  <c r="K1369" i="7" s="1"/>
  <c r="O1369" i="7" s="1"/>
  <c r="H1369" i="7"/>
  <c r="I1369" i="7" s="1"/>
  <c r="G1369" i="7"/>
  <c r="N1369" i="7" s="1"/>
  <c r="N1368" i="7"/>
  <c r="M1368" i="7"/>
  <c r="L1368" i="7"/>
  <c r="J1368" i="7"/>
  <c r="K1368" i="7" s="1"/>
  <c r="O1368" i="7" s="1"/>
  <c r="H1368" i="7"/>
  <c r="I1368" i="7" s="1"/>
  <c r="G1368" i="7"/>
  <c r="M1367" i="7"/>
  <c r="L1367" i="7"/>
  <c r="J1367" i="7"/>
  <c r="K1367" i="7" s="1"/>
  <c r="O1367" i="7" s="1"/>
  <c r="H1367" i="7"/>
  <c r="I1367" i="7" s="1"/>
  <c r="G1367" i="7"/>
  <c r="N1367" i="7" s="1"/>
  <c r="N1366" i="7"/>
  <c r="M1366" i="7"/>
  <c r="L1366" i="7"/>
  <c r="J1366" i="7"/>
  <c r="K1366" i="7" s="1"/>
  <c r="O1366" i="7" s="1"/>
  <c r="H1366" i="7"/>
  <c r="I1366" i="7" s="1"/>
  <c r="G1366" i="7"/>
  <c r="M1365" i="7"/>
  <c r="L1365" i="7"/>
  <c r="J1365" i="7"/>
  <c r="K1365" i="7" s="1"/>
  <c r="O1365" i="7" s="1"/>
  <c r="H1365" i="7"/>
  <c r="I1365" i="7" s="1"/>
  <c r="G1365" i="7"/>
  <c r="N1365" i="7" s="1"/>
  <c r="N1364" i="7"/>
  <c r="M1364" i="7"/>
  <c r="L1364" i="7"/>
  <c r="J1364" i="7"/>
  <c r="K1364" i="7" s="1"/>
  <c r="O1364" i="7" s="1"/>
  <c r="H1364" i="7"/>
  <c r="I1364" i="7" s="1"/>
  <c r="G1364" i="7"/>
  <c r="M1363" i="7"/>
  <c r="L1363" i="7"/>
  <c r="J1363" i="7"/>
  <c r="K1363" i="7" s="1"/>
  <c r="O1363" i="7" s="1"/>
  <c r="H1363" i="7"/>
  <c r="I1363" i="7" s="1"/>
  <c r="G1363" i="7"/>
  <c r="N1363" i="7" s="1"/>
  <c r="N1362" i="7"/>
  <c r="M1362" i="7"/>
  <c r="L1362" i="7"/>
  <c r="J1362" i="7"/>
  <c r="K1362" i="7" s="1"/>
  <c r="O1362" i="7" s="1"/>
  <c r="H1362" i="7"/>
  <c r="I1362" i="7" s="1"/>
  <c r="G1362" i="7"/>
  <c r="M1361" i="7"/>
  <c r="L1361" i="7"/>
  <c r="J1361" i="7"/>
  <c r="K1361" i="7" s="1"/>
  <c r="O1361" i="7" s="1"/>
  <c r="H1361" i="7"/>
  <c r="I1361" i="7" s="1"/>
  <c r="G1361" i="7"/>
  <c r="N1361" i="7" s="1"/>
  <c r="N1360" i="7"/>
  <c r="M1360" i="7"/>
  <c r="L1360" i="7"/>
  <c r="J1360" i="7"/>
  <c r="K1360" i="7" s="1"/>
  <c r="O1360" i="7" s="1"/>
  <c r="H1360" i="7"/>
  <c r="I1360" i="7" s="1"/>
  <c r="G1360" i="7"/>
  <c r="M1359" i="7"/>
  <c r="L1359" i="7"/>
  <c r="J1359" i="7"/>
  <c r="K1359" i="7" s="1"/>
  <c r="O1359" i="7" s="1"/>
  <c r="H1359" i="7"/>
  <c r="I1359" i="7" s="1"/>
  <c r="G1359" i="7"/>
  <c r="N1359" i="7" s="1"/>
  <c r="N1358" i="7"/>
  <c r="M1358" i="7"/>
  <c r="L1358" i="7"/>
  <c r="J1358" i="7"/>
  <c r="K1358" i="7" s="1"/>
  <c r="O1358" i="7" s="1"/>
  <c r="H1358" i="7"/>
  <c r="I1358" i="7" s="1"/>
  <c r="G1358" i="7"/>
  <c r="M1357" i="7"/>
  <c r="L1357" i="7"/>
  <c r="J1357" i="7"/>
  <c r="K1357" i="7" s="1"/>
  <c r="O1357" i="7" s="1"/>
  <c r="H1357" i="7"/>
  <c r="I1357" i="7" s="1"/>
  <c r="G1357" i="7"/>
  <c r="N1357" i="7" s="1"/>
  <c r="N1356" i="7"/>
  <c r="M1356" i="7"/>
  <c r="L1356" i="7"/>
  <c r="J1356" i="7"/>
  <c r="K1356" i="7" s="1"/>
  <c r="O1356" i="7" s="1"/>
  <c r="H1356" i="7"/>
  <c r="I1356" i="7" s="1"/>
  <c r="G1356" i="7"/>
  <c r="M1355" i="7"/>
  <c r="L1355" i="7"/>
  <c r="J1355" i="7"/>
  <c r="K1355" i="7" s="1"/>
  <c r="O1355" i="7" s="1"/>
  <c r="H1355" i="7"/>
  <c r="I1355" i="7" s="1"/>
  <c r="G1355" i="7"/>
  <c r="N1355" i="7" s="1"/>
  <c r="N1354" i="7"/>
  <c r="M1354" i="7"/>
  <c r="L1354" i="7"/>
  <c r="J1354" i="7"/>
  <c r="K1354" i="7" s="1"/>
  <c r="O1354" i="7" s="1"/>
  <c r="H1354" i="7"/>
  <c r="I1354" i="7" s="1"/>
  <c r="G1354" i="7"/>
  <c r="M1353" i="7"/>
  <c r="L1353" i="7"/>
  <c r="J1353" i="7"/>
  <c r="K1353" i="7" s="1"/>
  <c r="O1353" i="7" s="1"/>
  <c r="H1353" i="7"/>
  <c r="I1353" i="7" s="1"/>
  <c r="G1353" i="7"/>
  <c r="N1353" i="7" s="1"/>
  <c r="N1352" i="7"/>
  <c r="M1352" i="7"/>
  <c r="L1352" i="7"/>
  <c r="J1352" i="7"/>
  <c r="K1352" i="7" s="1"/>
  <c r="O1352" i="7" s="1"/>
  <c r="H1352" i="7"/>
  <c r="I1352" i="7" s="1"/>
  <c r="G1352" i="7"/>
  <c r="M1351" i="7"/>
  <c r="L1351" i="7"/>
  <c r="J1351" i="7"/>
  <c r="K1351" i="7" s="1"/>
  <c r="O1351" i="7" s="1"/>
  <c r="H1351" i="7"/>
  <c r="I1351" i="7" s="1"/>
  <c r="G1351" i="7"/>
  <c r="N1351" i="7" s="1"/>
  <c r="N1350" i="7"/>
  <c r="M1350" i="7"/>
  <c r="L1350" i="7"/>
  <c r="J1350" i="7"/>
  <c r="K1350" i="7" s="1"/>
  <c r="O1350" i="7" s="1"/>
  <c r="H1350" i="7"/>
  <c r="I1350" i="7" s="1"/>
  <c r="G1350" i="7"/>
  <c r="M1349" i="7"/>
  <c r="L1349" i="7"/>
  <c r="J1349" i="7"/>
  <c r="K1349" i="7" s="1"/>
  <c r="O1349" i="7" s="1"/>
  <c r="H1349" i="7"/>
  <c r="I1349" i="7" s="1"/>
  <c r="G1349" i="7"/>
  <c r="N1349" i="7" s="1"/>
  <c r="N1348" i="7"/>
  <c r="M1348" i="7"/>
  <c r="L1348" i="7"/>
  <c r="J1348" i="7"/>
  <c r="K1348" i="7" s="1"/>
  <c r="O1348" i="7" s="1"/>
  <c r="H1348" i="7"/>
  <c r="I1348" i="7" s="1"/>
  <c r="G1348" i="7"/>
  <c r="M1347" i="7"/>
  <c r="L1347" i="7"/>
  <c r="J1347" i="7"/>
  <c r="K1347" i="7" s="1"/>
  <c r="O1347" i="7" s="1"/>
  <c r="H1347" i="7"/>
  <c r="I1347" i="7" s="1"/>
  <c r="G1347" i="7"/>
  <c r="N1347" i="7" s="1"/>
  <c r="N1346" i="7"/>
  <c r="M1346" i="7"/>
  <c r="L1346" i="7"/>
  <c r="J1346" i="7"/>
  <c r="K1346" i="7" s="1"/>
  <c r="O1346" i="7" s="1"/>
  <c r="H1346" i="7"/>
  <c r="I1346" i="7" s="1"/>
  <c r="G1346" i="7"/>
  <c r="M1345" i="7"/>
  <c r="L1345" i="7"/>
  <c r="J1345" i="7"/>
  <c r="K1345" i="7" s="1"/>
  <c r="O1345" i="7" s="1"/>
  <c r="H1345" i="7"/>
  <c r="I1345" i="7" s="1"/>
  <c r="G1345" i="7"/>
  <c r="N1345" i="7" s="1"/>
  <c r="N1344" i="7"/>
  <c r="M1344" i="7"/>
  <c r="L1344" i="7"/>
  <c r="J1344" i="7"/>
  <c r="K1344" i="7" s="1"/>
  <c r="O1344" i="7" s="1"/>
  <c r="H1344" i="7"/>
  <c r="I1344" i="7" s="1"/>
  <c r="G1344" i="7"/>
  <c r="M1343" i="7"/>
  <c r="L1343" i="7"/>
  <c r="J1343" i="7"/>
  <c r="K1343" i="7" s="1"/>
  <c r="O1343" i="7" s="1"/>
  <c r="H1343" i="7"/>
  <c r="I1343" i="7" s="1"/>
  <c r="G1343" i="7"/>
  <c r="N1343" i="7" s="1"/>
  <c r="N1342" i="7"/>
  <c r="M1342" i="7"/>
  <c r="L1342" i="7"/>
  <c r="J1342" i="7"/>
  <c r="K1342" i="7" s="1"/>
  <c r="O1342" i="7" s="1"/>
  <c r="H1342" i="7"/>
  <c r="I1342" i="7" s="1"/>
  <c r="G1342" i="7"/>
  <c r="M1341" i="7"/>
  <c r="L1341" i="7"/>
  <c r="J1341" i="7"/>
  <c r="K1341" i="7" s="1"/>
  <c r="O1341" i="7" s="1"/>
  <c r="H1341" i="7"/>
  <c r="I1341" i="7" s="1"/>
  <c r="G1341" i="7"/>
  <c r="N1341" i="7" s="1"/>
  <c r="N1340" i="7"/>
  <c r="M1340" i="7"/>
  <c r="L1340" i="7"/>
  <c r="J1340" i="7"/>
  <c r="K1340" i="7" s="1"/>
  <c r="O1340" i="7" s="1"/>
  <c r="H1340" i="7"/>
  <c r="I1340" i="7" s="1"/>
  <c r="G1340" i="7"/>
  <c r="M1339" i="7"/>
  <c r="L1339" i="7"/>
  <c r="J1339" i="7"/>
  <c r="K1339" i="7" s="1"/>
  <c r="O1339" i="7" s="1"/>
  <c r="H1339" i="7"/>
  <c r="I1339" i="7" s="1"/>
  <c r="G1339" i="7"/>
  <c r="N1339" i="7" s="1"/>
  <c r="N1338" i="7"/>
  <c r="M1338" i="7"/>
  <c r="L1338" i="7"/>
  <c r="J1338" i="7"/>
  <c r="K1338" i="7" s="1"/>
  <c r="O1338" i="7" s="1"/>
  <c r="H1338" i="7"/>
  <c r="I1338" i="7" s="1"/>
  <c r="G1338" i="7"/>
  <c r="M1337" i="7"/>
  <c r="L1337" i="7"/>
  <c r="J1337" i="7"/>
  <c r="K1337" i="7" s="1"/>
  <c r="O1337" i="7" s="1"/>
  <c r="H1337" i="7"/>
  <c r="I1337" i="7" s="1"/>
  <c r="G1337" i="7"/>
  <c r="N1337" i="7" s="1"/>
  <c r="N1336" i="7"/>
  <c r="M1336" i="7"/>
  <c r="L1336" i="7"/>
  <c r="J1336" i="7"/>
  <c r="K1336" i="7" s="1"/>
  <c r="O1336" i="7" s="1"/>
  <c r="H1336" i="7"/>
  <c r="I1336" i="7" s="1"/>
  <c r="G1336" i="7"/>
  <c r="M1335" i="7"/>
  <c r="L1335" i="7"/>
  <c r="J1335" i="7"/>
  <c r="K1335" i="7" s="1"/>
  <c r="O1335" i="7" s="1"/>
  <c r="H1335" i="7"/>
  <c r="I1335" i="7" s="1"/>
  <c r="G1335" i="7"/>
  <c r="N1335" i="7" s="1"/>
  <c r="N1334" i="7"/>
  <c r="M1334" i="7"/>
  <c r="L1334" i="7"/>
  <c r="J1334" i="7"/>
  <c r="K1334" i="7" s="1"/>
  <c r="O1334" i="7" s="1"/>
  <c r="H1334" i="7"/>
  <c r="I1334" i="7" s="1"/>
  <c r="G1334" i="7"/>
  <c r="M1333" i="7"/>
  <c r="L1333" i="7"/>
  <c r="J1333" i="7"/>
  <c r="K1333" i="7" s="1"/>
  <c r="O1333" i="7" s="1"/>
  <c r="H1333" i="7"/>
  <c r="I1333" i="7" s="1"/>
  <c r="G1333" i="7"/>
  <c r="N1333" i="7" s="1"/>
  <c r="N1332" i="7"/>
  <c r="M1332" i="7"/>
  <c r="L1332" i="7"/>
  <c r="J1332" i="7"/>
  <c r="K1332" i="7" s="1"/>
  <c r="O1332" i="7" s="1"/>
  <c r="H1332" i="7"/>
  <c r="I1332" i="7" s="1"/>
  <c r="G1332" i="7"/>
  <c r="M1331" i="7"/>
  <c r="L1331" i="7"/>
  <c r="J1331" i="7"/>
  <c r="K1331" i="7" s="1"/>
  <c r="O1331" i="7" s="1"/>
  <c r="H1331" i="7"/>
  <c r="I1331" i="7" s="1"/>
  <c r="G1331" i="7"/>
  <c r="N1331" i="7" s="1"/>
  <c r="N1330" i="7"/>
  <c r="M1330" i="7"/>
  <c r="L1330" i="7"/>
  <c r="J1330" i="7"/>
  <c r="K1330" i="7" s="1"/>
  <c r="O1330" i="7" s="1"/>
  <c r="H1330" i="7"/>
  <c r="I1330" i="7" s="1"/>
  <c r="G1330" i="7"/>
  <c r="M1329" i="7"/>
  <c r="L1329" i="7"/>
  <c r="J1329" i="7"/>
  <c r="K1329" i="7" s="1"/>
  <c r="O1329" i="7" s="1"/>
  <c r="H1329" i="7"/>
  <c r="I1329" i="7" s="1"/>
  <c r="G1329" i="7"/>
  <c r="N1329" i="7" s="1"/>
  <c r="N1328" i="7"/>
  <c r="M1328" i="7"/>
  <c r="L1328" i="7"/>
  <c r="J1328" i="7"/>
  <c r="K1328" i="7" s="1"/>
  <c r="O1328" i="7" s="1"/>
  <c r="H1328" i="7"/>
  <c r="I1328" i="7" s="1"/>
  <c r="G1328" i="7"/>
  <c r="M1327" i="7"/>
  <c r="L1327" i="7"/>
  <c r="J1327" i="7"/>
  <c r="K1327" i="7" s="1"/>
  <c r="O1327" i="7" s="1"/>
  <c r="H1327" i="7"/>
  <c r="I1327" i="7" s="1"/>
  <c r="G1327" i="7"/>
  <c r="N1327" i="7" s="1"/>
  <c r="N1326" i="7"/>
  <c r="M1326" i="7"/>
  <c r="L1326" i="7"/>
  <c r="J1326" i="7"/>
  <c r="K1326" i="7" s="1"/>
  <c r="O1326" i="7" s="1"/>
  <c r="H1326" i="7"/>
  <c r="I1326" i="7" s="1"/>
  <c r="G1326" i="7"/>
  <c r="M1325" i="7"/>
  <c r="L1325" i="7"/>
  <c r="J1325" i="7"/>
  <c r="K1325" i="7" s="1"/>
  <c r="O1325" i="7" s="1"/>
  <c r="H1325" i="7"/>
  <c r="I1325" i="7" s="1"/>
  <c r="G1325" i="7"/>
  <c r="N1325" i="7" s="1"/>
  <c r="N1324" i="7"/>
  <c r="M1324" i="7"/>
  <c r="L1324" i="7"/>
  <c r="J1324" i="7"/>
  <c r="K1324" i="7" s="1"/>
  <c r="O1324" i="7" s="1"/>
  <c r="H1324" i="7"/>
  <c r="I1324" i="7" s="1"/>
  <c r="G1324" i="7"/>
  <c r="M1323" i="7"/>
  <c r="L1323" i="7"/>
  <c r="J1323" i="7"/>
  <c r="K1323" i="7" s="1"/>
  <c r="O1323" i="7" s="1"/>
  <c r="H1323" i="7"/>
  <c r="I1323" i="7" s="1"/>
  <c r="G1323" i="7"/>
  <c r="N1323" i="7" s="1"/>
  <c r="N1322" i="7"/>
  <c r="M1322" i="7"/>
  <c r="L1322" i="7"/>
  <c r="J1322" i="7"/>
  <c r="K1322" i="7" s="1"/>
  <c r="O1322" i="7" s="1"/>
  <c r="H1322" i="7"/>
  <c r="I1322" i="7" s="1"/>
  <c r="G1322" i="7"/>
  <c r="M1321" i="7"/>
  <c r="L1321" i="7"/>
  <c r="J1321" i="7"/>
  <c r="K1321" i="7" s="1"/>
  <c r="O1321" i="7" s="1"/>
  <c r="H1321" i="7"/>
  <c r="I1321" i="7" s="1"/>
  <c r="G1321" i="7"/>
  <c r="N1321" i="7" s="1"/>
  <c r="N1320" i="7"/>
  <c r="M1320" i="7"/>
  <c r="L1320" i="7"/>
  <c r="J1320" i="7"/>
  <c r="K1320" i="7" s="1"/>
  <c r="O1320" i="7" s="1"/>
  <c r="H1320" i="7"/>
  <c r="I1320" i="7" s="1"/>
  <c r="G1320" i="7"/>
  <c r="M1319" i="7"/>
  <c r="L1319" i="7"/>
  <c r="J1319" i="7"/>
  <c r="K1319" i="7" s="1"/>
  <c r="O1319" i="7" s="1"/>
  <c r="H1319" i="7"/>
  <c r="I1319" i="7" s="1"/>
  <c r="G1319" i="7"/>
  <c r="N1319" i="7" s="1"/>
  <c r="N1318" i="7"/>
  <c r="M1318" i="7"/>
  <c r="L1318" i="7"/>
  <c r="J1318" i="7"/>
  <c r="K1318" i="7" s="1"/>
  <c r="O1318" i="7" s="1"/>
  <c r="H1318" i="7"/>
  <c r="I1318" i="7" s="1"/>
  <c r="G1318" i="7"/>
  <c r="M1317" i="7"/>
  <c r="L1317" i="7"/>
  <c r="J1317" i="7"/>
  <c r="K1317" i="7" s="1"/>
  <c r="O1317" i="7" s="1"/>
  <c r="H1317" i="7"/>
  <c r="I1317" i="7" s="1"/>
  <c r="G1317" i="7"/>
  <c r="N1317" i="7" s="1"/>
  <c r="N1316" i="7"/>
  <c r="M1316" i="7"/>
  <c r="L1316" i="7"/>
  <c r="J1316" i="7"/>
  <c r="K1316" i="7" s="1"/>
  <c r="O1316" i="7" s="1"/>
  <c r="H1316" i="7"/>
  <c r="I1316" i="7" s="1"/>
  <c r="G1316" i="7"/>
  <c r="M1315" i="7"/>
  <c r="L1315" i="7"/>
  <c r="J1315" i="7"/>
  <c r="K1315" i="7" s="1"/>
  <c r="O1315" i="7" s="1"/>
  <c r="H1315" i="7"/>
  <c r="I1315" i="7" s="1"/>
  <c r="G1315" i="7"/>
  <c r="N1315" i="7" s="1"/>
  <c r="N1314" i="7"/>
  <c r="M1314" i="7"/>
  <c r="L1314" i="7"/>
  <c r="J1314" i="7"/>
  <c r="K1314" i="7" s="1"/>
  <c r="O1314" i="7" s="1"/>
  <c r="H1314" i="7"/>
  <c r="I1314" i="7" s="1"/>
  <c r="G1314" i="7"/>
  <c r="M1313" i="7"/>
  <c r="L1313" i="7"/>
  <c r="J1313" i="7"/>
  <c r="K1313" i="7" s="1"/>
  <c r="O1313" i="7" s="1"/>
  <c r="H1313" i="7"/>
  <c r="I1313" i="7" s="1"/>
  <c r="G1313" i="7"/>
  <c r="N1313" i="7" s="1"/>
  <c r="N1312" i="7"/>
  <c r="M1312" i="7"/>
  <c r="L1312" i="7"/>
  <c r="J1312" i="7"/>
  <c r="K1312" i="7" s="1"/>
  <c r="O1312" i="7" s="1"/>
  <c r="H1312" i="7"/>
  <c r="I1312" i="7" s="1"/>
  <c r="G1312" i="7"/>
  <c r="M1311" i="7"/>
  <c r="L1311" i="7"/>
  <c r="J1311" i="7"/>
  <c r="K1311" i="7" s="1"/>
  <c r="O1311" i="7" s="1"/>
  <c r="H1311" i="7"/>
  <c r="I1311" i="7" s="1"/>
  <c r="G1311" i="7"/>
  <c r="N1311" i="7" s="1"/>
  <c r="N1310" i="7"/>
  <c r="M1310" i="7"/>
  <c r="L1310" i="7"/>
  <c r="J1310" i="7"/>
  <c r="K1310" i="7" s="1"/>
  <c r="O1310" i="7" s="1"/>
  <c r="H1310" i="7"/>
  <c r="I1310" i="7" s="1"/>
  <c r="G1310" i="7"/>
  <c r="M1309" i="7"/>
  <c r="L1309" i="7"/>
  <c r="J1309" i="7"/>
  <c r="K1309" i="7" s="1"/>
  <c r="O1309" i="7" s="1"/>
  <c r="H1309" i="7"/>
  <c r="I1309" i="7" s="1"/>
  <c r="G1309" i="7"/>
  <c r="N1309" i="7" s="1"/>
  <c r="N1308" i="7"/>
  <c r="M1308" i="7"/>
  <c r="L1308" i="7"/>
  <c r="J1308" i="7"/>
  <c r="K1308" i="7" s="1"/>
  <c r="O1308" i="7" s="1"/>
  <c r="H1308" i="7"/>
  <c r="I1308" i="7" s="1"/>
  <c r="G1308" i="7"/>
  <c r="M1307" i="7"/>
  <c r="L1307" i="7"/>
  <c r="J1307" i="7"/>
  <c r="K1307" i="7" s="1"/>
  <c r="O1307" i="7" s="1"/>
  <c r="H1307" i="7"/>
  <c r="I1307" i="7" s="1"/>
  <c r="G1307" i="7"/>
  <c r="N1307" i="7" s="1"/>
  <c r="N1306" i="7"/>
  <c r="M1306" i="7"/>
  <c r="L1306" i="7"/>
  <c r="J1306" i="7"/>
  <c r="K1306" i="7" s="1"/>
  <c r="O1306" i="7" s="1"/>
  <c r="H1306" i="7"/>
  <c r="I1306" i="7" s="1"/>
  <c r="G1306" i="7"/>
  <c r="M1305" i="7"/>
  <c r="L1305" i="7"/>
  <c r="J1305" i="7"/>
  <c r="K1305" i="7" s="1"/>
  <c r="O1305" i="7" s="1"/>
  <c r="H1305" i="7"/>
  <c r="I1305" i="7" s="1"/>
  <c r="G1305" i="7"/>
  <c r="N1305" i="7" s="1"/>
  <c r="N1304" i="7"/>
  <c r="M1304" i="7"/>
  <c r="L1304" i="7"/>
  <c r="J1304" i="7"/>
  <c r="K1304" i="7" s="1"/>
  <c r="O1304" i="7" s="1"/>
  <c r="H1304" i="7"/>
  <c r="I1304" i="7" s="1"/>
  <c r="G1304" i="7"/>
  <c r="M1303" i="7"/>
  <c r="L1303" i="7"/>
  <c r="J1303" i="7"/>
  <c r="K1303" i="7" s="1"/>
  <c r="O1303" i="7" s="1"/>
  <c r="H1303" i="7"/>
  <c r="I1303" i="7" s="1"/>
  <c r="G1303" i="7"/>
  <c r="N1303" i="7" s="1"/>
  <c r="N1302" i="7"/>
  <c r="M1302" i="7"/>
  <c r="L1302" i="7"/>
  <c r="J1302" i="7"/>
  <c r="K1302" i="7" s="1"/>
  <c r="O1302" i="7" s="1"/>
  <c r="H1302" i="7"/>
  <c r="I1302" i="7" s="1"/>
  <c r="G1302" i="7"/>
  <c r="M1301" i="7"/>
  <c r="L1301" i="7"/>
  <c r="J1301" i="7"/>
  <c r="K1301" i="7" s="1"/>
  <c r="O1301" i="7" s="1"/>
  <c r="H1301" i="7"/>
  <c r="I1301" i="7" s="1"/>
  <c r="G1301" i="7"/>
  <c r="N1301" i="7" s="1"/>
  <c r="N1300" i="7"/>
  <c r="M1300" i="7"/>
  <c r="L1300" i="7"/>
  <c r="J1300" i="7"/>
  <c r="K1300" i="7" s="1"/>
  <c r="O1300" i="7" s="1"/>
  <c r="H1300" i="7"/>
  <c r="I1300" i="7" s="1"/>
  <c r="G1300" i="7"/>
  <c r="M1299" i="7"/>
  <c r="L1299" i="7"/>
  <c r="J1299" i="7"/>
  <c r="K1299" i="7" s="1"/>
  <c r="O1299" i="7" s="1"/>
  <c r="H1299" i="7"/>
  <c r="I1299" i="7" s="1"/>
  <c r="G1299" i="7"/>
  <c r="N1299" i="7" s="1"/>
  <c r="N1298" i="7"/>
  <c r="M1298" i="7"/>
  <c r="L1298" i="7"/>
  <c r="J1298" i="7"/>
  <c r="K1298" i="7" s="1"/>
  <c r="O1298" i="7" s="1"/>
  <c r="H1298" i="7"/>
  <c r="I1298" i="7" s="1"/>
  <c r="G1298" i="7"/>
  <c r="M1297" i="7"/>
  <c r="L1297" i="7"/>
  <c r="J1297" i="7"/>
  <c r="K1297" i="7" s="1"/>
  <c r="O1297" i="7" s="1"/>
  <c r="H1297" i="7"/>
  <c r="I1297" i="7" s="1"/>
  <c r="G1297" i="7"/>
  <c r="N1297" i="7" s="1"/>
  <c r="N1296" i="7"/>
  <c r="M1296" i="7"/>
  <c r="L1296" i="7"/>
  <c r="J1296" i="7"/>
  <c r="K1296" i="7" s="1"/>
  <c r="O1296" i="7" s="1"/>
  <c r="H1296" i="7"/>
  <c r="I1296" i="7" s="1"/>
  <c r="G1296" i="7"/>
  <c r="M1295" i="7"/>
  <c r="L1295" i="7"/>
  <c r="J1295" i="7"/>
  <c r="K1295" i="7" s="1"/>
  <c r="O1295" i="7" s="1"/>
  <c r="H1295" i="7"/>
  <c r="I1295" i="7" s="1"/>
  <c r="G1295" i="7"/>
  <c r="N1295" i="7" s="1"/>
  <c r="N1294" i="7"/>
  <c r="M1294" i="7"/>
  <c r="L1294" i="7"/>
  <c r="J1294" i="7"/>
  <c r="K1294" i="7" s="1"/>
  <c r="O1294" i="7" s="1"/>
  <c r="H1294" i="7"/>
  <c r="I1294" i="7" s="1"/>
  <c r="G1294" i="7"/>
  <c r="M1293" i="7"/>
  <c r="L1293" i="7"/>
  <c r="J1293" i="7"/>
  <c r="K1293" i="7" s="1"/>
  <c r="O1293" i="7" s="1"/>
  <c r="H1293" i="7"/>
  <c r="I1293" i="7" s="1"/>
  <c r="G1293" i="7"/>
  <c r="N1293" i="7" s="1"/>
  <c r="N1292" i="7"/>
  <c r="M1292" i="7"/>
  <c r="L1292" i="7"/>
  <c r="J1292" i="7"/>
  <c r="K1292" i="7" s="1"/>
  <c r="O1292" i="7" s="1"/>
  <c r="H1292" i="7"/>
  <c r="I1292" i="7" s="1"/>
  <c r="G1292" i="7"/>
  <c r="M1291" i="7"/>
  <c r="L1291" i="7"/>
  <c r="J1291" i="7"/>
  <c r="K1291" i="7" s="1"/>
  <c r="O1291" i="7" s="1"/>
  <c r="H1291" i="7"/>
  <c r="I1291" i="7" s="1"/>
  <c r="G1291" i="7"/>
  <c r="N1291" i="7" s="1"/>
  <c r="N1290" i="7"/>
  <c r="M1290" i="7"/>
  <c r="L1290" i="7"/>
  <c r="J1290" i="7"/>
  <c r="K1290" i="7" s="1"/>
  <c r="O1290" i="7" s="1"/>
  <c r="H1290" i="7"/>
  <c r="I1290" i="7" s="1"/>
  <c r="G1290" i="7"/>
  <c r="M1289" i="7"/>
  <c r="L1289" i="7"/>
  <c r="J1289" i="7"/>
  <c r="K1289" i="7" s="1"/>
  <c r="O1289" i="7" s="1"/>
  <c r="H1289" i="7"/>
  <c r="I1289" i="7" s="1"/>
  <c r="G1289" i="7"/>
  <c r="N1289" i="7" s="1"/>
  <c r="N1288" i="7"/>
  <c r="M1288" i="7"/>
  <c r="L1288" i="7"/>
  <c r="J1288" i="7"/>
  <c r="K1288" i="7" s="1"/>
  <c r="O1288" i="7" s="1"/>
  <c r="H1288" i="7"/>
  <c r="I1288" i="7" s="1"/>
  <c r="G1288" i="7"/>
  <c r="M1287" i="7"/>
  <c r="L1287" i="7"/>
  <c r="J1287" i="7"/>
  <c r="K1287" i="7" s="1"/>
  <c r="O1287" i="7" s="1"/>
  <c r="H1287" i="7"/>
  <c r="I1287" i="7" s="1"/>
  <c r="G1287" i="7"/>
  <c r="N1287" i="7" s="1"/>
  <c r="N1286" i="7"/>
  <c r="M1286" i="7"/>
  <c r="L1286" i="7"/>
  <c r="J1286" i="7"/>
  <c r="K1286" i="7" s="1"/>
  <c r="O1286" i="7" s="1"/>
  <c r="H1286" i="7"/>
  <c r="I1286" i="7" s="1"/>
  <c r="G1286" i="7"/>
  <c r="M1285" i="7"/>
  <c r="L1285" i="7"/>
  <c r="J1285" i="7"/>
  <c r="K1285" i="7" s="1"/>
  <c r="O1285" i="7" s="1"/>
  <c r="H1285" i="7"/>
  <c r="I1285" i="7" s="1"/>
  <c r="G1285" i="7"/>
  <c r="N1285" i="7" s="1"/>
  <c r="N1284" i="7"/>
  <c r="M1284" i="7"/>
  <c r="L1284" i="7"/>
  <c r="J1284" i="7"/>
  <c r="K1284" i="7" s="1"/>
  <c r="O1284" i="7" s="1"/>
  <c r="H1284" i="7"/>
  <c r="I1284" i="7" s="1"/>
  <c r="G1284" i="7"/>
  <c r="M1283" i="7"/>
  <c r="L1283" i="7"/>
  <c r="J1283" i="7"/>
  <c r="K1283" i="7" s="1"/>
  <c r="O1283" i="7" s="1"/>
  <c r="H1283" i="7"/>
  <c r="I1283" i="7" s="1"/>
  <c r="G1283" i="7"/>
  <c r="N1283" i="7" s="1"/>
  <c r="N1282" i="7"/>
  <c r="M1282" i="7"/>
  <c r="L1282" i="7"/>
  <c r="J1282" i="7"/>
  <c r="K1282" i="7" s="1"/>
  <c r="O1282" i="7" s="1"/>
  <c r="H1282" i="7"/>
  <c r="I1282" i="7" s="1"/>
  <c r="G1282" i="7"/>
  <c r="M1281" i="7"/>
  <c r="L1281" i="7"/>
  <c r="J1281" i="7"/>
  <c r="K1281" i="7" s="1"/>
  <c r="O1281" i="7" s="1"/>
  <c r="H1281" i="7"/>
  <c r="I1281" i="7" s="1"/>
  <c r="G1281" i="7"/>
  <c r="N1281" i="7" s="1"/>
  <c r="N1280" i="7"/>
  <c r="M1280" i="7"/>
  <c r="L1280" i="7"/>
  <c r="J1280" i="7"/>
  <c r="K1280" i="7" s="1"/>
  <c r="O1280" i="7" s="1"/>
  <c r="H1280" i="7"/>
  <c r="I1280" i="7" s="1"/>
  <c r="G1280" i="7"/>
  <c r="M1279" i="7"/>
  <c r="L1279" i="7"/>
  <c r="J1279" i="7"/>
  <c r="K1279" i="7" s="1"/>
  <c r="O1279" i="7" s="1"/>
  <c r="H1279" i="7"/>
  <c r="I1279" i="7" s="1"/>
  <c r="G1279" i="7"/>
  <c r="N1279" i="7" s="1"/>
  <c r="N1278" i="7"/>
  <c r="M1278" i="7"/>
  <c r="L1278" i="7"/>
  <c r="J1278" i="7"/>
  <c r="K1278" i="7" s="1"/>
  <c r="O1278" i="7" s="1"/>
  <c r="H1278" i="7"/>
  <c r="I1278" i="7" s="1"/>
  <c r="G1278" i="7"/>
  <c r="M1277" i="7"/>
  <c r="L1277" i="7"/>
  <c r="J1277" i="7"/>
  <c r="K1277" i="7" s="1"/>
  <c r="O1277" i="7" s="1"/>
  <c r="H1277" i="7"/>
  <c r="I1277" i="7" s="1"/>
  <c r="G1277" i="7"/>
  <c r="N1277" i="7" s="1"/>
  <c r="N1276" i="7"/>
  <c r="M1276" i="7"/>
  <c r="L1276" i="7"/>
  <c r="J1276" i="7"/>
  <c r="K1276" i="7" s="1"/>
  <c r="O1276" i="7" s="1"/>
  <c r="H1276" i="7"/>
  <c r="I1276" i="7" s="1"/>
  <c r="G1276" i="7"/>
  <c r="M1275" i="7"/>
  <c r="L1275" i="7"/>
  <c r="J1275" i="7"/>
  <c r="K1275" i="7" s="1"/>
  <c r="O1275" i="7" s="1"/>
  <c r="H1275" i="7"/>
  <c r="I1275" i="7" s="1"/>
  <c r="G1275" i="7"/>
  <c r="N1275" i="7" s="1"/>
  <c r="N1274" i="7"/>
  <c r="M1274" i="7"/>
  <c r="L1274" i="7"/>
  <c r="J1274" i="7"/>
  <c r="K1274" i="7" s="1"/>
  <c r="O1274" i="7" s="1"/>
  <c r="H1274" i="7"/>
  <c r="I1274" i="7" s="1"/>
  <c r="G1274" i="7"/>
  <c r="M1273" i="7"/>
  <c r="L1273" i="7"/>
  <c r="J1273" i="7"/>
  <c r="K1273" i="7" s="1"/>
  <c r="O1273" i="7" s="1"/>
  <c r="H1273" i="7"/>
  <c r="I1273" i="7" s="1"/>
  <c r="G1273" i="7"/>
  <c r="N1273" i="7" s="1"/>
  <c r="N1272" i="7"/>
  <c r="M1272" i="7"/>
  <c r="L1272" i="7"/>
  <c r="J1272" i="7"/>
  <c r="K1272" i="7" s="1"/>
  <c r="O1272" i="7" s="1"/>
  <c r="H1272" i="7"/>
  <c r="I1272" i="7" s="1"/>
  <c r="G1272" i="7"/>
  <c r="M1271" i="7"/>
  <c r="L1271" i="7"/>
  <c r="J1271" i="7"/>
  <c r="K1271" i="7" s="1"/>
  <c r="O1271" i="7" s="1"/>
  <c r="H1271" i="7"/>
  <c r="I1271" i="7" s="1"/>
  <c r="G1271" i="7"/>
  <c r="N1271" i="7" s="1"/>
  <c r="N1270" i="7"/>
  <c r="M1270" i="7"/>
  <c r="L1270" i="7"/>
  <c r="J1270" i="7"/>
  <c r="K1270" i="7" s="1"/>
  <c r="O1270" i="7" s="1"/>
  <c r="H1270" i="7"/>
  <c r="I1270" i="7" s="1"/>
  <c r="G1270" i="7"/>
  <c r="M1269" i="7"/>
  <c r="L1269" i="7"/>
  <c r="J1269" i="7"/>
  <c r="K1269" i="7" s="1"/>
  <c r="O1269" i="7" s="1"/>
  <c r="H1269" i="7"/>
  <c r="I1269" i="7" s="1"/>
  <c r="G1269" i="7"/>
  <c r="N1269" i="7" s="1"/>
  <c r="N1268" i="7"/>
  <c r="M1268" i="7"/>
  <c r="L1268" i="7"/>
  <c r="J1268" i="7"/>
  <c r="K1268" i="7" s="1"/>
  <c r="O1268" i="7" s="1"/>
  <c r="H1268" i="7"/>
  <c r="I1268" i="7" s="1"/>
  <c r="G1268" i="7"/>
  <c r="M1267" i="7"/>
  <c r="L1267" i="7"/>
  <c r="J1267" i="7"/>
  <c r="K1267" i="7" s="1"/>
  <c r="O1267" i="7" s="1"/>
  <c r="H1267" i="7"/>
  <c r="I1267" i="7" s="1"/>
  <c r="G1267" i="7"/>
  <c r="N1267" i="7" s="1"/>
  <c r="N1266" i="7"/>
  <c r="M1266" i="7"/>
  <c r="L1266" i="7"/>
  <c r="J1266" i="7"/>
  <c r="K1266" i="7" s="1"/>
  <c r="O1266" i="7" s="1"/>
  <c r="H1266" i="7"/>
  <c r="I1266" i="7" s="1"/>
  <c r="G1266" i="7"/>
  <c r="M1265" i="7"/>
  <c r="L1265" i="7"/>
  <c r="J1265" i="7"/>
  <c r="K1265" i="7" s="1"/>
  <c r="O1265" i="7" s="1"/>
  <c r="H1265" i="7"/>
  <c r="I1265" i="7" s="1"/>
  <c r="G1265" i="7"/>
  <c r="N1265" i="7" s="1"/>
  <c r="N1264" i="7"/>
  <c r="M1264" i="7"/>
  <c r="L1264" i="7"/>
  <c r="J1264" i="7"/>
  <c r="K1264" i="7" s="1"/>
  <c r="O1264" i="7" s="1"/>
  <c r="H1264" i="7"/>
  <c r="I1264" i="7" s="1"/>
  <c r="G1264" i="7"/>
  <c r="M1263" i="7"/>
  <c r="L1263" i="7"/>
  <c r="J1263" i="7"/>
  <c r="K1263" i="7" s="1"/>
  <c r="O1263" i="7" s="1"/>
  <c r="H1263" i="7"/>
  <c r="I1263" i="7" s="1"/>
  <c r="G1263" i="7"/>
  <c r="N1263" i="7" s="1"/>
  <c r="N1262" i="7"/>
  <c r="M1262" i="7"/>
  <c r="L1262" i="7"/>
  <c r="J1262" i="7"/>
  <c r="K1262" i="7" s="1"/>
  <c r="O1262" i="7" s="1"/>
  <c r="H1262" i="7"/>
  <c r="I1262" i="7" s="1"/>
  <c r="G1262" i="7"/>
  <c r="M1261" i="7"/>
  <c r="L1261" i="7"/>
  <c r="J1261" i="7"/>
  <c r="K1261" i="7" s="1"/>
  <c r="O1261" i="7" s="1"/>
  <c r="H1261" i="7"/>
  <c r="I1261" i="7" s="1"/>
  <c r="G1261" i="7"/>
  <c r="N1261" i="7" s="1"/>
  <c r="N1260" i="7"/>
  <c r="M1260" i="7"/>
  <c r="L1260" i="7"/>
  <c r="J1260" i="7"/>
  <c r="K1260" i="7" s="1"/>
  <c r="O1260" i="7" s="1"/>
  <c r="H1260" i="7"/>
  <c r="I1260" i="7" s="1"/>
  <c r="G1260" i="7"/>
  <c r="M1259" i="7"/>
  <c r="L1259" i="7"/>
  <c r="J1259" i="7"/>
  <c r="K1259" i="7" s="1"/>
  <c r="O1259" i="7" s="1"/>
  <c r="H1259" i="7"/>
  <c r="I1259" i="7" s="1"/>
  <c r="G1259" i="7"/>
  <c r="N1259" i="7" s="1"/>
  <c r="N1258" i="7"/>
  <c r="M1258" i="7"/>
  <c r="L1258" i="7"/>
  <c r="J1258" i="7"/>
  <c r="K1258" i="7" s="1"/>
  <c r="O1258" i="7" s="1"/>
  <c r="H1258" i="7"/>
  <c r="I1258" i="7" s="1"/>
  <c r="G1258" i="7"/>
  <c r="M1257" i="7"/>
  <c r="L1257" i="7"/>
  <c r="J1257" i="7"/>
  <c r="K1257" i="7" s="1"/>
  <c r="O1257" i="7" s="1"/>
  <c r="H1257" i="7"/>
  <c r="I1257" i="7" s="1"/>
  <c r="G1257" i="7"/>
  <c r="N1257" i="7" s="1"/>
  <c r="N1256" i="7"/>
  <c r="M1256" i="7"/>
  <c r="L1256" i="7"/>
  <c r="J1256" i="7"/>
  <c r="K1256" i="7" s="1"/>
  <c r="O1256" i="7" s="1"/>
  <c r="H1256" i="7"/>
  <c r="I1256" i="7" s="1"/>
  <c r="G1256" i="7"/>
  <c r="M1255" i="7"/>
  <c r="L1255" i="7"/>
  <c r="J1255" i="7"/>
  <c r="K1255" i="7" s="1"/>
  <c r="O1255" i="7" s="1"/>
  <c r="H1255" i="7"/>
  <c r="I1255" i="7" s="1"/>
  <c r="G1255" i="7"/>
  <c r="N1255" i="7" s="1"/>
  <c r="N1254" i="7"/>
  <c r="M1254" i="7"/>
  <c r="L1254" i="7"/>
  <c r="J1254" i="7"/>
  <c r="K1254" i="7" s="1"/>
  <c r="O1254" i="7" s="1"/>
  <c r="H1254" i="7"/>
  <c r="I1254" i="7" s="1"/>
  <c r="G1254" i="7"/>
  <c r="M1253" i="7"/>
  <c r="L1253" i="7"/>
  <c r="J1253" i="7"/>
  <c r="K1253" i="7" s="1"/>
  <c r="O1253" i="7" s="1"/>
  <c r="H1253" i="7"/>
  <c r="I1253" i="7" s="1"/>
  <c r="G1253" i="7"/>
  <c r="N1253" i="7" s="1"/>
  <c r="N1252" i="7"/>
  <c r="M1252" i="7"/>
  <c r="L1252" i="7"/>
  <c r="J1252" i="7"/>
  <c r="K1252" i="7" s="1"/>
  <c r="O1252" i="7" s="1"/>
  <c r="H1252" i="7"/>
  <c r="I1252" i="7" s="1"/>
  <c r="G1252" i="7"/>
  <c r="M1251" i="7"/>
  <c r="L1251" i="7"/>
  <c r="J1251" i="7"/>
  <c r="K1251" i="7" s="1"/>
  <c r="O1251" i="7" s="1"/>
  <c r="H1251" i="7"/>
  <c r="I1251" i="7" s="1"/>
  <c r="G1251" i="7"/>
  <c r="N1251" i="7" s="1"/>
  <c r="N1250" i="7"/>
  <c r="M1250" i="7"/>
  <c r="L1250" i="7"/>
  <c r="J1250" i="7"/>
  <c r="K1250" i="7" s="1"/>
  <c r="O1250" i="7" s="1"/>
  <c r="H1250" i="7"/>
  <c r="I1250" i="7" s="1"/>
  <c r="G1250" i="7"/>
  <c r="M1249" i="7"/>
  <c r="L1249" i="7"/>
  <c r="J1249" i="7"/>
  <c r="K1249" i="7" s="1"/>
  <c r="O1249" i="7" s="1"/>
  <c r="H1249" i="7"/>
  <c r="I1249" i="7" s="1"/>
  <c r="G1249" i="7"/>
  <c r="N1249" i="7" s="1"/>
  <c r="N1248" i="7"/>
  <c r="M1248" i="7"/>
  <c r="L1248" i="7"/>
  <c r="J1248" i="7"/>
  <c r="K1248" i="7" s="1"/>
  <c r="O1248" i="7" s="1"/>
  <c r="H1248" i="7"/>
  <c r="I1248" i="7" s="1"/>
  <c r="G1248" i="7"/>
  <c r="M1247" i="7"/>
  <c r="L1247" i="7"/>
  <c r="J1247" i="7"/>
  <c r="K1247" i="7" s="1"/>
  <c r="O1247" i="7" s="1"/>
  <c r="H1247" i="7"/>
  <c r="I1247" i="7" s="1"/>
  <c r="G1247" i="7"/>
  <c r="N1247" i="7" s="1"/>
  <c r="N1246" i="7"/>
  <c r="M1246" i="7"/>
  <c r="L1246" i="7"/>
  <c r="J1246" i="7"/>
  <c r="K1246" i="7" s="1"/>
  <c r="O1246" i="7" s="1"/>
  <c r="H1246" i="7"/>
  <c r="I1246" i="7" s="1"/>
  <c r="G1246" i="7"/>
  <c r="M1245" i="7"/>
  <c r="L1245" i="7"/>
  <c r="J1245" i="7"/>
  <c r="K1245" i="7" s="1"/>
  <c r="O1245" i="7" s="1"/>
  <c r="H1245" i="7"/>
  <c r="I1245" i="7" s="1"/>
  <c r="G1245" i="7"/>
  <c r="N1245" i="7" s="1"/>
  <c r="N1244" i="7"/>
  <c r="M1244" i="7"/>
  <c r="L1244" i="7"/>
  <c r="J1244" i="7"/>
  <c r="K1244" i="7" s="1"/>
  <c r="O1244" i="7" s="1"/>
  <c r="H1244" i="7"/>
  <c r="I1244" i="7" s="1"/>
  <c r="G1244" i="7"/>
  <c r="M1243" i="7"/>
  <c r="L1243" i="7"/>
  <c r="J1243" i="7"/>
  <c r="K1243" i="7" s="1"/>
  <c r="O1243" i="7" s="1"/>
  <c r="H1243" i="7"/>
  <c r="I1243" i="7" s="1"/>
  <c r="G1243" i="7"/>
  <c r="N1243" i="7" s="1"/>
  <c r="N1242" i="7"/>
  <c r="M1242" i="7"/>
  <c r="L1242" i="7"/>
  <c r="J1242" i="7"/>
  <c r="K1242" i="7" s="1"/>
  <c r="O1242" i="7" s="1"/>
  <c r="H1242" i="7"/>
  <c r="I1242" i="7" s="1"/>
  <c r="G1242" i="7"/>
  <c r="M1241" i="7"/>
  <c r="L1241" i="7"/>
  <c r="J1241" i="7"/>
  <c r="K1241" i="7" s="1"/>
  <c r="O1241" i="7" s="1"/>
  <c r="H1241" i="7"/>
  <c r="I1241" i="7" s="1"/>
  <c r="G1241" i="7"/>
  <c r="N1241" i="7" s="1"/>
  <c r="N1240" i="7"/>
  <c r="M1240" i="7"/>
  <c r="L1240" i="7"/>
  <c r="J1240" i="7"/>
  <c r="K1240" i="7" s="1"/>
  <c r="O1240" i="7" s="1"/>
  <c r="H1240" i="7"/>
  <c r="I1240" i="7" s="1"/>
  <c r="G1240" i="7"/>
  <c r="M1239" i="7"/>
  <c r="L1239" i="7"/>
  <c r="J1239" i="7"/>
  <c r="K1239" i="7" s="1"/>
  <c r="O1239" i="7" s="1"/>
  <c r="H1239" i="7"/>
  <c r="I1239" i="7" s="1"/>
  <c r="G1239" i="7"/>
  <c r="N1239" i="7" s="1"/>
  <c r="N1238" i="7"/>
  <c r="M1238" i="7"/>
  <c r="L1238" i="7"/>
  <c r="J1238" i="7"/>
  <c r="K1238" i="7" s="1"/>
  <c r="O1238" i="7" s="1"/>
  <c r="H1238" i="7"/>
  <c r="I1238" i="7" s="1"/>
  <c r="G1238" i="7"/>
  <c r="M1237" i="7"/>
  <c r="L1237" i="7"/>
  <c r="J1237" i="7"/>
  <c r="K1237" i="7" s="1"/>
  <c r="O1237" i="7" s="1"/>
  <c r="H1237" i="7"/>
  <c r="I1237" i="7" s="1"/>
  <c r="G1237" i="7"/>
  <c r="N1237" i="7" s="1"/>
  <c r="N1236" i="7"/>
  <c r="M1236" i="7"/>
  <c r="L1236" i="7"/>
  <c r="J1236" i="7"/>
  <c r="K1236" i="7" s="1"/>
  <c r="O1236" i="7" s="1"/>
  <c r="H1236" i="7"/>
  <c r="I1236" i="7" s="1"/>
  <c r="G1236" i="7"/>
  <c r="M1235" i="7"/>
  <c r="L1235" i="7"/>
  <c r="J1235" i="7"/>
  <c r="K1235" i="7" s="1"/>
  <c r="O1235" i="7" s="1"/>
  <c r="H1235" i="7"/>
  <c r="I1235" i="7" s="1"/>
  <c r="G1235" i="7"/>
  <c r="N1235" i="7" s="1"/>
  <c r="N1234" i="7"/>
  <c r="M1234" i="7"/>
  <c r="L1234" i="7"/>
  <c r="J1234" i="7"/>
  <c r="K1234" i="7" s="1"/>
  <c r="O1234" i="7" s="1"/>
  <c r="H1234" i="7"/>
  <c r="I1234" i="7" s="1"/>
  <c r="G1234" i="7"/>
  <c r="M1233" i="7"/>
  <c r="L1233" i="7"/>
  <c r="J1233" i="7"/>
  <c r="K1233" i="7" s="1"/>
  <c r="O1233" i="7" s="1"/>
  <c r="H1233" i="7"/>
  <c r="I1233" i="7" s="1"/>
  <c r="G1233" i="7"/>
  <c r="N1233" i="7" s="1"/>
  <c r="N1232" i="7"/>
  <c r="M1232" i="7"/>
  <c r="L1232" i="7"/>
  <c r="J1232" i="7"/>
  <c r="K1232" i="7" s="1"/>
  <c r="O1232" i="7" s="1"/>
  <c r="H1232" i="7"/>
  <c r="I1232" i="7" s="1"/>
  <c r="G1232" i="7"/>
  <c r="M1231" i="7"/>
  <c r="L1231" i="7"/>
  <c r="J1231" i="7"/>
  <c r="K1231" i="7" s="1"/>
  <c r="O1231" i="7" s="1"/>
  <c r="H1231" i="7"/>
  <c r="I1231" i="7" s="1"/>
  <c r="G1231" i="7"/>
  <c r="N1231" i="7" s="1"/>
  <c r="N1230" i="7"/>
  <c r="M1230" i="7"/>
  <c r="L1230" i="7"/>
  <c r="J1230" i="7"/>
  <c r="K1230" i="7" s="1"/>
  <c r="O1230" i="7" s="1"/>
  <c r="H1230" i="7"/>
  <c r="I1230" i="7" s="1"/>
  <c r="G1230" i="7"/>
  <c r="M1229" i="7"/>
  <c r="L1229" i="7"/>
  <c r="J1229" i="7"/>
  <c r="K1229" i="7" s="1"/>
  <c r="O1229" i="7" s="1"/>
  <c r="H1229" i="7"/>
  <c r="I1229" i="7" s="1"/>
  <c r="G1229" i="7"/>
  <c r="N1229" i="7" s="1"/>
  <c r="N1228" i="7"/>
  <c r="M1228" i="7"/>
  <c r="L1228" i="7"/>
  <c r="J1228" i="7"/>
  <c r="K1228" i="7" s="1"/>
  <c r="O1228" i="7" s="1"/>
  <c r="H1228" i="7"/>
  <c r="I1228" i="7" s="1"/>
  <c r="G1228" i="7"/>
  <c r="M1227" i="7"/>
  <c r="L1227" i="7"/>
  <c r="J1227" i="7"/>
  <c r="K1227" i="7" s="1"/>
  <c r="O1227" i="7" s="1"/>
  <c r="H1227" i="7"/>
  <c r="I1227" i="7" s="1"/>
  <c r="G1227" i="7"/>
  <c r="N1227" i="7" s="1"/>
  <c r="N1226" i="7"/>
  <c r="M1226" i="7"/>
  <c r="L1226" i="7"/>
  <c r="J1226" i="7"/>
  <c r="K1226" i="7" s="1"/>
  <c r="O1226" i="7" s="1"/>
  <c r="H1226" i="7"/>
  <c r="I1226" i="7" s="1"/>
  <c r="G1226" i="7"/>
  <c r="M1225" i="7"/>
  <c r="L1225" i="7"/>
  <c r="J1225" i="7"/>
  <c r="K1225" i="7" s="1"/>
  <c r="O1225" i="7" s="1"/>
  <c r="H1225" i="7"/>
  <c r="I1225" i="7" s="1"/>
  <c r="G1225" i="7"/>
  <c r="N1225" i="7" s="1"/>
  <c r="N1224" i="7"/>
  <c r="M1224" i="7"/>
  <c r="L1224" i="7"/>
  <c r="J1224" i="7"/>
  <c r="K1224" i="7" s="1"/>
  <c r="O1224" i="7" s="1"/>
  <c r="H1224" i="7"/>
  <c r="I1224" i="7" s="1"/>
  <c r="G1224" i="7"/>
  <c r="M1223" i="7"/>
  <c r="L1223" i="7"/>
  <c r="J1223" i="7"/>
  <c r="K1223" i="7" s="1"/>
  <c r="O1223" i="7" s="1"/>
  <c r="H1223" i="7"/>
  <c r="I1223" i="7" s="1"/>
  <c r="G1223" i="7"/>
  <c r="N1223" i="7" s="1"/>
  <c r="N1222" i="7"/>
  <c r="M1222" i="7"/>
  <c r="L1222" i="7"/>
  <c r="J1222" i="7"/>
  <c r="K1222" i="7" s="1"/>
  <c r="O1222" i="7" s="1"/>
  <c r="H1222" i="7"/>
  <c r="I1222" i="7" s="1"/>
  <c r="G1222" i="7"/>
  <c r="M1221" i="7"/>
  <c r="L1221" i="7"/>
  <c r="J1221" i="7"/>
  <c r="K1221" i="7" s="1"/>
  <c r="O1221" i="7" s="1"/>
  <c r="H1221" i="7"/>
  <c r="I1221" i="7" s="1"/>
  <c r="G1221" i="7"/>
  <c r="N1221" i="7" s="1"/>
  <c r="N1220" i="7"/>
  <c r="M1220" i="7"/>
  <c r="L1220" i="7"/>
  <c r="J1220" i="7"/>
  <c r="K1220" i="7" s="1"/>
  <c r="O1220" i="7" s="1"/>
  <c r="H1220" i="7"/>
  <c r="I1220" i="7" s="1"/>
  <c r="G1220" i="7"/>
  <c r="M1219" i="7"/>
  <c r="L1219" i="7"/>
  <c r="J1219" i="7"/>
  <c r="K1219" i="7" s="1"/>
  <c r="O1219" i="7" s="1"/>
  <c r="H1219" i="7"/>
  <c r="I1219" i="7" s="1"/>
  <c r="G1219" i="7"/>
  <c r="N1219" i="7" s="1"/>
  <c r="N1218" i="7"/>
  <c r="M1218" i="7"/>
  <c r="L1218" i="7"/>
  <c r="J1218" i="7"/>
  <c r="K1218" i="7" s="1"/>
  <c r="O1218" i="7" s="1"/>
  <c r="H1218" i="7"/>
  <c r="I1218" i="7" s="1"/>
  <c r="G1218" i="7"/>
  <c r="M1217" i="7"/>
  <c r="L1217" i="7"/>
  <c r="J1217" i="7"/>
  <c r="K1217" i="7" s="1"/>
  <c r="O1217" i="7" s="1"/>
  <c r="H1217" i="7"/>
  <c r="I1217" i="7" s="1"/>
  <c r="G1217" i="7"/>
  <c r="N1217" i="7" s="1"/>
  <c r="N1216" i="7"/>
  <c r="M1216" i="7"/>
  <c r="L1216" i="7"/>
  <c r="J1216" i="7"/>
  <c r="K1216" i="7" s="1"/>
  <c r="O1216" i="7" s="1"/>
  <c r="H1216" i="7"/>
  <c r="I1216" i="7" s="1"/>
  <c r="G1216" i="7"/>
  <c r="M1215" i="7"/>
  <c r="L1215" i="7"/>
  <c r="J1215" i="7"/>
  <c r="K1215" i="7" s="1"/>
  <c r="O1215" i="7" s="1"/>
  <c r="H1215" i="7"/>
  <c r="I1215" i="7" s="1"/>
  <c r="G1215" i="7"/>
  <c r="N1215" i="7" s="1"/>
  <c r="N1214" i="7"/>
  <c r="M1214" i="7"/>
  <c r="L1214" i="7"/>
  <c r="J1214" i="7"/>
  <c r="K1214" i="7" s="1"/>
  <c r="O1214" i="7" s="1"/>
  <c r="H1214" i="7"/>
  <c r="I1214" i="7" s="1"/>
  <c r="G1214" i="7"/>
  <c r="M1213" i="7"/>
  <c r="L1213" i="7"/>
  <c r="J1213" i="7"/>
  <c r="K1213" i="7" s="1"/>
  <c r="O1213" i="7" s="1"/>
  <c r="H1213" i="7"/>
  <c r="I1213" i="7" s="1"/>
  <c r="G1213" i="7"/>
  <c r="N1213" i="7" s="1"/>
  <c r="N1212" i="7"/>
  <c r="M1212" i="7"/>
  <c r="L1212" i="7"/>
  <c r="J1212" i="7"/>
  <c r="K1212" i="7" s="1"/>
  <c r="O1212" i="7" s="1"/>
  <c r="H1212" i="7"/>
  <c r="I1212" i="7" s="1"/>
  <c r="G1212" i="7"/>
  <c r="M1211" i="7"/>
  <c r="L1211" i="7"/>
  <c r="J1211" i="7"/>
  <c r="K1211" i="7" s="1"/>
  <c r="O1211" i="7" s="1"/>
  <c r="H1211" i="7"/>
  <c r="I1211" i="7" s="1"/>
  <c r="G1211" i="7"/>
  <c r="N1211" i="7" s="1"/>
  <c r="N1210" i="7"/>
  <c r="M1210" i="7"/>
  <c r="L1210" i="7"/>
  <c r="J1210" i="7"/>
  <c r="K1210" i="7" s="1"/>
  <c r="O1210" i="7" s="1"/>
  <c r="H1210" i="7"/>
  <c r="I1210" i="7" s="1"/>
  <c r="G1210" i="7"/>
  <c r="M1209" i="7"/>
  <c r="L1209" i="7"/>
  <c r="J1209" i="7"/>
  <c r="K1209" i="7" s="1"/>
  <c r="O1209" i="7" s="1"/>
  <c r="H1209" i="7"/>
  <c r="I1209" i="7" s="1"/>
  <c r="G1209" i="7"/>
  <c r="N1209" i="7" s="1"/>
  <c r="N1208" i="7"/>
  <c r="M1208" i="7"/>
  <c r="L1208" i="7"/>
  <c r="J1208" i="7"/>
  <c r="K1208" i="7" s="1"/>
  <c r="O1208" i="7" s="1"/>
  <c r="H1208" i="7"/>
  <c r="I1208" i="7" s="1"/>
  <c r="G1208" i="7"/>
  <c r="M1207" i="7"/>
  <c r="L1207" i="7"/>
  <c r="J1207" i="7"/>
  <c r="K1207" i="7" s="1"/>
  <c r="O1207" i="7" s="1"/>
  <c r="H1207" i="7"/>
  <c r="I1207" i="7" s="1"/>
  <c r="G1207" i="7"/>
  <c r="N1207" i="7" s="1"/>
  <c r="N1206" i="7"/>
  <c r="M1206" i="7"/>
  <c r="L1206" i="7"/>
  <c r="J1206" i="7"/>
  <c r="K1206" i="7" s="1"/>
  <c r="O1206" i="7" s="1"/>
  <c r="H1206" i="7"/>
  <c r="I1206" i="7" s="1"/>
  <c r="G1206" i="7"/>
  <c r="M1205" i="7"/>
  <c r="L1205" i="7"/>
  <c r="J1205" i="7"/>
  <c r="K1205" i="7" s="1"/>
  <c r="O1205" i="7" s="1"/>
  <c r="H1205" i="7"/>
  <c r="I1205" i="7" s="1"/>
  <c r="G1205" i="7"/>
  <c r="N1205" i="7" s="1"/>
  <c r="N1204" i="7"/>
  <c r="M1204" i="7"/>
  <c r="L1204" i="7"/>
  <c r="J1204" i="7"/>
  <c r="K1204" i="7" s="1"/>
  <c r="O1204" i="7" s="1"/>
  <c r="H1204" i="7"/>
  <c r="I1204" i="7" s="1"/>
  <c r="G1204" i="7"/>
  <c r="M1203" i="7"/>
  <c r="L1203" i="7"/>
  <c r="J1203" i="7"/>
  <c r="K1203" i="7" s="1"/>
  <c r="O1203" i="7" s="1"/>
  <c r="H1203" i="7"/>
  <c r="I1203" i="7" s="1"/>
  <c r="G1203" i="7"/>
  <c r="N1203" i="7" s="1"/>
  <c r="N1202" i="7"/>
  <c r="M1202" i="7"/>
  <c r="L1202" i="7"/>
  <c r="J1202" i="7"/>
  <c r="K1202" i="7" s="1"/>
  <c r="O1202" i="7" s="1"/>
  <c r="H1202" i="7"/>
  <c r="I1202" i="7" s="1"/>
  <c r="G1202" i="7"/>
  <c r="M1201" i="7"/>
  <c r="L1201" i="7"/>
  <c r="J1201" i="7"/>
  <c r="K1201" i="7" s="1"/>
  <c r="O1201" i="7" s="1"/>
  <c r="H1201" i="7"/>
  <c r="I1201" i="7" s="1"/>
  <c r="G1201" i="7"/>
  <c r="N1201" i="7" s="1"/>
  <c r="N1200" i="7"/>
  <c r="M1200" i="7"/>
  <c r="L1200" i="7"/>
  <c r="J1200" i="7"/>
  <c r="K1200" i="7" s="1"/>
  <c r="O1200" i="7" s="1"/>
  <c r="H1200" i="7"/>
  <c r="I1200" i="7" s="1"/>
  <c r="G1200" i="7"/>
  <c r="M1199" i="7"/>
  <c r="L1199" i="7"/>
  <c r="J1199" i="7"/>
  <c r="K1199" i="7" s="1"/>
  <c r="O1199" i="7" s="1"/>
  <c r="H1199" i="7"/>
  <c r="I1199" i="7" s="1"/>
  <c r="G1199" i="7"/>
  <c r="N1199" i="7" s="1"/>
  <c r="N1198" i="7"/>
  <c r="M1198" i="7"/>
  <c r="L1198" i="7"/>
  <c r="J1198" i="7"/>
  <c r="K1198" i="7" s="1"/>
  <c r="O1198" i="7" s="1"/>
  <c r="H1198" i="7"/>
  <c r="I1198" i="7" s="1"/>
  <c r="G1198" i="7"/>
  <c r="M1197" i="7"/>
  <c r="L1197" i="7"/>
  <c r="J1197" i="7"/>
  <c r="K1197" i="7" s="1"/>
  <c r="O1197" i="7" s="1"/>
  <c r="H1197" i="7"/>
  <c r="I1197" i="7" s="1"/>
  <c r="G1197" i="7"/>
  <c r="N1197" i="7" s="1"/>
  <c r="N1196" i="7"/>
  <c r="M1196" i="7"/>
  <c r="L1196" i="7"/>
  <c r="J1196" i="7"/>
  <c r="K1196" i="7" s="1"/>
  <c r="O1196" i="7" s="1"/>
  <c r="H1196" i="7"/>
  <c r="I1196" i="7" s="1"/>
  <c r="G1196" i="7"/>
  <c r="M1195" i="7"/>
  <c r="L1195" i="7"/>
  <c r="J1195" i="7"/>
  <c r="K1195" i="7" s="1"/>
  <c r="O1195" i="7" s="1"/>
  <c r="H1195" i="7"/>
  <c r="I1195" i="7" s="1"/>
  <c r="G1195" i="7"/>
  <c r="N1195" i="7" s="1"/>
  <c r="N1194" i="7"/>
  <c r="M1194" i="7"/>
  <c r="L1194" i="7"/>
  <c r="J1194" i="7"/>
  <c r="K1194" i="7" s="1"/>
  <c r="O1194" i="7" s="1"/>
  <c r="H1194" i="7"/>
  <c r="I1194" i="7" s="1"/>
  <c r="G1194" i="7"/>
  <c r="M1193" i="7"/>
  <c r="L1193" i="7"/>
  <c r="J1193" i="7"/>
  <c r="K1193" i="7" s="1"/>
  <c r="O1193" i="7" s="1"/>
  <c r="H1193" i="7"/>
  <c r="I1193" i="7" s="1"/>
  <c r="G1193" i="7"/>
  <c r="N1193" i="7" s="1"/>
  <c r="N1192" i="7"/>
  <c r="M1192" i="7"/>
  <c r="L1192" i="7"/>
  <c r="J1192" i="7"/>
  <c r="K1192" i="7" s="1"/>
  <c r="O1192" i="7" s="1"/>
  <c r="H1192" i="7"/>
  <c r="I1192" i="7" s="1"/>
  <c r="G1192" i="7"/>
  <c r="M1191" i="7"/>
  <c r="L1191" i="7"/>
  <c r="J1191" i="7"/>
  <c r="K1191" i="7" s="1"/>
  <c r="O1191" i="7" s="1"/>
  <c r="H1191" i="7"/>
  <c r="I1191" i="7" s="1"/>
  <c r="G1191" i="7"/>
  <c r="N1191" i="7" s="1"/>
  <c r="N1190" i="7"/>
  <c r="M1190" i="7"/>
  <c r="L1190" i="7"/>
  <c r="J1190" i="7"/>
  <c r="K1190" i="7" s="1"/>
  <c r="O1190" i="7" s="1"/>
  <c r="H1190" i="7"/>
  <c r="I1190" i="7" s="1"/>
  <c r="G1190" i="7"/>
  <c r="M1189" i="7"/>
  <c r="L1189" i="7"/>
  <c r="J1189" i="7"/>
  <c r="K1189" i="7" s="1"/>
  <c r="O1189" i="7" s="1"/>
  <c r="H1189" i="7"/>
  <c r="I1189" i="7" s="1"/>
  <c r="G1189" i="7"/>
  <c r="N1189" i="7" s="1"/>
  <c r="N1188" i="7"/>
  <c r="M1188" i="7"/>
  <c r="L1188" i="7"/>
  <c r="J1188" i="7"/>
  <c r="K1188" i="7" s="1"/>
  <c r="O1188" i="7" s="1"/>
  <c r="H1188" i="7"/>
  <c r="I1188" i="7" s="1"/>
  <c r="G1188" i="7"/>
  <c r="M1187" i="7"/>
  <c r="L1187" i="7"/>
  <c r="J1187" i="7"/>
  <c r="K1187" i="7" s="1"/>
  <c r="O1187" i="7" s="1"/>
  <c r="H1187" i="7"/>
  <c r="I1187" i="7" s="1"/>
  <c r="G1187" i="7"/>
  <c r="N1187" i="7" s="1"/>
  <c r="M1186" i="7"/>
  <c r="L1186" i="7"/>
  <c r="J1186" i="7"/>
  <c r="K1186" i="7" s="1"/>
  <c r="O1186" i="7" s="1"/>
  <c r="H1186" i="7"/>
  <c r="I1186" i="7" s="1"/>
  <c r="G1186" i="7"/>
  <c r="N1186" i="7" s="1"/>
  <c r="M1185" i="7"/>
  <c r="L1185" i="7"/>
  <c r="J1185" i="7"/>
  <c r="K1185" i="7" s="1"/>
  <c r="O1185" i="7" s="1"/>
  <c r="H1185" i="7"/>
  <c r="I1185" i="7" s="1"/>
  <c r="G1185" i="7"/>
  <c r="N1185" i="7" s="1"/>
  <c r="N1184" i="7"/>
  <c r="M1184" i="7"/>
  <c r="L1184" i="7"/>
  <c r="J1184" i="7"/>
  <c r="K1184" i="7" s="1"/>
  <c r="O1184" i="7" s="1"/>
  <c r="H1184" i="7"/>
  <c r="I1184" i="7" s="1"/>
  <c r="G1184" i="7"/>
  <c r="M1183" i="7"/>
  <c r="L1183" i="7"/>
  <c r="J1183" i="7"/>
  <c r="K1183" i="7" s="1"/>
  <c r="O1183" i="7" s="1"/>
  <c r="H1183" i="7"/>
  <c r="I1183" i="7" s="1"/>
  <c r="G1183" i="7"/>
  <c r="N1183" i="7" s="1"/>
  <c r="M1182" i="7"/>
  <c r="L1182" i="7"/>
  <c r="J1182" i="7"/>
  <c r="K1182" i="7" s="1"/>
  <c r="O1182" i="7" s="1"/>
  <c r="H1182" i="7"/>
  <c r="I1182" i="7" s="1"/>
  <c r="G1182" i="7"/>
  <c r="N1182" i="7" s="1"/>
  <c r="M1181" i="7"/>
  <c r="L1181" i="7"/>
  <c r="J1181" i="7"/>
  <c r="K1181" i="7" s="1"/>
  <c r="O1181" i="7" s="1"/>
  <c r="H1181" i="7"/>
  <c r="I1181" i="7" s="1"/>
  <c r="G1181" i="7"/>
  <c r="N1181" i="7" s="1"/>
  <c r="N1180" i="7"/>
  <c r="M1180" i="7"/>
  <c r="L1180" i="7"/>
  <c r="J1180" i="7"/>
  <c r="K1180" i="7" s="1"/>
  <c r="O1180" i="7" s="1"/>
  <c r="H1180" i="7"/>
  <c r="I1180" i="7" s="1"/>
  <c r="G1180" i="7"/>
  <c r="M1179" i="7"/>
  <c r="L1179" i="7"/>
  <c r="J1179" i="7"/>
  <c r="K1179" i="7" s="1"/>
  <c r="O1179" i="7" s="1"/>
  <c r="H1179" i="7"/>
  <c r="I1179" i="7" s="1"/>
  <c r="G1179" i="7"/>
  <c r="N1179" i="7" s="1"/>
  <c r="M1178" i="7"/>
  <c r="L1178" i="7"/>
  <c r="J1178" i="7"/>
  <c r="K1178" i="7" s="1"/>
  <c r="O1178" i="7" s="1"/>
  <c r="H1178" i="7"/>
  <c r="I1178" i="7" s="1"/>
  <c r="G1178" i="7"/>
  <c r="N1178" i="7" s="1"/>
  <c r="M1177" i="7"/>
  <c r="L1177" i="7"/>
  <c r="J1177" i="7"/>
  <c r="K1177" i="7" s="1"/>
  <c r="O1177" i="7" s="1"/>
  <c r="H1177" i="7"/>
  <c r="I1177" i="7" s="1"/>
  <c r="G1177" i="7"/>
  <c r="N1177" i="7" s="1"/>
  <c r="N1176" i="7"/>
  <c r="M1176" i="7"/>
  <c r="L1176" i="7"/>
  <c r="J1176" i="7"/>
  <c r="K1176" i="7" s="1"/>
  <c r="O1176" i="7" s="1"/>
  <c r="H1176" i="7"/>
  <c r="I1176" i="7" s="1"/>
  <c r="G1176" i="7"/>
  <c r="M1175" i="7"/>
  <c r="L1175" i="7"/>
  <c r="J1175" i="7"/>
  <c r="K1175" i="7" s="1"/>
  <c r="O1175" i="7" s="1"/>
  <c r="H1175" i="7"/>
  <c r="I1175" i="7" s="1"/>
  <c r="G1175" i="7"/>
  <c r="N1175" i="7" s="1"/>
  <c r="M1174" i="7"/>
  <c r="L1174" i="7"/>
  <c r="J1174" i="7"/>
  <c r="K1174" i="7" s="1"/>
  <c r="O1174" i="7" s="1"/>
  <c r="H1174" i="7"/>
  <c r="I1174" i="7" s="1"/>
  <c r="G1174" i="7"/>
  <c r="N1174" i="7" s="1"/>
  <c r="M1173" i="7"/>
  <c r="L1173" i="7"/>
  <c r="J1173" i="7"/>
  <c r="K1173" i="7" s="1"/>
  <c r="O1173" i="7" s="1"/>
  <c r="H1173" i="7"/>
  <c r="I1173" i="7" s="1"/>
  <c r="G1173" i="7"/>
  <c r="N1173" i="7" s="1"/>
  <c r="N1172" i="7"/>
  <c r="M1172" i="7"/>
  <c r="L1172" i="7"/>
  <c r="J1172" i="7"/>
  <c r="K1172" i="7" s="1"/>
  <c r="O1172" i="7" s="1"/>
  <c r="H1172" i="7"/>
  <c r="I1172" i="7" s="1"/>
  <c r="G1172" i="7"/>
  <c r="M1171" i="7"/>
  <c r="L1171" i="7"/>
  <c r="J1171" i="7"/>
  <c r="K1171" i="7" s="1"/>
  <c r="O1171" i="7" s="1"/>
  <c r="H1171" i="7"/>
  <c r="I1171" i="7" s="1"/>
  <c r="G1171" i="7"/>
  <c r="N1171" i="7" s="1"/>
  <c r="M1170" i="7"/>
  <c r="L1170" i="7"/>
  <c r="J1170" i="7"/>
  <c r="K1170" i="7" s="1"/>
  <c r="O1170" i="7" s="1"/>
  <c r="H1170" i="7"/>
  <c r="I1170" i="7" s="1"/>
  <c r="G1170" i="7"/>
  <c r="N1170" i="7" s="1"/>
  <c r="M1169" i="7"/>
  <c r="L1169" i="7"/>
  <c r="J1169" i="7"/>
  <c r="K1169" i="7" s="1"/>
  <c r="O1169" i="7" s="1"/>
  <c r="H1169" i="7"/>
  <c r="I1169" i="7" s="1"/>
  <c r="G1169" i="7"/>
  <c r="N1169" i="7" s="1"/>
  <c r="N1168" i="7"/>
  <c r="M1168" i="7"/>
  <c r="L1168" i="7"/>
  <c r="J1168" i="7"/>
  <c r="K1168" i="7" s="1"/>
  <c r="O1168" i="7" s="1"/>
  <c r="H1168" i="7"/>
  <c r="I1168" i="7" s="1"/>
  <c r="G1168" i="7"/>
  <c r="M1167" i="7"/>
  <c r="L1167" i="7"/>
  <c r="J1167" i="7"/>
  <c r="K1167" i="7" s="1"/>
  <c r="O1167" i="7" s="1"/>
  <c r="H1167" i="7"/>
  <c r="I1167" i="7" s="1"/>
  <c r="G1167" i="7"/>
  <c r="N1167" i="7" s="1"/>
  <c r="M1166" i="7"/>
  <c r="L1166" i="7"/>
  <c r="J1166" i="7"/>
  <c r="K1166" i="7" s="1"/>
  <c r="O1166" i="7" s="1"/>
  <c r="H1166" i="7"/>
  <c r="I1166" i="7" s="1"/>
  <c r="G1166" i="7"/>
  <c r="N1166" i="7" s="1"/>
  <c r="M1165" i="7"/>
  <c r="L1165" i="7"/>
  <c r="J1165" i="7"/>
  <c r="K1165" i="7" s="1"/>
  <c r="O1165" i="7" s="1"/>
  <c r="H1165" i="7"/>
  <c r="I1165" i="7" s="1"/>
  <c r="G1165" i="7"/>
  <c r="N1165" i="7" s="1"/>
  <c r="N1164" i="7"/>
  <c r="M1164" i="7"/>
  <c r="L1164" i="7"/>
  <c r="J1164" i="7"/>
  <c r="K1164" i="7" s="1"/>
  <c r="O1164" i="7" s="1"/>
  <c r="H1164" i="7"/>
  <c r="I1164" i="7" s="1"/>
  <c r="G1164" i="7"/>
  <c r="M1163" i="7"/>
  <c r="L1163" i="7"/>
  <c r="J1163" i="7"/>
  <c r="K1163" i="7" s="1"/>
  <c r="O1163" i="7" s="1"/>
  <c r="H1163" i="7"/>
  <c r="I1163" i="7" s="1"/>
  <c r="G1163" i="7"/>
  <c r="N1163" i="7" s="1"/>
  <c r="M1162" i="7"/>
  <c r="L1162" i="7"/>
  <c r="J1162" i="7"/>
  <c r="K1162" i="7" s="1"/>
  <c r="O1162" i="7" s="1"/>
  <c r="H1162" i="7"/>
  <c r="I1162" i="7" s="1"/>
  <c r="G1162" i="7"/>
  <c r="N1162" i="7" s="1"/>
  <c r="M1161" i="7"/>
  <c r="L1161" i="7"/>
  <c r="J1161" i="7"/>
  <c r="K1161" i="7" s="1"/>
  <c r="O1161" i="7" s="1"/>
  <c r="H1161" i="7"/>
  <c r="I1161" i="7" s="1"/>
  <c r="G1161" i="7"/>
  <c r="N1161" i="7" s="1"/>
  <c r="N1160" i="7"/>
  <c r="M1160" i="7"/>
  <c r="L1160" i="7"/>
  <c r="J1160" i="7"/>
  <c r="K1160" i="7" s="1"/>
  <c r="O1160" i="7" s="1"/>
  <c r="H1160" i="7"/>
  <c r="I1160" i="7" s="1"/>
  <c r="G1160" i="7"/>
  <c r="M1159" i="7"/>
  <c r="L1159" i="7"/>
  <c r="J1159" i="7"/>
  <c r="K1159" i="7" s="1"/>
  <c r="O1159" i="7" s="1"/>
  <c r="H1159" i="7"/>
  <c r="I1159" i="7" s="1"/>
  <c r="G1159" i="7"/>
  <c r="N1159" i="7" s="1"/>
  <c r="M1158" i="7"/>
  <c r="L1158" i="7"/>
  <c r="J1158" i="7"/>
  <c r="K1158" i="7" s="1"/>
  <c r="O1158" i="7" s="1"/>
  <c r="H1158" i="7"/>
  <c r="I1158" i="7" s="1"/>
  <c r="G1158" i="7"/>
  <c r="N1158" i="7" s="1"/>
  <c r="M1157" i="7"/>
  <c r="L1157" i="7"/>
  <c r="J1157" i="7"/>
  <c r="K1157" i="7" s="1"/>
  <c r="O1157" i="7" s="1"/>
  <c r="H1157" i="7"/>
  <c r="I1157" i="7" s="1"/>
  <c r="G1157" i="7"/>
  <c r="N1157" i="7" s="1"/>
  <c r="N1156" i="7"/>
  <c r="M1156" i="7"/>
  <c r="L1156" i="7"/>
  <c r="J1156" i="7"/>
  <c r="K1156" i="7" s="1"/>
  <c r="O1156" i="7" s="1"/>
  <c r="H1156" i="7"/>
  <c r="I1156" i="7" s="1"/>
  <c r="G1156" i="7"/>
  <c r="M1155" i="7"/>
  <c r="L1155" i="7"/>
  <c r="J1155" i="7"/>
  <c r="K1155" i="7" s="1"/>
  <c r="O1155" i="7" s="1"/>
  <c r="H1155" i="7"/>
  <c r="I1155" i="7" s="1"/>
  <c r="G1155" i="7"/>
  <c r="N1155" i="7" s="1"/>
  <c r="M1154" i="7"/>
  <c r="L1154" i="7"/>
  <c r="J1154" i="7"/>
  <c r="K1154" i="7" s="1"/>
  <c r="O1154" i="7" s="1"/>
  <c r="H1154" i="7"/>
  <c r="I1154" i="7" s="1"/>
  <c r="G1154" i="7"/>
  <c r="N1154" i="7" s="1"/>
  <c r="M1153" i="7"/>
  <c r="L1153" i="7"/>
  <c r="J1153" i="7"/>
  <c r="K1153" i="7" s="1"/>
  <c r="O1153" i="7" s="1"/>
  <c r="H1153" i="7"/>
  <c r="I1153" i="7" s="1"/>
  <c r="G1153" i="7"/>
  <c r="N1153" i="7" s="1"/>
  <c r="N1152" i="7"/>
  <c r="M1152" i="7"/>
  <c r="L1152" i="7"/>
  <c r="J1152" i="7"/>
  <c r="K1152" i="7" s="1"/>
  <c r="O1152" i="7" s="1"/>
  <c r="H1152" i="7"/>
  <c r="I1152" i="7" s="1"/>
  <c r="G1152" i="7"/>
  <c r="M1151" i="7"/>
  <c r="L1151" i="7"/>
  <c r="J1151" i="7"/>
  <c r="K1151" i="7" s="1"/>
  <c r="O1151" i="7" s="1"/>
  <c r="H1151" i="7"/>
  <c r="I1151" i="7" s="1"/>
  <c r="G1151" i="7"/>
  <c r="N1151" i="7" s="1"/>
  <c r="M1150" i="7"/>
  <c r="L1150" i="7"/>
  <c r="J1150" i="7"/>
  <c r="K1150" i="7" s="1"/>
  <c r="O1150" i="7" s="1"/>
  <c r="H1150" i="7"/>
  <c r="I1150" i="7" s="1"/>
  <c r="G1150" i="7"/>
  <c r="N1150" i="7" s="1"/>
  <c r="M1149" i="7"/>
  <c r="L1149" i="7"/>
  <c r="J1149" i="7"/>
  <c r="K1149" i="7" s="1"/>
  <c r="O1149" i="7" s="1"/>
  <c r="H1149" i="7"/>
  <c r="I1149" i="7" s="1"/>
  <c r="G1149" i="7"/>
  <c r="N1149" i="7" s="1"/>
  <c r="N1148" i="7"/>
  <c r="M1148" i="7"/>
  <c r="L1148" i="7"/>
  <c r="J1148" i="7"/>
  <c r="K1148" i="7" s="1"/>
  <c r="O1148" i="7" s="1"/>
  <c r="H1148" i="7"/>
  <c r="I1148" i="7" s="1"/>
  <c r="G1148" i="7"/>
  <c r="M1147" i="7"/>
  <c r="L1147" i="7"/>
  <c r="J1147" i="7"/>
  <c r="K1147" i="7" s="1"/>
  <c r="O1147" i="7" s="1"/>
  <c r="H1147" i="7"/>
  <c r="I1147" i="7" s="1"/>
  <c r="G1147" i="7"/>
  <c r="N1147" i="7" s="1"/>
  <c r="M1146" i="7"/>
  <c r="L1146" i="7"/>
  <c r="J1146" i="7"/>
  <c r="K1146" i="7" s="1"/>
  <c r="O1146" i="7" s="1"/>
  <c r="H1146" i="7"/>
  <c r="I1146" i="7" s="1"/>
  <c r="G1146" i="7"/>
  <c r="N1146" i="7" s="1"/>
  <c r="M1145" i="7"/>
  <c r="L1145" i="7"/>
  <c r="J1145" i="7"/>
  <c r="K1145" i="7" s="1"/>
  <c r="O1145" i="7" s="1"/>
  <c r="H1145" i="7"/>
  <c r="I1145" i="7" s="1"/>
  <c r="G1145" i="7"/>
  <c r="N1145" i="7" s="1"/>
  <c r="N1144" i="7"/>
  <c r="M1144" i="7"/>
  <c r="L1144" i="7"/>
  <c r="J1144" i="7"/>
  <c r="K1144" i="7" s="1"/>
  <c r="O1144" i="7" s="1"/>
  <c r="H1144" i="7"/>
  <c r="I1144" i="7" s="1"/>
  <c r="G1144" i="7"/>
  <c r="M1143" i="7"/>
  <c r="L1143" i="7"/>
  <c r="J1143" i="7"/>
  <c r="K1143" i="7" s="1"/>
  <c r="O1143" i="7" s="1"/>
  <c r="H1143" i="7"/>
  <c r="I1143" i="7" s="1"/>
  <c r="G1143" i="7"/>
  <c r="N1143" i="7" s="1"/>
  <c r="M1142" i="7"/>
  <c r="L1142" i="7"/>
  <c r="J1142" i="7"/>
  <c r="K1142" i="7" s="1"/>
  <c r="O1142" i="7" s="1"/>
  <c r="H1142" i="7"/>
  <c r="I1142" i="7" s="1"/>
  <c r="G1142" i="7"/>
  <c r="N1142" i="7" s="1"/>
  <c r="M1141" i="7"/>
  <c r="L1141" i="7"/>
  <c r="J1141" i="7"/>
  <c r="K1141" i="7" s="1"/>
  <c r="O1141" i="7" s="1"/>
  <c r="H1141" i="7"/>
  <c r="I1141" i="7" s="1"/>
  <c r="G1141" i="7"/>
  <c r="N1141" i="7" s="1"/>
  <c r="N1140" i="7"/>
  <c r="M1140" i="7"/>
  <c r="L1140" i="7"/>
  <c r="J1140" i="7"/>
  <c r="K1140" i="7" s="1"/>
  <c r="O1140" i="7" s="1"/>
  <c r="H1140" i="7"/>
  <c r="I1140" i="7" s="1"/>
  <c r="G1140" i="7"/>
  <c r="M1139" i="7"/>
  <c r="L1139" i="7"/>
  <c r="J1139" i="7"/>
  <c r="K1139" i="7" s="1"/>
  <c r="O1139" i="7" s="1"/>
  <c r="H1139" i="7"/>
  <c r="I1139" i="7" s="1"/>
  <c r="G1139" i="7"/>
  <c r="N1139" i="7" s="1"/>
  <c r="M1138" i="7"/>
  <c r="L1138" i="7"/>
  <c r="J1138" i="7"/>
  <c r="K1138" i="7" s="1"/>
  <c r="O1138" i="7" s="1"/>
  <c r="H1138" i="7"/>
  <c r="I1138" i="7" s="1"/>
  <c r="G1138" i="7"/>
  <c r="N1138" i="7" s="1"/>
  <c r="M1137" i="7"/>
  <c r="L1137" i="7"/>
  <c r="J1137" i="7"/>
  <c r="K1137" i="7" s="1"/>
  <c r="O1137" i="7" s="1"/>
  <c r="H1137" i="7"/>
  <c r="I1137" i="7" s="1"/>
  <c r="G1137" i="7"/>
  <c r="N1137" i="7" s="1"/>
  <c r="N1136" i="7"/>
  <c r="M1136" i="7"/>
  <c r="L1136" i="7"/>
  <c r="J1136" i="7"/>
  <c r="K1136" i="7" s="1"/>
  <c r="O1136" i="7" s="1"/>
  <c r="H1136" i="7"/>
  <c r="I1136" i="7" s="1"/>
  <c r="G1136" i="7"/>
  <c r="M1135" i="7"/>
  <c r="L1135" i="7"/>
  <c r="J1135" i="7"/>
  <c r="K1135" i="7" s="1"/>
  <c r="O1135" i="7" s="1"/>
  <c r="H1135" i="7"/>
  <c r="I1135" i="7" s="1"/>
  <c r="G1135" i="7"/>
  <c r="N1135" i="7" s="1"/>
  <c r="M1134" i="7"/>
  <c r="L1134" i="7"/>
  <c r="J1134" i="7"/>
  <c r="K1134" i="7" s="1"/>
  <c r="O1134" i="7" s="1"/>
  <c r="H1134" i="7"/>
  <c r="I1134" i="7" s="1"/>
  <c r="G1134" i="7"/>
  <c r="N1134" i="7" s="1"/>
  <c r="M1133" i="7"/>
  <c r="L1133" i="7"/>
  <c r="J1133" i="7"/>
  <c r="K1133" i="7" s="1"/>
  <c r="O1133" i="7" s="1"/>
  <c r="H1133" i="7"/>
  <c r="I1133" i="7" s="1"/>
  <c r="G1133" i="7"/>
  <c r="N1133" i="7" s="1"/>
  <c r="N1132" i="7"/>
  <c r="M1132" i="7"/>
  <c r="L1132" i="7"/>
  <c r="J1132" i="7"/>
  <c r="K1132" i="7" s="1"/>
  <c r="O1132" i="7" s="1"/>
  <c r="H1132" i="7"/>
  <c r="I1132" i="7" s="1"/>
  <c r="G1132" i="7"/>
  <c r="M1131" i="7"/>
  <c r="L1131" i="7"/>
  <c r="J1131" i="7"/>
  <c r="K1131" i="7" s="1"/>
  <c r="O1131" i="7" s="1"/>
  <c r="H1131" i="7"/>
  <c r="I1131" i="7" s="1"/>
  <c r="G1131" i="7"/>
  <c r="N1131" i="7" s="1"/>
  <c r="M1130" i="7"/>
  <c r="L1130" i="7"/>
  <c r="J1130" i="7"/>
  <c r="K1130" i="7" s="1"/>
  <c r="O1130" i="7" s="1"/>
  <c r="H1130" i="7"/>
  <c r="I1130" i="7" s="1"/>
  <c r="G1130" i="7"/>
  <c r="N1130" i="7" s="1"/>
  <c r="M1129" i="7"/>
  <c r="L1129" i="7"/>
  <c r="J1129" i="7"/>
  <c r="K1129" i="7" s="1"/>
  <c r="O1129" i="7" s="1"/>
  <c r="H1129" i="7"/>
  <c r="I1129" i="7" s="1"/>
  <c r="G1129" i="7"/>
  <c r="N1129" i="7" s="1"/>
  <c r="N1128" i="7"/>
  <c r="M1128" i="7"/>
  <c r="L1128" i="7"/>
  <c r="J1128" i="7"/>
  <c r="K1128" i="7" s="1"/>
  <c r="O1128" i="7" s="1"/>
  <c r="H1128" i="7"/>
  <c r="I1128" i="7" s="1"/>
  <c r="G1128" i="7"/>
  <c r="M1127" i="7"/>
  <c r="L1127" i="7"/>
  <c r="J1127" i="7"/>
  <c r="K1127" i="7" s="1"/>
  <c r="O1127" i="7" s="1"/>
  <c r="H1127" i="7"/>
  <c r="I1127" i="7" s="1"/>
  <c r="G1127" i="7"/>
  <c r="N1127" i="7" s="1"/>
  <c r="M1126" i="7"/>
  <c r="L1126" i="7"/>
  <c r="J1126" i="7"/>
  <c r="K1126" i="7" s="1"/>
  <c r="O1126" i="7" s="1"/>
  <c r="H1126" i="7"/>
  <c r="I1126" i="7" s="1"/>
  <c r="G1126" i="7"/>
  <c r="N1126" i="7" s="1"/>
  <c r="M1125" i="7"/>
  <c r="L1125" i="7"/>
  <c r="J1125" i="7"/>
  <c r="K1125" i="7" s="1"/>
  <c r="O1125" i="7" s="1"/>
  <c r="H1125" i="7"/>
  <c r="I1125" i="7" s="1"/>
  <c r="G1125" i="7"/>
  <c r="N1125" i="7" s="1"/>
  <c r="N1124" i="7"/>
  <c r="M1124" i="7"/>
  <c r="L1124" i="7"/>
  <c r="J1124" i="7"/>
  <c r="K1124" i="7" s="1"/>
  <c r="O1124" i="7" s="1"/>
  <c r="H1124" i="7"/>
  <c r="I1124" i="7" s="1"/>
  <c r="G1124" i="7"/>
  <c r="M1123" i="7"/>
  <c r="L1123" i="7"/>
  <c r="J1123" i="7"/>
  <c r="K1123" i="7" s="1"/>
  <c r="O1123" i="7" s="1"/>
  <c r="H1123" i="7"/>
  <c r="I1123" i="7" s="1"/>
  <c r="G1123" i="7"/>
  <c r="N1123" i="7" s="1"/>
  <c r="M1122" i="7"/>
  <c r="L1122" i="7"/>
  <c r="J1122" i="7"/>
  <c r="K1122" i="7" s="1"/>
  <c r="O1122" i="7" s="1"/>
  <c r="H1122" i="7"/>
  <c r="I1122" i="7" s="1"/>
  <c r="G1122" i="7"/>
  <c r="N1122" i="7" s="1"/>
  <c r="M1121" i="7"/>
  <c r="L1121" i="7"/>
  <c r="J1121" i="7"/>
  <c r="K1121" i="7" s="1"/>
  <c r="O1121" i="7" s="1"/>
  <c r="H1121" i="7"/>
  <c r="I1121" i="7" s="1"/>
  <c r="G1121" i="7"/>
  <c r="N1121" i="7" s="1"/>
  <c r="N1120" i="7"/>
  <c r="M1120" i="7"/>
  <c r="L1120" i="7"/>
  <c r="J1120" i="7"/>
  <c r="K1120" i="7" s="1"/>
  <c r="O1120" i="7" s="1"/>
  <c r="H1120" i="7"/>
  <c r="I1120" i="7" s="1"/>
  <c r="G1120" i="7"/>
  <c r="M1119" i="7"/>
  <c r="L1119" i="7"/>
  <c r="J1119" i="7"/>
  <c r="K1119" i="7" s="1"/>
  <c r="O1119" i="7" s="1"/>
  <c r="H1119" i="7"/>
  <c r="I1119" i="7" s="1"/>
  <c r="G1119" i="7"/>
  <c r="N1119" i="7" s="1"/>
  <c r="M1118" i="7"/>
  <c r="L1118" i="7"/>
  <c r="J1118" i="7"/>
  <c r="K1118" i="7" s="1"/>
  <c r="O1118" i="7" s="1"/>
  <c r="H1118" i="7"/>
  <c r="I1118" i="7" s="1"/>
  <c r="G1118" i="7"/>
  <c r="N1118" i="7" s="1"/>
  <c r="M1117" i="7"/>
  <c r="L1117" i="7"/>
  <c r="J1117" i="7"/>
  <c r="K1117" i="7" s="1"/>
  <c r="O1117" i="7" s="1"/>
  <c r="H1117" i="7"/>
  <c r="I1117" i="7" s="1"/>
  <c r="G1117" i="7"/>
  <c r="N1117" i="7" s="1"/>
  <c r="N1116" i="7"/>
  <c r="M1116" i="7"/>
  <c r="L1116" i="7"/>
  <c r="J1116" i="7"/>
  <c r="K1116" i="7" s="1"/>
  <c r="O1116" i="7" s="1"/>
  <c r="H1116" i="7"/>
  <c r="I1116" i="7" s="1"/>
  <c r="G1116" i="7"/>
  <c r="M1115" i="7"/>
  <c r="L1115" i="7"/>
  <c r="J1115" i="7"/>
  <c r="K1115" i="7" s="1"/>
  <c r="O1115" i="7" s="1"/>
  <c r="H1115" i="7"/>
  <c r="I1115" i="7" s="1"/>
  <c r="G1115" i="7"/>
  <c r="N1115" i="7" s="1"/>
  <c r="M1114" i="7"/>
  <c r="L1114" i="7"/>
  <c r="J1114" i="7"/>
  <c r="K1114" i="7" s="1"/>
  <c r="O1114" i="7" s="1"/>
  <c r="H1114" i="7"/>
  <c r="I1114" i="7" s="1"/>
  <c r="G1114" i="7"/>
  <c r="N1114" i="7" s="1"/>
  <c r="M1113" i="7"/>
  <c r="L1113" i="7"/>
  <c r="J1113" i="7"/>
  <c r="K1113" i="7" s="1"/>
  <c r="O1113" i="7" s="1"/>
  <c r="H1113" i="7"/>
  <c r="I1113" i="7" s="1"/>
  <c r="G1113" i="7"/>
  <c r="N1113" i="7" s="1"/>
  <c r="N1112" i="7"/>
  <c r="M1112" i="7"/>
  <c r="L1112" i="7"/>
  <c r="J1112" i="7"/>
  <c r="K1112" i="7" s="1"/>
  <c r="O1112" i="7" s="1"/>
  <c r="H1112" i="7"/>
  <c r="I1112" i="7" s="1"/>
  <c r="G1112" i="7"/>
  <c r="M1111" i="7"/>
  <c r="L1111" i="7"/>
  <c r="J1111" i="7"/>
  <c r="K1111" i="7" s="1"/>
  <c r="O1111" i="7" s="1"/>
  <c r="H1111" i="7"/>
  <c r="I1111" i="7" s="1"/>
  <c r="G1111" i="7"/>
  <c r="N1111" i="7" s="1"/>
  <c r="M1110" i="7"/>
  <c r="L1110" i="7"/>
  <c r="J1110" i="7"/>
  <c r="K1110" i="7" s="1"/>
  <c r="O1110" i="7" s="1"/>
  <c r="H1110" i="7"/>
  <c r="I1110" i="7" s="1"/>
  <c r="G1110" i="7"/>
  <c r="N1110" i="7" s="1"/>
  <c r="M1109" i="7"/>
  <c r="L1109" i="7"/>
  <c r="J1109" i="7"/>
  <c r="K1109" i="7" s="1"/>
  <c r="O1109" i="7" s="1"/>
  <c r="H1109" i="7"/>
  <c r="I1109" i="7" s="1"/>
  <c r="G1109" i="7"/>
  <c r="N1109" i="7" s="1"/>
  <c r="N1108" i="7"/>
  <c r="M1108" i="7"/>
  <c r="L1108" i="7"/>
  <c r="J1108" i="7"/>
  <c r="K1108" i="7" s="1"/>
  <c r="O1108" i="7" s="1"/>
  <c r="H1108" i="7"/>
  <c r="I1108" i="7" s="1"/>
  <c r="G1108" i="7"/>
  <c r="M1107" i="7"/>
  <c r="L1107" i="7"/>
  <c r="J1107" i="7"/>
  <c r="K1107" i="7" s="1"/>
  <c r="O1107" i="7" s="1"/>
  <c r="H1107" i="7"/>
  <c r="I1107" i="7" s="1"/>
  <c r="G1107" i="7"/>
  <c r="N1107" i="7" s="1"/>
  <c r="M1106" i="7"/>
  <c r="L1106" i="7"/>
  <c r="J1106" i="7"/>
  <c r="K1106" i="7" s="1"/>
  <c r="O1106" i="7" s="1"/>
  <c r="H1106" i="7"/>
  <c r="I1106" i="7" s="1"/>
  <c r="G1106" i="7"/>
  <c r="N1106" i="7" s="1"/>
  <c r="M1105" i="7"/>
  <c r="L1105" i="7"/>
  <c r="J1105" i="7"/>
  <c r="K1105" i="7" s="1"/>
  <c r="O1105" i="7" s="1"/>
  <c r="H1105" i="7"/>
  <c r="I1105" i="7" s="1"/>
  <c r="G1105" i="7"/>
  <c r="N1105" i="7" s="1"/>
  <c r="N1104" i="7"/>
  <c r="M1104" i="7"/>
  <c r="L1104" i="7"/>
  <c r="J1104" i="7"/>
  <c r="K1104" i="7" s="1"/>
  <c r="O1104" i="7" s="1"/>
  <c r="H1104" i="7"/>
  <c r="I1104" i="7" s="1"/>
  <c r="G1104" i="7"/>
  <c r="M1103" i="7"/>
  <c r="L1103" i="7"/>
  <c r="J1103" i="7"/>
  <c r="K1103" i="7" s="1"/>
  <c r="O1103" i="7" s="1"/>
  <c r="H1103" i="7"/>
  <c r="I1103" i="7" s="1"/>
  <c r="G1103" i="7"/>
  <c r="N1103" i="7" s="1"/>
  <c r="M1102" i="7"/>
  <c r="L1102" i="7"/>
  <c r="J1102" i="7"/>
  <c r="K1102" i="7" s="1"/>
  <c r="O1102" i="7" s="1"/>
  <c r="H1102" i="7"/>
  <c r="I1102" i="7" s="1"/>
  <c r="G1102" i="7"/>
  <c r="N1102" i="7" s="1"/>
  <c r="M1101" i="7"/>
  <c r="L1101" i="7"/>
  <c r="J1101" i="7"/>
  <c r="K1101" i="7" s="1"/>
  <c r="O1101" i="7" s="1"/>
  <c r="H1101" i="7"/>
  <c r="I1101" i="7" s="1"/>
  <c r="G1101" i="7"/>
  <c r="N1101" i="7" s="1"/>
  <c r="N1100" i="7"/>
  <c r="M1100" i="7"/>
  <c r="L1100" i="7"/>
  <c r="J1100" i="7"/>
  <c r="K1100" i="7" s="1"/>
  <c r="O1100" i="7" s="1"/>
  <c r="H1100" i="7"/>
  <c r="I1100" i="7" s="1"/>
  <c r="G1100" i="7"/>
  <c r="M1099" i="7"/>
  <c r="L1099" i="7"/>
  <c r="J1099" i="7"/>
  <c r="K1099" i="7" s="1"/>
  <c r="O1099" i="7" s="1"/>
  <c r="H1099" i="7"/>
  <c r="I1099" i="7" s="1"/>
  <c r="G1099" i="7"/>
  <c r="N1099" i="7" s="1"/>
  <c r="M1098" i="7"/>
  <c r="L1098" i="7"/>
  <c r="J1098" i="7"/>
  <c r="K1098" i="7" s="1"/>
  <c r="O1098" i="7" s="1"/>
  <c r="H1098" i="7"/>
  <c r="I1098" i="7" s="1"/>
  <c r="G1098" i="7"/>
  <c r="N1098" i="7" s="1"/>
  <c r="M1097" i="7"/>
  <c r="L1097" i="7"/>
  <c r="J1097" i="7"/>
  <c r="K1097" i="7" s="1"/>
  <c r="O1097" i="7" s="1"/>
  <c r="H1097" i="7"/>
  <c r="I1097" i="7" s="1"/>
  <c r="G1097" i="7"/>
  <c r="N1097" i="7" s="1"/>
  <c r="N1096" i="7"/>
  <c r="M1096" i="7"/>
  <c r="L1096" i="7"/>
  <c r="J1096" i="7"/>
  <c r="K1096" i="7" s="1"/>
  <c r="O1096" i="7" s="1"/>
  <c r="H1096" i="7"/>
  <c r="I1096" i="7" s="1"/>
  <c r="G1096" i="7"/>
  <c r="M1095" i="7"/>
  <c r="L1095" i="7"/>
  <c r="J1095" i="7"/>
  <c r="K1095" i="7" s="1"/>
  <c r="O1095" i="7" s="1"/>
  <c r="H1095" i="7"/>
  <c r="I1095" i="7" s="1"/>
  <c r="G1095" i="7"/>
  <c r="N1095" i="7" s="1"/>
  <c r="M1094" i="7"/>
  <c r="L1094" i="7"/>
  <c r="J1094" i="7"/>
  <c r="K1094" i="7" s="1"/>
  <c r="O1094" i="7" s="1"/>
  <c r="H1094" i="7"/>
  <c r="I1094" i="7" s="1"/>
  <c r="G1094" i="7"/>
  <c r="N1094" i="7" s="1"/>
  <c r="M1093" i="7"/>
  <c r="L1093" i="7"/>
  <c r="J1093" i="7"/>
  <c r="K1093" i="7" s="1"/>
  <c r="O1093" i="7" s="1"/>
  <c r="H1093" i="7"/>
  <c r="I1093" i="7" s="1"/>
  <c r="G1093" i="7"/>
  <c r="N1093" i="7" s="1"/>
  <c r="N1092" i="7"/>
  <c r="M1092" i="7"/>
  <c r="L1092" i="7"/>
  <c r="J1092" i="7"/>
  <c r="K1092" i="7" s="1"/>
  <c r="O1092" i="7" s="1"/>
  <c r="H1092" i="7"/>
  <c r="I1092" i="7" s="1"/>
  <c r="G1092" i="7"/>
  <c r="M1091" i="7"/>
  <c r="L1091" i="7"/>
  <c r="J1091" i="7"/>
  <c r="K1091" i="7" s="1"/>
  <c r="O1091" i="7" s="1"/>
  <c r="H1091" i="7"/>
  <c r="I1091" i="7" s="1"/>
  <c r="G1091" i="7"/>
  <c r="N1091" i="7" s="1"/>
  <c r="M1090" i="7"/>
  <c r="L1090" i="7"/>
  <c r="J1090" i="7"/>
  <c r="K1090" i="7" s="1"/>
  <c r="O1090" i="7" s="1"/>
  <c r="H1090" i="7"/>
  <c r="I1090" i="7" s="1"/>
  <c r="G1090" i="7"/>
  <c r="N1090" i="7" s="1"/>
  <c r="M1089" i="7"/>
  <c r="L1089" i="7"/>
  <c r="J1089" i="7"/>
  <c r="K1089" i="7" s="1"/>
  <c r="O1089" i="7" s="1"/>
  <c r="H1089" i="7"/>
  <c r="I1089" i="7" s="1"/>
  <c r="G1089" i="7"/>
  <c r="N1089" i="7" s="1"/>
  <c r="N1088" i="7"/>
  <c r="M1088" i="7"/>
  <c r="L1088" i="7"/>
  <c r="J1088" i="7"/>
  <c r="K1088" i="7" s="1"/>
  <c r="O1088" i="7" s="1"/>
  <c r="H1088" i="7"/>
  <c r="I1088" i="7" s="1"/>
  <c r="G1088" i="7"/>
  <c r="M1087" i="7"/>
  <c r="L1087" i="7"/>
  <c r="J1087" i="7"/>
  <c r="K1087" i="7" s="1"/>
  <c r="O1087" i="7" s="1"/>
  <c r="H1087" i="7"/>
  <c r="I1087" i="7" s="1"/>
  <c r="G1087" i="7"/>
  <c r="N1087" i="7" s="1"/>
  <c r="M1086" i="7"/>
  <c r="L1086" i="7"/>
  <c r="J1086" i="7"/>
  <c r="K1086" i="7" s="1"/>
  <c r="O1086" i="7" s="1"/>
  <c r="H1086" i="7"/>
  <c r="I1086" i="7" s="1"/>
  <c r="G1086" i="7"/>
  <c r="N1086" i="7" s="1"/>
  <c r="M1085" i="7"/>
  <c r="L1085" i="7"/>
  <c r="J1085" i="7"/>
  <c r="K1085" i="7" s="1"/>
  <c r="O1085" i="7" s="1"/>
  <c r="H1085" i="7"/>
  <c r="I1085" i="7" s="1"/>
  <c r="G1085" i="7"/>
  <c r="N1085" i="7" s="1"/>
  <c r="N1084" i="7"/>
  <c r="M1084" i="7"/>
  <c r="L1084" i="7"/>
  <c r="J1084" i="7"/>
  <c r="K1084" i="7" s="1"/>
  <c r="O1084" i="7" s="1"/>
  <c r="H1084" i="7"/>
  <c r="I1084" i="7" s="1"/>
  <c r="G1084" i="7"/>
  <c r="M1083" i="7"/>
  <c r="L1083" i="7"/>
  <c r="J1083" i="7"/>
  <c r="K1083" i="7" s="1"/>
  <c r="O1083" i="7" s="1"/>
  <c r="H1083" i="7"/>
  <c r="I1083" i="7" s="1"/>
  <c r="G1083" i="7"/>
  <c r="N1083" i="7" s="1"/>
  <c r="M1082" i="7"/>
  <c r="L1082" i="7"/>
  <c r="J1082" i="7"/>
  <c r="K1082" i="7" s="1"/>
  <c r="O1082" i="7" s="1"/>
  <c r="H1082" i="7"/>
  <c r="I1082" i="7" s="1"/>
  <c r="G1082" i="7"/>
  <c r="N1082" i="7" s="1"/>
  <c r="M1081" i="7"/>
  <c r="L1081" i="7"/>
  <c r="J1081" i="7"/>
  <c r="K1081" i="7" s="1"/>
  <c r="O1081" i="7" s="1"/>
  <c r="H1081" i="7"/>
  <c r="I1081" i="7" s="1"/>
  <c r="G1081" i="7"/>
  <c r="N1081" i="7" s="1"/>
  <c r="N1080" i="7"/>
  <c r="M1080" i="7"/>
  <c r="L1080" i="7"/>
  <c r="J1080" i="7"/>
  <c r="K1080" i="7" s="1"/>
  <c r="O1080" i="7" s="1"/>
  <c r="H1080" i="7"/>
  <c r="I1080" i="7" s="1"/>
  <c r="G1080" i="7"/>
  <c r="M1079" i="7"/>
  <c r="L1079" i="7"/>
  <c r="J1079" i="7"/>
  <c r="K1079" i="7" s="1"/>
  <c r="O1079" i="7" s="1"/>
  <c r="H1079" i="7"/>
  <c r="I1079" i="7" s="1"/>
  <c r="G1079" i="7"/>
  <c r="N1079" i="7" s="1"/>
  <c r="M1078" i="7"/>
  <c r="L1078" i="7"/>
  <c r="J1078" i="7"/>
  <c r="K1078" i="7" s="1"/>
  <c r="O1078" i="7" s="1"/>
  <c r="H1078" i="7"/>
  <c r="I1078" i="7" s="1"/>
  <c r="G1078" i="7"/>
  <c r="N1078" i="7" s="1"/>
  <c r="M1077" i="7"/>
  <c r="L1077" i="7"/>
  <c r="J1077" i="7"/>
  <c r="K1077" i="7" s="1"/>
  <c r="O1077" i="7" s="1"/>
  <c r="H1077" i="7"/>
  <c r="I1077" i="7" s="1"/>
  <c r="G1077" i="7"/>
  <c r="N1077" i="7" s="1"/>
  <c r="N1076" i="7"/>
  <c r="M1076" i="7"/>
  <c r="L1076" i="7"/>
  <c r="J1076" i="7"/>
  <c r="K1076" i="7" s="1"/>
  <c r="O1076" i="7" s="1"/>
  <c r="H1076" i="7"/>
  <c r="I1076" i="7" s="1"/>
  <c r="G1076" i="7"/>
  <c r="M1075" i="7"/>
  <c r="L1075" i="7"/>
  <c r="J1075" i="7"/>
  <c r="K1075" i="7" s="1"/>
  <c r="O1075" i="7" s="1"/>
  <c r="H1075" i="7"/>
  <c r="I1075" i="7" s="1"/>
  <c r="G1075" i="7"/>
  <c r="N1075" i="7" s="1"/>
  <c r="M1074" i="7"/>
  <c r="L1074" i="7"/>
  <c r="J1074" i="7"/>
  <c r="K1074" i="7" s="1"/>
  <c r="O1074" i="7" s="1"/>
  <c r="H1074" i="7"/>
  <c r="I1074" i="7" s="1"/>
  <c r="G1074" i="7"/>
  <c r="N1074" i="7" s="1"/>
  <c r="M1073" i="7"/>
  <c r="L1073" i="7"/>
  <c r="J1073" i="7"/>
  <c r="K1073" i="7" s="1"/>
  <c r="O1073" i="7" s="1"/>
  <c r="H1073" i="7"/>
  <c r="I1073" i="7" s="1"/>
  <c r="G1073" i="7"/>
  <c r="N1073" i="7" s="1"/>
  <c r="N1072" i="7"/>
  <c r="M1072" i="7"/>
  <c r="L1072" i="7"/>
  <c r="J1072" i="7"/>
  <c r="K1072" i="7" s="1"/>
  <c r="O1072" i="7" s="1"/>
  <c r="H1072" i="7"/>
  <c r="I1072" i="7" s="1"/>
  <c r="G1072" i="7"/>
  <c r="M1071" i="7"/>
  <c r="L1071" i="7"/>
  <c r="J1071" i="7"/>
  <c r="K1071" i="7" s="1"/>
  <c r="O1071" i="7" s="1"/>
  <c r="H1071" i="7"/>
  <c r="I1071" i="7" s="1"/>
  <c r="G1071" i="7"/>
  <c r="N1071" i="7" s="1"/>
  <c r="M1070" i="7"/>
  <c r="L1070" i="7"/>
  <c r="J1070" i="7"/>
  <c r="K1070" i="7" s="1"/>
  <c r="O1070" i="7" s="1"/>
  <c r="H1070" i="7"/>
  <c r="I1070" i="7" s="1"/>
  <c r="G1070" i="7"/>
  <c r="N1070" i="7" s="1"/>
  <c r="M1069" i="7"/>
  <c r="L1069" i="7"/>
  <c r="J1069" i="7"/>
  <c r="K1069" i="7" s="1"/>
  <c r="O1069" i="7" s="1"/>
  <c r="H1069" i="7"/>
  <c r="I1069" i="7" s="1"/>
  <c r="G1069" i="7"/>
  <c r="N1069" i="7" s="1"/>
  <c r="N1068" i="7"/>
  <c r="M1068" i="7"/>
  <c r="L1068" i="7"/>
  <c r="J1068" i="7"/>
  <c r="K1068" i="7" s="1"/>
  <c r="O1068" i="7" s="1"/>
  <c r="H1068" i="7"/>
  <c r="I1068" i="7" s="1"/>
  <c r="G1068" i="7"/>
  <c r="M1067" i="7"/>
  <c r="L1067" i="7"/>
  <c r="J1067" i="7"/>
  <c r="K1067" i="7" s="1"/>
  <c r="O1067" i="7" s="1"/>
  <c r="H1067" i="7"/>
  <c r="I1067" i="7" s="1"/>
  <c r="G1067" i="7"/>
  <c r="N1067" i="7" s="1"/>
  <c r="M1066" i="7"/>
  <c r="L1066" i="7"/>
  <c r="J1066" i="7"/>
  <c r="K1066" i="7" s="1"/>
  <c r="O1066" i="7" s="1"/>
  <c r="H1066" i="7"/>
  <c r="I1066" i="7" s="1"/>
  <c r="G1066" i="7"/>
  <c r="N1066" i="7" s="1"/>
  <c r="M1065" i="7"/>
  <c r="L1065" i="7"/>
  <c r="J1065" i="7"/>
  <c r="K1065" i="7" s="1"/>
  <c r="O1065" i="7" s="1"/>
  <c r="H1065" i="7"/>
  <c r="I1065" i="7" s="1"/>
  <c r="G1065" i="7"/>
  <c r="N1065" i="7" s="1"/>
  <c r="N1064" i="7"/>
  <c r="M1064" i="7"/>
  <c r="L1064" i="7"/>
  <c r="J1064" i="7"/>
  <c r="K1064" i="7" s="1"/>
  <c r="O1064" i="7" s="1"/>
  <c r="H1064" i="7"/>
  <c r="I1064" i="7" s="1"/>
  <c r="G1064" i="7"/>
  <c r="M1063" i="7"/>
  <c r="L1063" i="7"/>
  <c r="J1063" i="7"/>
  <c r="K1063" i="7" s="1"/>
  <c r="O1063" i="7" s="1"/>
  <c r="H1063" i="7"/>
  <c r="I1063" i="7" s="1"/>
  <c r="G1063" i="7"/>
  <c r="N1063" i="7" s="1"/>
  <c r="M1062" i="7"/>
  <c r="L1062" i="7"/>
  <c r="J1062" i="7"/>
  <c r="K1062" i="7" s="1"/>
  <c r="O1062" i="7" s="1"/>
  <c r="H1062" i="7"/>
  <c r="I1062" i="7" s="1"/>
  <c r="G1062" i="7"/>
  <c r="N1062" i="7" s="1"/>
  <c r="M1061" i="7"/>
  <c r="L1061" i="7"/>
  <c r="J1061" i="7"/>
  <c r="K1061" i="7" s="1"/>
  <c r="O1061" i="7" s="1"/>
  <c r="H1061" i="7"/>
  <c r="I1061" i="7" s="1"/>
  <c r="G1061" i="7"/>
  <c r="N1061" i="7" s="1"/>
  <c r="N1060" i="7"/>
  <c r="M1060" i="7"/>
  <c r="L1060" i="7"/>
  <c r="J1060" i="7"/>
  <c r="K1060" i="7" s="1"/>
  <c r="O1060" i="7" s="1"/>
  <c r="H1060" i="7"/>
  <c r="I1060" i="7" s="1"/>
  <c r="G1060" i="7"/>
  <c r="M1059" i="7"/>
  <c r="L1059" i="7"/>
  <c r="J1059" i="7"/>
  <c r="K1059" i="7" s="1"/>
  <c r="O1059" i="7" s="1"/>
  <c r="H1059" i="7"/>
  <c r="I1059" i="7" s="1"/>
  <c r="G1059" i="7"/>
  <c r="N1059" i="7" s="1"/>
  <c r="M1058" i="7"/>
  <c r="L1058" i="7"/>
  <c r="J1058" i="7"/>
  <c r="K1058" i="7" s="1"/>
  <c r="O1058" i="7" s="1"/>
  <c r="H1058" i="7"/>
  <c r="I1058" i="7" s="1"/>
  <c r="G1058" i="7"/>
  <c r="N1058" i="7" s="1"/>
  <c r="M1057" i="7"/>
  <c r="L1057" i="7"/>
  <c r="J1057" i="7"/>
  <c r="K1057" i="7" s="1"/>
  <c r="O1057" i="7" s="1"/>
  <c r="H1057" i="7"/>
  <c r="I1057" i="7" s="1"/>
  <c r="G1057" i="7"/>
  <c r="N1057" i="7" s="1"/>
  <c r="N1056" i="7"/>
  <c r="M1056" i="7"/>
  <c r="L1056" i="7"/>
  <c r="J1056" i="7"/>
  <c r="K1056" i="7" s="1"/>
  <c r="O1056" i="7" s="1"/>
  <c r="H1056" i="7"/>
  <c r="I1056" i="7" s="1"/>
  <c r="G1056" i="7"/>
  <c r="M1055" i="7"/>
  <c r="L1055" i="7"/>
  <c r="J1055" i="7"/>
  <c r="K1055" i="7" s="1"/>
  <c r="O1055" i="7" s="1"/>
  <c r="H1055" i="7"/>
  <c r="I1055" i="7" s="1"/>
  <c r="G1055" i="7"/>
  <c r="N1055" i="7" s="1"/>
  <c r="M1054" i="7"/>
  <c r="L1054" i="7"/>
  <c r="J1054" i="7"/>
  <c r="K1054" i="7" s="1"/>
  <c r="O1054" i="7" s="1"/>
  <c r="H1054" i="7"/>
  <c r="I1054" i="7" s="1"/>
  <c r="G1054" i="7"/>
  <c r="N1054" i="7" s="1"/>
  <c r="M1053" i="7"/>
  <c r="L1053" i="7"/>
  <c r="J1053" i="7"/>
  <c r="K1053" i="7" s="1"/>
  <c r="O1053" i="7" s="1"/>
  <c r="H1053" i="7"/>
  <c r="I1053" i="7" s="1"/>
  <c r="G1053" i="7"/>
  <c r="N1053" i="7" s="1"/>
  <c r="N1052" i="7"/>
  <c r="M1052" i="7"/>
  <c r="L1052" i="7"/>
  <c r="J1052" i="7"/>
  <c r="K1052" i="7" s="1"/>
  <c r="O1052" i="7" s="1"/>
  <c r="H1052" i="7"/>
  <c r="I1052" i="7" s="1"/>
  <c r="G1052" i="7"/>
  <c r="M1051" i="7"/>
  <c r="L1051" i="7"/>
  <c r="J1051" i="7"/>
  <c r="K1051" i="7" s="1"/>
  <c r="O1051" i="7" s="1"/>
  <c r="H1051" i="7"/>
  <c r="I1051" i="7" s="1"/>
  <c r="G1051" i="7"/>
  <c r="N1051" i="7" s="1"/>
  <c r="M1050" i="7"/>
  <c r="L1050" i="7"/>
  <c r="J1050" i="7"/>
  <c r="K1050" i="7" s="1"/>
  <c r="O1050" i="7" s="1"/>
  <c r="H1050" i="7"/>
  <c r="I1050" i="7" s="1"/>
  <c r="G1050" i="7"/>
  <c r="N1050" i="7" s="1"/>
  <c r="M1049" i="7"/>
  <c r="L1049" i="7"/>
  <c r="J1049" i="7"/>
  <c r="K1049" i="7" s="1"/>
  <c r="O1049" i="7" s="1"/>
  <c r="H1049" i="7"/>
  <c r="I1049" i="7" s="1"/>
  <c r="G1049" i="7"/>
  <c r="N1049" i="7" s="1"/>
  <c r="N1048" i="7"/>
  <c r="M1048" i="7"/>
  <c r="L1048" i="7"/>
  <c r="J1048" i="7"/>
  <c r="K1048" i="7" s="1"/>
  <c r="O1048" i="7" s="1"/>
  <c r="H1048" i="7"/>
  <c r="I1048" i="7" s="1"/>
  <c r="G1048" i="7"/>
  <c r="N1047" i="7"/>
  <c r="M1047" i="7"/>
  <c r="L1047" i="7"/>
  <c r="J1047" i="7"/>
  <c r="K1047" i="7" s="1"/>
  <c r="O1047" i="7" s="1"/>
  <c r="H1047" i="7"/>
  <c r="I1047" i="7" s="1"/>
  <c r="G1047" i="7"/>
  <c r="M1046" i="7"/>
  <c r="L1046" i="7"/>
  <c r="J1046" i="7"/>
  <c r="K1046" i="7" s="1"/>
  <c r="O1046" i="7" s="1"/>
  <c r="H1046" i="7"/>
  <c r="I1046" i="7" s="1"/>
  <c r="G1046" i="7"/>
  <c r="N1046" i="7" s="1"/>
  <c r="M1045" i="7"/>
  <c r="L1045" i="7"/>
  <c r="J1045" i="7"/>
  <c r="K1045" i="7" s="1"/>
  <c r="O1045" i="7" s="1"/>
  <c r="H1045" i="7"/>
  <c r="I1045" i="7" s="1"/>
  <c r="G1045" i="7"/>
  <c r="N1045" i="7" s="1"/>
  <c r="N1044" i="7"/>
  <c r="M1044" i="7"/>
  <c r="L1044" i="7"/>
  <c r="J1044" i="7"/>
  <c r="K1044" i="7" s="1"/>
  <c r="O1044" i="7" s="1"/>
  <c r="H1044" i="7"/>
  <c r="I1044" i="7" s="1"/>
  <c r="G1044" i="7"/>
  <c r="M1043" i="7"/>
  <c r="L1043" i="7"/>
  <c r="J1043" i="7"/>
  <c r="K1043" i="7" s="1"/>
  <c r="O1043" i="7" s="1"/>
  <c r="H1043" i="7"/>
  <c r="I1043" i="7" s="1"/>
  <c r="G1043" i="7"/>
  <c r="N1043" i="7" s="1"/>
  <c r="M1042" i="7"/>
  <c r="L1042" i="7"/>
  <c r="J1042" i="7"/>
  <c r="K1042" i="7" s="1"/>
  <c r="O1042" i="7" s="1"/>
  <c r="H1042" i="7"/>
  <c r="I1042" i="7" s="1"/>
  <c r="G1042" i="7"/>
  <c r="N1042" i="7" s="1"/>
  <c r="M1041" i="7"/>
  <c r="L1041" i="7"/>
  <c r="J1041" i="7"/>
  <c r="K1041" i="7" s="1"/>
  <c r="O1041" i="7" s="1"/>
  <c r="H1041" i="7"/>
  <c r="I1041" i="7" s="1"/>
  <c r="G1041" i="7"/>
  <c r="N1041" i="7" s="1"/>
  <c r="N1040" i="7"/>
  <c r="M1040" i="7"/>
  <c r="L1040" i="7"/>
  <c r="J1040" i="7"/>
  <c r="K1040" i="7" s="1"/>
  <c r="O1040" i="7" s="1"/>
  <c r="H1040" i="7"/>
  <c r="I1040" i="7" s="1"/>
  <c r="G1040" i="7"/>
  <c r="M1039" i="7"/>
  <c r="L1039" i="7"/>
  <c r="J1039" i="7"/>
  <c r="K1039" i="7" s="1"/>
  <c r="O1039" i="7" s="1"/>
  <c r="H1039" i="7"/>
  <c r="I1039" i="7" s="1"/>
  <c r="G1039" i="7"/>
  <c r="N1039" i="7" s="1"/>
  <c r="M1038" i="7"/>
  <c r="L1038" i="7"/>
  <c r="J1038" i="7"/>
  <c r="K1038" i="7" s="1"/>
  <c r="O1038" i="7" s="1"/>
  <c r="H1038" i="7"/>
  <c r="I1038" i="7" s="1"/>
  <c r="G1038" i="7"/>
  <c r="N1038" i="7" s="1"/>
  <c r="M1037" i="7"/>
  <c r="L1037" i="7"/>
  <c r="J1037" i="7"/>
  <c r="K1037" i="7" s="1"/>
  <c r="O1037" i="7" s="1"/>
  <c r="H1037" i="7"/>
  <c r="I1037" i="7" s="1"/>
  <c r="G1037" i="7"/>
  <c r="N1037" i="7" s="1"/>
  <c r="N1036" i="7"/>
  <c r="M1036" i="7"/>
  <c r="L1036" i="7"/>
  <c r="J1036" i="7"/>
  <c r="K1036" i="7" s="1"/>
  <c r="O1036" i="7" s="1"/>
  <c r="H1036" i="7"/>
  <c r="I1036" i="7" s="1"/>
  <c r="G1036" i="7"/>
  <c r="M1035" i="7"/>
  <c r="L1035" i="7"/>
  <c r="J1035" i="7"/>
  <c r="K1035" i="7" s="1"/>
  <c r="O1035" i="7" s="1"/>
  <c r="H1035" i="7"/>
  <c r="I1035" i="7" s="1"/>
  <c r="G1035" i="7"/>
  <c r="N1035" i="7" s="1"/>
  <c r="M1034" i="7"/>
  <c r="L1034" i="7"/>
  <c r="J1034" i="7"/>
  <c r="K1034" i="7" s="1"/>
  <c r="O1034" i="7" s="1"/>
  <c r="H1034" i="7"/>
  <c r="I1034" i="7" s="1"/>
  <c r="G1034" i="7"/>
  <c r="N1034" i="7" s="1"/>
  <c r="M1033" i="7"/>
  <c r="L1033" i="7"/>
  <c r="J1033" i="7"/>
  <c r="K1033" i="7" s="1"/>
  <c r="O1033" i="7" s="1"/>
  <c r="H1033" i="7"/>
  <c r="I1033" i="7" s="1"/>
  <c r="G1033" i="7"/>
  <c r="N1033" i="7" s="1"/>
  <c r="N1032" i="7"/>
  <c r="M1032" i="7"/>
  <c r="L1032" i="7"/>
  <c r="J1032" i="7"/>
  <c r="K1032" i="7" s="1"/>
  <c r="O1032" i="7" s="1"/>
  <c r="H1032" i="7"/>
  <c r="I1032" i="7" s="1"/>
  <c r="G1032" i="7"/>
  <c r="M1031" i="7"/>
  <c r="L1031" i="7"/>
  <c r="J1031" i="7"/>
  <c r="K1031" i="7" s="1"/>
  <c r="O1031" i="7" s="1"/>
  <c r="H1031" i="7"/>
  <c r="I1031" i="7" s="1"/>
  <c r="G1031" i="7"/>
  <c r="N1031" i="7" s="1"/>
  <c r="N1030" i="7"/>
  <c r="M1030" i="7"/>
  <c r="L1030" i="7"/>
  <c r="J1030" i="7"/>
  <c r="K1030" i="7" s="1"/>
  <c r="O1030" i="7" s="1"/>
  <c r="H1030" i="7"/>
  <c r="I1030" i="7" s="1"/>
  <c r="G1030" i="7"/>
  <c r="M1029" i="7"/>
  <c r="L1029" i="7"/>
  <c r="J1029" i="7"/>
  <c r="K1029" i="7" s="1"/>
  <c r="O1029" i="7" s="1"/>
  <c r="H1029" i="7"/>
  <c r="I1029" i="7" s="1"/>
  <c r="G1029" i="7"/>
  <c r="N1029" i="7" s="1"/>
  <c r="N1028" i="7"/>
  <c r="M1028" i="7"/>
  <c r="L1028" i="7"/>
  <c r="J1028" i="7"/>
  <c r="K1028" i="7" s="1"/>
  <c r="O1028" i="7" s="1"/>
  <c r="H1028" i="7"/>
  <c r="I1028" i="7" s="1"/>
  <c r="G1028" i="7"/>
  <c r="M1027" i="7"/>
  <c r="L1027" i="7"/>
  <c r="J1027" i="7"/>
  <c r="K1027" i="7" s="1"/>
  <c r="O1027" i="7" s="1"/>
  <c r="H1027" i="7"/>
  <c r="I1027" i="7" s="1"/>
  <c r="G1027" i="7"/>
  <c r="N1027" i="7" s="1"/>
  <c r="M1026" i="7"/>
  <c r="L1026" i="7"/>
  <c r="J1026" i="7"/>
  <c r="K1026" i="7" s="1"/>
  <c r="O1026" i="7" s="1"/>
  <c r="H1026" i="7"/>
  <c r="I1026" i="7" s="1"/>
  <c r="G1026" i="7"/>
  <c r="N1026" i="7" s="1"/>
  <c r="M1025" i="7"/>
  <c r="L1025" i="7"/>
  <c r="J1025" i="7"/>
  <c r="K1025" i="7" s="1"/>
  <c r="O1025" i="7" s="1"/>
  <c r="H1025" i="7"/>
  <c r="I1025" i="7" s="1"/>
  <c r="G1025" i="7"/>
  <c r="N1025" i="7" s="1"/>
  <c r="N1024" i="7"/>
  <c r="M1024" i="7"/>
  <c r="L1024" i="7"/>
  <c r="J1024" i="7"/>
  <c r="K1024" i="7" s="1"/>
  <c r="O1024" i="7" s="1"/>
  <c r="H1024" i="7"/>
  <c r="I1024" i="7" s="1"/>
  <c r="G1024" i="7"/>
  <c r="M1023" i="7"/>
  <c r="L1023" i="7"/>
  <c r="J1023" i="7"/>
  <c r="K1023" i="7" s="1"/>
  <c r="O1023" i="7" s="1"/>
  <c r="H1023" i="7"/>
  <c r="I1023" i="7" s="1"/>
  <c r="G1023" i="7"/>
  <c r="N1023" i="7" s="1"/>
  <c r="M1022" i="7"/>
  <c r="L1022" i="7"/>
  <c r="J1022" i="7"/>
  <c r="K1022" i="7" s="1"/>
  <c r="O1022" i="7" s="1"/>
  <c r="H1022" i="7"/>
  <c r="I1022" i="7" s="1"/>
  <c r="G1022" i="7"/>
  <c r="N1022" i="7" s="1"/>
  <c r="M1021" i="7"/>
  <c r="L1021" i="7"/>
  <c r="J1021" i="7"/>
  <c r="K1021" i="7" s="1"/>
  <c r="O1021" i="7" s="1"/>
  <c r="H1021" i="7"/>
  <c r="I1021" i="7" s="1"/>
  <c r="G1021" i="7"/>
  <c r="N1021" i="7" s="1"/>
  <c r="N1020" i="7"/>
  <c r="M1020" i="7"/>
  <c r="L1020" i="7"/>
  <c r="J1020" i="7"/>
  <c r="K1020" i="7" s="1"/>
  <c r="O1020" i="7" s="1"/>
  <c r="H1020" i="7"/>
  <c r="I1020" i="7" s="1"/>
  <c r="G1020" i="7"/>
  <c r="M1019" i="7"/>
  <c r="L1019" i="7"/>
  <c r="J1019" i="7"/>
  <c r="K1019" i="7" s="1"/>
  <c r="O1019" i="7" s="1"/>
  <c r="H1019" i="7"/>
  <c r="I1019" i="7" s="1"/>
  <c r="G1019" i="7"/>
  <c r="N1019" i="7" s="1"/>
  <c r="M1018" i="7"/>
  <c r="L1018" i="7"/>
  <c r="J1018" i="7"/>
  <c r="K1018" i="7" s="1"/>
  <c r="O1018" i="7" s="1"/>
  <c r="H1018" i="7"/>
  <c r="I1018" i="7" s="1"/>
  <c r="G1018" i="7"/>
  <c r="N1018" i="7" s="1"/>
  <c r="M1017" i="7"/>
  <c r="L1017" i="7"/>
  <c r="J1017" i="7"/>
  <c r="K1017" i="7" s="1"/>
  <c r="O1017" i="7" s="1"/>
  <c r="H1017" i="7"/>
  <c r="I1017" i="7" s="1"/>
  <c r="G1017" i="7"/>
  <c r="N1017" i="7" s="1"/>
  <c r="N1016" i="7"/>
  <c r="M1016" i="7"/>
  <c r="L1016" i="7"/>
  <c r="J1016" i="7"/>
  <c r="K1016" i="7" s="1"/>
  <c r="O1016" i="7" s="1"/>
  <c r="H1016" i="7"/>
  <c r="I1016" i="7" s="1"/>
  <c r="G1016" i="7"/>
  <c r="M1015" i="7"/>
  <c r="L1015" i="7"/>
  <c r="J1015" i="7"/>
  <c r="K1015" i="7" s="1"/>
  <c r="O1015" i="7" s="1"/>
  <c r="H1015" i="7"/>
  <c r="I1015" i="7" s="1"/>
  <c r="G1015" i="7"/>
  <c r="N1015" i="7" s="1"/>
  <c r="N1014" i="7"/>
  <c r="M1014" i="7"/>
  <c r="L1014" i="7"/>
  <c r="J1014" i="7"/>
  <c r="K1014" i="7" s="1"/>
  <c r="O1014" i="7" s="1"/>
  <c r="H1014" i="7"/>
  <c r="I1014" i="7" s="1"/>
  <c r="G1014" i="7"/>
  <c r="M1013" i="7"/>
  <c r="L1013" i="7"/>
  <c r="J1013" i="7"/>
  <c r="K1013" i="7" s="1"/>
  <c r="O1013" i="7" s="1"/>
  <c r="H1013" i="7"/>
  <c r="I1013" i="7" s="1"/>
  <c r="G1013" i="7"/>
  <c r="N1013" i="7" s="1"/>
  <c r="N1012" i="7"/>
  <c r="M1012" i="7"/>
  <c r="L1012" i="7"/>
  <c r="J1012" i="7"/>
  <c r="K1012" i="7" s="1"/>
  <c r="O1012" i="7" s="1"/>
  <c r="H1012" i="7"/>
  <c r="I1012" i="7" s="1"/>
  <c r="G1012" i="7"/>
  <c r="M1011" i="7"/>
  <c r="L1011" i="7"/>
  <c r="J1011" i="7"/>
  <c r="K1011" i="7" s="1"/>
  <c r="O1011" i="7" s="1"/>
  <c r="H1011" i="7"/>
  <c r="I1011" i="7" s="1"/>
  <c r="G1011" i="7"/>
  <c r="N1011" i="7" s="1"/>
  <c r="M1010" i="7"/>
  <c r="L1010" i="7"/>
  <c r="J1010" i="7"/>
  <c r="K1010" i="7" s="1"/>
  <c r="O1010" i="7" s="1"/>
  <c r="H1010" i="7"/>
  <c r="I1010" i="7" s="1"/>
  <c r="G1010" i="7"/>
  <c r="N1010" i="7" s="1"/>
  <c r="M1009" i="7"/>
  <c r="L1009" i="7"/>
  <c r="J1009" i="7"/>
  <c r="K1009" i="7" s="1"/>
  <c r="O1009" i="7" s="1"/>
  <c r="H1009" i="7"/>
  <c r="I1009" i="7" s="1"/>
  <c r="G1009" i="7"/>
  <c r="N1009" i="7" s="1"/>
  <c r="N1008" i="7"/>
  <c r="M1008" i="7"/>
  <c r="L1008" i="7"/>
  <c r="J1008" i="7"/>
  <c r="K1008" i="7" s="1"/>
  <c r="O1008" i="7" s="1"/>
  <c r="H1008" i="7"/>
  <c r="I1008" i="7" s="1"/>
  <c r="G1008" i="7"/>
  <c r="M1007" i="7"/>
  <c r="L1007" i="7"/>
  <c r="J1007" i="7"/>
  <c r="K1007" i="7" s="1"/>
  <c r="O1007" i="7" s="1"/>
  <c r="H1007" i="7"/>
  <c r="I1007" i="7" s="1"/>
  <c r="G1007" i="7"/>
  <c r="N1007" i="7" s="1"/>
  <c r="M1006" i="7"/>
  <c r="L1006" i="7"/>
  <c r="J1006" i="7"/>
  <c r="K1006" i="7" s="1"/>
  <c r="O1006" i="7" s="1"/>
  <c r="H1006" i="7"/>
  <c r="I1006" i="7" s="1"/>
  <c r="G1006" i="7"/>
  <c r="N1006" i="7" s="1"/>
  <c r="M1005" i="7"/>
  <c r="L1005" i="7"/>
  <c r="J1005" i="7"/>
  <c r="K1005" i="7" s="1"/>
  <c r="O1005" i="7" s="1"/>
  <c r="H1005" i="7"/>
  <c r="I1005" i="7" s="1"/>
  <c r="G1005" i="7"/>
  <c r="N1005" i="7" s="1"/>
  <c r="N1004" i="7"/>
  <c r="M1004" i="7"/>
  <c r="L1004" i="7"/>
  <c r="J1004" i="7"/>
  <c r="K1004" i="7" s="1"/>
  <c r="O1004" i="7" s="1"/>
  <c r="H1004" i="7"/>
  <c r="I1004" i="7" s="1"/>
  <c r="G1004" i="7"/>
  <c r="M1003" i="7"/>
  <c r="L1003" i="7"/>
  <c r="J1003" i="7"/>
  <c r="K1003" i="7" s="1"/>
  <c r="O1003" i="7" s="1"/>
  <c r="H1003" i="7"/>
  <c r="I1003" i="7" s="1"/>
  <c r="G1003" i="7"/>
  <c r="N1003" i="7" s="1"/>
  <c r="M1002" i="7"/>
  <c r="L1002" i="7"/>
  <c r="J1002" i="7"/>
  <c r="K1002" i="7" s="1"/>
  <c r="O1002" i="7" s="1"/>
  <c r="H1002" i="7"/>
  <c r="I1002" i="7" s="1"/>
  <c r="G1002" i="7"/>
  <c r="N1002" i="7" s="1"/>
  <c r="M1001" i="7"/>
  <c r="L1001" i="7"/>
  <c r="J1001" i="7"/>
  <c r="K1001" i="7" s="1"/>
  <c r="O1001" i="7" s="1"/>
  <c r="H1001" i="7"/>
  <c r="I1001" i="7" s="1"/>
  <c r="G1001" i="7"/>
  <c r="N1001" i="7" s="1"/>
  <c r="N1000" i="7"/>
  <c r="M1000" i="7"/>
  <c r="L1000" i="7"/>
  <c r="J1000" i="7"/>
  <c r="K1000" i="7" s="1"/>
  <c r="O1000" i="7" s="1"/>
  <c r="H1000" i="7"/>
  <c r="I1000" i="7" s="1"/>
  <c r="G1000" i="7"/>
  <c r="M999" i="7"/>
  <c r="L999" i="7"/>
  <c r="J999" i="7"/>
  <c r="K999" i="7" s="1"/>
  <c r="O999" i="7" s="1"/>
  <c r="H999" i="7"/>
  <c r="I999" i="7" s="1"/>
  <c r="G999" i="7"/>
  <c r="N999" i="7" s="1"/>
  <c r="N998" i="7"/>
  <c r="M998" i="7"/>
  <c r="L998" i="7"/>
  <c r="J998" i="7"/>
  <c r="K998" i="7" s="1"/>
  <c r="O998" i="7" s="1"/>
  <c r="H998" i="7"/>
  <c r="I998" i="7" s="1"/>
  <c r="G998" i="7"/>
  <c r="M997" i="7"/>
  <c r="L997" i="7"/>
  <c r="J997" i="7"/>
  <c r="K997" i="7" s="1"/>
  <c r="O997" i="7" s="1"/>
  <c r="H997" i="7"/>
  <c r="I997" i="7" s="1"/>
  <c r="G997" i="7"/>
  <c r="N997" i="7" s="1"/>
  <c r="N996" i="7"/>
  <c r="M996" i="7"/>
  <c r="L996" i="7"/>
  <c r="J996" i="7"/>
  <c r="K996" i="7" s="1"/>
  <c r="O996" i="7" s="1"/>
  <c r="H996" i="7"/>
  <c r="I996" i="7" s="1"/>
  <c r="G996" i="7"/>
  <c r="M995" i="7"/>
  <c r="L995" i="7"/>
  <c r="J995" i="7"/>
  <c r="K995" i="7" s="1"/>
  <c r="O995" i="7" s="1"/>
  <c r="H995" i="7"/>
  <c r="I995" i="7" s="1"/>
  <c r="G995" i="7"/>
  <c r="N995" i="7" s="1"/>
  <c r="M994" i="7"/>
  <c r="L994" i="7"/>
  <c r="J994" i="7"/>
  <c r="K994" i="7" s="1"/>
  <c r="O994" i="7" s="1"/>
  <c r="H994" i="7"/>
  <c r="I994" i="7" s="1"/>
  <c r="G994" i="7"/>
  <c r="N994" i="7" s="1"/>
  <c r="M993" i="7"/>
  <c r="L993" i="7"/>
  <c r="J993" i="7"/>
  <c r="K993" i="7" s="1"/>
  <c r="O993" i="7" s="1"/>
  <c r="H993" i="7"/>
  <c r="I993" i="7" s="1"/>
  <c r="G993" i="7"/>
  <c r="N993" i="7" s="1"/>
  <c r="N992" i="7"/>
  <c r="M992" i="7"/>
  <c r="L992" i="7"/>
  <c r="J992" i="7"/>
  <c r="K992" i="7" s="1"/>
  <c r="O992" i="7" s="1"/>
  <c r="H992" i="7"/>
  <c r="I992" i="7" s="1"/>
  <c r="G992" i="7"/>
  <c r="M991" i="7"/>
  <c r="L991" i="7"/>
  <c r="J991" i="7"/>
  <c r="K991" i="7" s="1"/>
  <c r="O991" i="7" s="1"/>
  <c r="H991" i="7"/>
  <c r="I991" i="7" s="1"/>
  <c r="G991" i="7"/>
  <c r="N991" i="7" s="1"/>
  <c r="M990" i="7"/>
  <c r="L990" i="7"/>
  <c r="J990" i="7"/>
  <c r="K990" i="7" s="1"/>
  <c r="O990" i="7" s="1"/>
  <c r="H990" i="7"/>
  <c r="I990" i="7" s="1"/>
  <c r="G990" i="7"/>
  <c r="N990" i="7" s="1"/>
  <c r="M989" i="7"/>
  <c r="L989" i="7"/>
  <c r="J989" i="7"/>
  <c r="K989" i="7" s="1"/>
  <c r="O989" i="7" s="1"/>
  <c r="H989" i="7"/>
  <c r="I989" i="7" s="1"/>
  <c r="G989" i="7"/>
  <c r="N989" i="7" s="1"/>
  <c r="N988" i="7"/>
  <c r="M988" i="7"/>
  <c r="L988" i="7"/>
  <c r="J988" i="7"/>
  <c r="K988" i="7" s="1"/>
  <c r="O988" i="7" s="1"/>
  <c r="H988" i="7"/>
  <c r="I988" i="7" s="1"/>
  <c r="G988" i="7"/>
  <c r="M987" i="7"/>
  <c r="L987" i="7"/>
  <c r="J987" i="7"/>
  <c r="K987" i="7" s="1"/>
  <c r="O987" i="7" s="1"/>
  <c r="H987" i="7"/>
  <c r="I987" i="7" s="1"/>
  <c r="G987" i="7"/>
  <c r="N987" i="7" s="1"/>
  <c r="M986" i="7"/>
  <c r="L986" i="7"/>
  <c r="J986" i="7"/>
  <c r="K986" i="7" s="1"/>
  <c r="O986" i="7" s="1"/>
  <c r="H986" i="7"/>
  <c r="I986" i="7" s="1"/>
  <c r="G986" i="7"/>
  <c r="N986" i="7" s="1"/>
  <c r="M985" i="7"/>
  <c r="L985" i="7"/>
  <c r="J985" i="7"/>
  <c r="K985" i="7" s="1"/>
  <c r="O985" i="7" s="1"/>
  <c r="H985" i="7"/>
  <c r="I985" i="7" s="1"/>
  <c r="G985" i="7"/>
  <c r="N985" i="7" s="1"/>
  <c r="N984" i="7"/>
  <c r="M984" i="7"/>
  <c r="L984" i="7"/>
  <c r="J984" i="7"/>
  <c r="K984" i="7" s="1"/>
  <c r="O984" i="7" s="1"/>
  <c r="H984" i="7"/>
  <c r="I984" i="7" s="1"/>
  <c r="G984" i="7"/>
  <c r="M983" i="7"/>
  <c r="L983" i="7"/>
  <c r="J983" i="7"/>
  <c r="K983" i="7" s="1"/>
  <c r="O983" i="7" s="1"/>
  <c r="H983" i="7"/>
  <c r="I983" i="7" s="1"/>
  <c r="G983" i="7"/>
  <c r="N983" i="7" s="1"/>
  <c r="N982" i="7"/>
  <c r="M982" i="7"/>
  <c r="L982" i="7"/>
  <c r="J982" i="7"/>
  <c r="K982" i="7" s="1"/>
  <c r="O982" i="7" s="1"/>
  <c r="H982" i="7"/>
  <c r="I982" i="7" s="1"/>
  <c r="G982" i="7"/>
  <c r="M981" i="7"/>
  <c r="L981" i="7"/>
  <c r="J981" i="7"/>
  <c r="K981" i="7" s="1"/>
  <c r="O981" i="7" s="1"/>
  <c r="H981" i="7"/>
  <c r="I981" i="7" s="1"/>
  <c r="G981" i="7"/>
  <c r="N981" i="7" s="1"/>
  <c r="N980" i="7"/>
  <c r="M980" i="7"/>
  <c r="L980" i="7"/>
  <c r="J980" i="7"/>
  <c r="K980" i="7" s="1"/>
  <c r="O980" i="7" s="1"/>
  <c r="H980" i="7"/>
  <c r="I980" i="7" s="1"/>
  <c r="G980" i="7"/>
  <c r="M979" i="7"/>
  <c r="L979" i="7"/>
  <c r="J979" i="7"/>
  <c r="K979" i="7" s="1"/>
  <c r="O979" i="7" s="1"/>
  <c r="H979" i="7"/>
  <c r="I979" i="7" s="1"/>
  <c r="G979" i="7"/>
  <c r="N979" i="7" s="1"/>
  <c r="M978" i="7"/>
  <c r="L978" i="7"/>
  <c r="J978" i="7"/>
  <c r="K978" i="7" s="1"/>
  <c r="O978" i="7" s="1"/>
  <c r="H978" i="7"/>
  <c r="I978" i="7" s="1"/>
  <c r="G978" i="7"/>
  <c r="N978" i="7" s="1"/>
  <c r="M977" i="7"/>
  <c r="L977" i="7"/>
  <c r="J977" i="7"/>
  <c r="K977" i="7" s="1"/>
  <c r="O977" i="7" s="1"/>
  <c r="H977" i="7"/>
  <c r="I977" i="7" s="1"/>
  <c r="G977" i="7"/>
  <c r="N977" i="7" s="1"/>
  <c r="N976" i="7"/>
  <c r="M976" i="7"/>
  <c r="L976" i="7"/>
  <c r="J976" i="7"/>
  <c r="K976" i="7" s="1"/>
  <c r="O976" i="7" s="1"/>
  <c r="H976" i="7"/>
  <c r="I976" i="7" s="1"/>
  <c r="G976" i="7"/>
  <c r="M975" i="7"/>
  <c r="L975" i="7"/>
  <c r="J975" i="7"/>
  <c r="K975" i="7" s="1"/>
  <c r="O975" i="7" s="1"/>
  <c r="H975" i="7"/>
  <c r="I975" i="7" s="1"/>
  <c r="G975" i="7"/>
  <c r="N975" i="7" s="1"/>
  <c r="M974" i="7"/>
  <c r="L974" i="7"/>
  <c r="J974" i="7"/>
  <c r="K974" i="7" s="1"/>
  <c r="O974" i="7" s="1"/>
  <c r="H974" i="7"/>
  <c r="I974" i="7" s="1"/>
  <c r="G974" i="7"/>
  <c r="N974" i="7" s="1"/>
  <c r="M973" i="7"/>
  <c r="L973" i="7"/>
  <c r="J973" i="7"/>
  <c r="K973" i="7" s="1"/>
  <c r="O973" i="7" s="1"/>
  <c r="H973" i="7"/>
  <c r="I973" i="7" s="1"/>
  <c r="G973" i="7"/>
  <c r="N973" i="7" s="1"/>
  <c r="N972" i="7"/>
  <c r="M972" i="7"/>
  <c r="L972" i="7"/>
  <c r="J972" i="7"/>
  <c r="K972" i="7" s="1"/>
  <c r="O972" i="7" s="1"/>
  <c r="H972" i="7"/>
  <c r="I972" i="7" s="1"/>
  <c r="G972" i="7"/>
  <c r="M971" i="7"/>
  <c r="L971" i="7"/>
  <c r="J971" i="7"/>
  <c r="K971" i="7" s="1"/>
  <c r="O971" i="7" s="1"/>
  <c r="H971" i="7"/>
  <c r="I971" i="7" s="1"/>
  <c r="G971" i="7"/>
  <c r="N971" i="7" s="1"/>
  <c r="M970" i="7"/>
  <c r="L970" i="7"/>
  <c r="J970" i="7"/>
  <c r="K970" i="7" s="1"/>
  <c r="O970" i="7" s="1"/>
  <c r="H970" i="7"/>
  <c r="I970" i="7" s="1"/>
  <c r="G970" i="7"/>
  <c r="N970" i="7" s="1"/>
  <c r="M969" i="7"/>
  <c r="L969" i="7"/>
  <c r="J969" i="7"/>
  <c r="K969" i="7" s="1"/>
  <c r="O969" i="7" s="1"/>
  <c r="H969" i="7"/>
  <c r="I969" i="7" s="1"/>
  <c r="G969" i="7"/>
  <c r="N969" i="7" s="1"/>
  <c r="N968" i="7"/>
  <c r="M968" i="7"/>
  <c r="L968" i="7"/>
  <c r="J968" i="7"/>
  <c r="K968" i="7" s="1"/>
  <c r="O968" i="7" s="1"/>
  <c r="H968" i="7"/>
  <c r="I968" i="7" s="1"/>
  <c r="G968" i="7"/>
  <c r="M967" i="7"/>
  <c r="L967" i="7"/>
  <c r="J967" i="7"/>
  <c r="K967" i="7" s="1"/>
  <c r="O967" i="7" s="1"/>
  <c r="H967" i="7"/>
  <c r="I967" i="7" s="1"/>
  <c r="G967" i="7"/>
  <c r="N967" i="7" s="1"/>
  <c r="N966" i="7"/>
  <c r="M966" i="7"/>
  <c r="L966" i="7"/>
  <c r="J966" i="7"/>
  <c r="K966" i="7" s="1"/>
  <c r="O966" i="7" s="1"/>
  <c r="H966" i="7"/>
  <c r="I966" i="7" s="1"/>
  <c r="G966" i="7"/>
  <c r="M965" i="7"/>
  <c r="L965" i="7"/>
  <c r="J965" i="7"/>
  <c r="K965" i="7" s="1"/>
  <c r="O965" i="7" s="1"/>
  <c r="H965" i="7"/>
  <c r="I965" i="7" s="1"/>
  <c r="G965" i="7"/>
  <c r="N965" i="7" s="1"/>
  <c r="N964" i="7"/>
  <c r="M964" i="7"/>
  <c r="L964" i="7"/>
  <c r="J964" i="7"/>
  <c r="K964" i="7" s="1"/>
  <c r="O964" i="7" s="1"/>
  <c r="H964" i="7"/>
  <c r="I964" i="7" s="1"/>
  <c r="G964" i="7"/>
  <c r="M963" i="7"/>
  <c r="L963" i="7"/>
  <c r="J963" i="7"/>
  <c r="K963" i="7" s="1"/>
  <c r="O963" i="7" s="1"/>
  <c r="H963" i="7"/>
  <c r="I963" i="7" s="1"/>
  <c r="G963" i="7"/>
  <c r="N963" i="7" s="1"/>
  <c r="M962" i="7"/>
  <c r="L962" i="7"/>
  <c r="J962" i="7"/>
  <c r="K962" i="7" s="1"/>
  <c r="O962" i="7" s="1"/>
  <c r="H962" i="7"/>
  <c r="I962" i="7" s="1"/>
  <c r="G962" i="7"/>
  <c r="N962" i="7" s="1"/>
  <c r="M961" i="7"/>
  <c r="L961" i="7"/>
  <c r="J961" i="7"/>
  <c r="K961" i="7" s="1"/>
  <c r="O961" i="7" s="1"/>
  <c r="H961" i="7"/>
  <c r="I961" i="7" s="1"/>
  <c r="G961" i="7"/>
  <c r="N961" i="7" s="1"/>
  <c r="N960" i="7"/>
  <c r="M960" i="7"/>
  <c r="L960" i="7"/>
  <c r="J960" i="7"/>
  <c r="K960" i="7" s="1"/>
  <c r="O960" i="7" s="1"/>
  <c r="H960" i="7"/>
  <c r="I960" i="7" s="1"/>
  <c r="G960" i="7"/>
  <c r="M959" i="7"/>
  <c r="L959" i="7"/>
  <c r="J959" i="7"/>
  <c r="K959" i="7" s="1"/>
  <c r="O959" i="7" s="1"/>
  <c r="H959" i="7"/>
  <c r="I959" i="7" s="1"/>
  <c r="G959" i="7"/>
  <c r="N959" i="7" s="1"/>
  <c r="M958" i="7"/>
  <c r="L958" i="7"/>
  <c r="J958" i="7"/>
  <c r="K958" i="7" s="1"/>
  <c r="O958" i="7" s="1"/>
  <c r="H958" i="7"/>
  <c r="I958" i="7" s="1"/>
  <c r="G958" i="7"/>
  <c r="N958" i="7" s="1"/>
  <c r="M957" i="7"/>
  <c r="L957" i="7"/>
  <c r="J957" i="7"/>
  <c r="K957" i="7" s="1"/>
  <c r="O957" i="7" s="1"/>
  <c r="H957" i="7"/>
  <c r="I957" i="7" s="1"/>
  <c r="G957" i="7"/>
  <c r="N957" i="7" s="1"/>
  <c r="N956" i="7"/>
  <c r="M956" i="7"/>
  <c r="L956" i="7"/>
  <c r="J956" i="7"/>
  <c r="K956" i="7" s="1"/>
  <c r="O956" i="7" s="1"/>
  <c r="H956" i="7"/>
  <c r="I956" i="7" s="1"/>
  <c r="G956" i="7"/>
  <c r="M955" i="7"/>
  <c r="L955" i="7"/>
  <c r="J955" i="7"/>
  <c r="K955" i="7" s="1"/>
  <c r="O955" i="7" s="1"/>
  <c r="H955" i="7"/>
  <c r="I955" i="7" s="1"/>
  <c r="G955" i="7"/>
  <c r="N955" i="7" s="1"/>
  <c r="M954" i="7"/>
  <c r="L954" i="7"/>
  <c r="J954" i="7"/>
  <c r="K954" i="7" s="1"/>
  <c r="O954" i="7" s="1"/>
  <c r="H954" i="7"/>
  <c r="I954" i="7" s="1"/>
  <c r="G954" i="7"/>
  <c r="N954" i="7" s="1"/>
  <c r="M953" i="7"/>
  <c r="L953" i="7"/>
  <c r="J953" i="7"/>
  <c r="K953" i="7" s="1"/>
  <c r="O953" i="7" s="1"/>
  <c r="H953" i="7"/>
  <c r="I953" i="7" s="1"/>
  <c r="G953" i="7"/>
  <c r="N953" i="7" s="1"/>
  <c r="N952" i="7"/>
  <c r="M952" i="7"/>
  <c r="L952" i="7"/>
  <c r="J952" i="7"/>
  <c r="K952" i="7" s="1"/>
  <c r="O952" i="7" s="1"/>
  <c r="H952" i="7"/>
  <c r="I952" i="7" s="1"/>
  <c r="G952" i="7"/>
  <c r="M951" i="7"/>
  <c r="L951" i="7"/>
  <c r="J951" i="7"/>
  <c r="K951" i="7" s="1"/>
  <c r="O951" i="7" s="1"/>
  <c r="H951" i="7"/>
  <c r="I951" i="7" s="1"/>
  <c r="G951" i="7"/>
  <c r="N951" i="7" s="1"/>
  <c r="N950" i="7"/>
  <c r="M950" i="7"/>
  <c r="L950" i="7"/>
  <c r="J950" i="7"/>
  <c r="K950" i="7" s="1"/>
  <c r="O950" i="7" s="1"/>
  <c r="H950" i="7"/>
  <c r="I950" i="7" s="1"/>
  <c r="G950" i="7"/>
  <c r="M949" i="7"/>
  <c r="L949" i="7"/>
  <c r="J949" i="7"/>
  <c r="K949" i="7" s="1"/>
  <c r="O949" i="7" s="1"/>
  <c r="H949" i="7"/>
  <c r="I949" i="7" s="1"/>
  <c r="G949" i="7"/>
  <c r="N949" i="7" s="1"/>
  <c r="N948" i="7"/>
  <c r="M948" i="7"/>
  <c r="L948" i="7"/>
  <c r="J948" i="7"/>
  <c r="K948" i="7" s="1"/>
  <c r="O948" i="7" s="1"/>
  <c r="H948" i="7"/>
  <c r="I948" i="7" s="1"/>
  <c r="G948" i="7"/>
  <c r="M947" i="7"/>
  <c r="L947" i="7"/>
  <c r="J947" i="7"/>
  <c r="K947" i="7" s="1"/>
  <c r="O947" i="7" s="1"/>
  <c r="H947" i="7"/>
  <c r="I947" i="7" s="1"/>
  <c r="G947" i="7"/>
  <c r="N947" i="7" s="1"/>
  <c r="M946" i="7"/>
  <c r="L946" i="7"/>
  <c r="J946" i="7"/>
  <c r="K946" i="7" s="1"/>
  <c r="O946" i="7" s="1"/>
  <c r="H946" i="7"/>
  <c r="I946" i="7" s="1"/>
  <c r="G946" i="7"/>
  <c r="N946" i="7" s="1"/>
  <c r="M945" i="7"/>
  <c r="L945" i="7"/>
  <c r="J945" i="7"/>
  <c r="K945" i="7" s="1"/>
  <c r="O945" i="7" s="1"/>
  <c r="H945" i="7"/>
  <c r="I945" i="7" s="1"/>
  <c r="G945" i="7"/>
  <c r="N945" i="7" s="1"/>
  <c r="N944" i="7"/>
  <c r="M944" i="7"/>
  <c r="L944" i="7"/>
  <c r="J944" i="7"/>
  <c r="K944" i="7" s="1"/>
  <c r="O944" i="7" s="1"/>
  <c r="H944" i="7"/>
  <c r="I944" i="7" s="1"/>
  <c r="G944" i="7"/>
  <c r="M943" i="7"/>
  <c r="L943" i="7"/>
  <c r="J943" i="7"/>
  <c r="K943" i="7" s="1"/>
  <c r="O943" i="7" s="1"/>
  <c r="H943" i="7"/>
  <c r="I943" i="7" s="1"/>
  <c r="G943" i="7"/>
  <c r="N943" i="7" s="1"/>
  <c r="N942" i="7"/>
  <c r="M942" i="7"/>
  <c r="L942" i="7"/>
  <c r="J942" i="7"/>
  <c r="K942" i="7" s="1"/>
  <c r="O942" i="7" s="1"/>
  <c r="H942" i="7"/>
  <c r="I942" i="7" s="1"/>
  <c r="G942" i="7"/>
  <c r="N941" i="7"/>
  <c r="M941" i="7"/>
  <c r="L941" i="7"/>
  <c r="J941" i="7"/>
  <c r="K941" i="7" s="1"/>
  <c r="O941" i="7" s="1"/>
  <c r="H941" i="7"/>
  <c r="I941" i="7" s="1"/>
  <c r="G941" i="7"/>
  <c r="N940" i="7"/>
  <c r="M940" i="7"/>
  <c r="L940" i="7"/>
  <c r="J940" i="7"/>
  <c r="K940" i="7" s="1"/>
  <c r="O940" i="7" s="1"/>
  <c r="H940" i="7"/>
  <c r="I940" i="7" s="1"/>
  <c r="G940" i="7"/>
  <c r="M939" i="7"/>
  <c r="L939" i="7"/>
  <c r="J939" i="7"/>
  <c r="K939" i="7" s="1"/>
  <c r="O939" i="7" s="1"/>
  <c r="H939" i="7"/>
  <c r="I939" i="7" s="1"/>
  <c r="G939" i="7"/>
  <c r="N939" i="7" s="1"/>
  <c r="N938" i="7"/>
  <c r="M938" i="7"/>
  <c r="L938" i="7"/>
  <c r="J938" i="7"/>
  <c r="K938" i="7" s="1"/>
  <c r="O938" i="7" s="1"/>
  <c r="H938" i="7"/>
  <c r="I938" i="7" s="1"/>
  <c r="G938" i="7"/>
  <c r="N937" i="7"/>
  <c r="M937" i="7"/>
  <c r="L937" i="7"/>
  <c r="J937" i="7"/>
  <c r="K937" i="7" s="1"/>
  <c r="O937" i="7" s="1"/>
  <c r="H937" i="7"/>
  <c r="I937" i="7" s="1"/>
  <c r="G937" i="7"/>
  <c r="N936" i="7"/>
  <c r="M936" i="7"/>
  <c r="L936" i="7"/>
  <c r="J936" i="7"/>
  <c r="K936" i="7" s="1"/>
  <c r="O936" i="7" s="1"/>
  <c r="H936" i="7"/>
  <c r="I936" i="7" s="1"/>
  <c r="G936" i="7"/>
  <c r="M935" i="7"/>
  <c r="L935" i="7"/>
  <c r="J935" i="7"/>
  <c r="K935" i="7" s="1"/>
  <c r="O935" i="7" s="1"/>
  <c r="H935" i="7"/>
  <c r="I935" i="7" s="1"/>
  <c r="G935" i="7"/>
  <c r="N935" i="7" s="1"/>
  <c r="N934" i="7"/>
  <c r="M934" i="7"/>
  <c r="L934" i="7"/>
  <c r="J934" i="7"/>
  <c r="K934" i="7" s="1"/>
  <c r="O934" i="7" s="1"/>
  <c r="H934" i="7"/>
  <c r="I934" i="7" s="1"/>
  <c r="G934" i="7"/>
  <c r="N933" i="7"/>
  <c r="M933" i="7"/>
  <c r="L933" i="7"/>
  <c r="J933" i="7"/>
  <c r="K933" i="7" s="1"/>
  <c r="O933" i="7" s="1"/>
  <c r="H933" i="7"/>
  <c r="I933" i="7" s="1"/>
  <c r="G933" i="7"/>
  <c r="N932" i="7"/>
  <c r="M932" i="7"/>
  <c r="L932" i="7"/>
  <c r="J932" i="7"/>
  <c r="K932" i="7" s="1"/>
  <c r="O932" i="7" s="1"/>
  <c r="H932" i="7"/>
  <c r="I932" i="7" s="1"/>
  <c r="G932" i="7"/>
  <c r="M931" i="7"/>
  <c r="L931" i="7"/>
  <c r="J931" i="7"/>
  <c r="K931" i="7" s="1"/>
  <c r="O931" i="7" s="1"/>
  <c r="H931" i="7"/>
  <c r="I931" i="7" s="1"/>
  <c r="G931" i="7"/>
  <c r="N931" i="7" s="1"/>
  <c r="N930" i="7"/>
  <c r="M930" i="7"/>
  <c r="L930" i="7"/>
  <c r="J930" i="7"/>
  <c r="K930" i="7" s="1"/>
  <c r="O930" i="7" s="1"/>
  <c r="H930" i="7"/>
  <c r="I930" i="7" s="1"/>
  <c r="G930" i="7"/>
  <c r="N929" i="7"/>
  <c r="M929" i="7"/>
  <c r="L929" i="7"/>
  <c r="J929" i="7"/>
  <c r="K929" i="7" s="1"/>
  <c r="O929" i="7" s="1"/>
  <c r="H929" i="7"/>
  <c r="I929" i="7" s="1"/>
  <c r="G929" i="7"/>
  <c r="N928" i="7"/>
  <c r="M928" i="7"/>
  <c r="L928" i="7"/>
  <c r="J928" i="7"/>
  <c r="K928" i="7" s="1"/>
  <c r="O928" i="7" s="1"/>
  <c r="H928" i="7"/>
  <c r="I928" i="7" s="1"/>
  <c r="G928" i="7"/>
  <c r="M927" i="7"/>
  <c r="L927" i="7"/>
  <c r="J927" i="7"/>
  <c r="K927" i="7" s="1"/>
  <c r="O927" i="7" s="1"/>
  <c r="H927" i="7"/>
  <c r="I927" i="7" s="1"/>
  <c r="G927" i="7"/>
  <c r="N927" i="7" s="1"/>
  <c r="N926" i="7"/>
  <c r="M926" i="7"/>
  <c r="L926" i="7"/>
  <c r="J926" i="7"/>
  <c r="K926" i="7" s="1"/>
  <c r="O926" i="7" s="1"/>
  <c r="H926" i="7"/>
  <c r="I926" i="7" s="1"/>
  <c r="G926" i="7"/>
  <c r="N925" i="7"/>
  <c r="M925" i="7"/>
  <c r="L925" i="7"/>
  <c r="J925" i="7"/>
  <c r="K925" i="7" s="1"/>
  <c r="O925" i="7" s="1"/>
  <c r="H925" i="7"/>
  <c r="I925" i="7" s="1"/>
  <c r="G925" i="7"/>
  <c r="N924" i="7"/>
  <c r="M924" i="7"/>
  <c r="L924" i="7"/>
  <c r="J924" i="7"/>
  <c r="K924" i="7" s="1"/>
  <c r="O924" i="7" s="1"/>
  <c r="H924" i="7"/>
  <c r="I924" i="7" s="1"/>
  <c r="G924" i="7"/>
  <c r="M923" i="7"/>
  <c r="L923" i="7"/>
  <c r="J923" i="7"/>
  <c r="K923" i="7" s="1"/>
  <c r="O923" i="7" s="1"/>
  <c r="H923" i="7"/>
  <c r="I923" i="7" s="1"/>
  <c r="G923" i="7"/>
  <c r="N923" i="7" s="1"/>
  <c r="N922" i="7"/>
  <c r="M922" i="7"/>
  <c r="L922" i="7"/>
  <c r="J922" i="7"/>
  <c r="K922" i="7" s="1"/>
  <c r="O922" i="7" s="1"/>
  <c r="H922" i="7"/>
  <c r="I922" i="7" s="1"/>
  <c r="G922" i="7"/>
  <c r="N921" i="7"/>
  <c r="M921" i="7"/>
  <c r="L921" i="7"/>
  <c r="J921" i="7"/>
  <c r="K921" i="7" s="1"/>
  <c r="O921" i="7" s="1"/>
  <c r="H921" i="7"/>
  <c r="I921" i="7" s="1"/>
  <c r="G921" i="7"/>
  <c r="N920" i="7"/>
  <c r="M920" i="7"/>
  <c r="L920" i="7"/>
  <c r="J920" i="7"/>
  <c r="K920" i="7" s="1"/>
  <c r="O920" i="7" s="1"/>
  <c r="H920" i="7"/>
  <c r="I920" i="7" s="1"/>
  <c r="G920" i="7"/>
  <c r="M919" i="7"/>
  <c r="L919" i="7"/>
  <c r="J919" i="7"/>
  <c r="K919" i="7" s="1"/>
  <c r="O919" i="7" s="1"/>
  <c r="H919" i="7"/>
  <c r="I919" i="7" s="1"/>
  <c r="G919" i="7"/>
  <c r="N919" i="7" s="1"/>
  <c r="N918" i="7"/>
  <c r="M918" i="7"/>
  <c r="L918" i="7"/>
  <c r="J918" i="7"/>
  <c r="K918" i="7" s="1"/>
  <c r="O918" i="7" s="1"/>
  <c r="H918" i="7"/>
  <c r="I918" i="7" s="1"/>
  <c r="G918" i="7"/>
  <c r="N917" i="7"/>
  <c r="M917" i="7"/>
  <c r="L917" i="7"/>
  <c r="J917" i="7"/>
  <c r="K917" i="7" s="1"/>
  <c r="O917" i="7" s="1"/>
  <c r="H917" i="7"/>
  <c r="I917" i="7" s="1"/>
  <c r="G917" i="7"/>
  <c r="N916" i="7"/>
  <c r="M916" i="7"/>
  <c r="L916" i="7"/>
  <c r="J916" i="7"/>
  <c r="K916" i="7" s="1"/>
  <c r="O916" i="7" s="1"/>
  <c r="H916" i="7"/>
  <c r="I916" i="7" s="1"/>
  <c r="G916" i="7"/>
  <c r="M915" i="7"/>
  <c r="L915" i="7"/>
  <c r="J915" i="7"/>
  <c r="K915" i="7" s="1"/>
  <c r="O915" i="7" s="1"/>
  <c r="H915" i="7"/>
  <c r="I915" i="7" s="1"/>
  <c r="G915" i="7"/>
  <c r="N915" i="7" s="1"/>
  <c r="N914" i="7"/>
  <c r="M914" i="7"/>
  <c r="L914" i="7"/>
  <c r="J914" i="7"/>
  <c r="K914" i="7" s="1"/>
  <c r="O914" i="7" s="1"/>
  <c r="H914" i="7"/>
  <c r="I914" i="7" s="1"/>
  <c r="G914" i="7"/>
  <c r="M913" i="7"/>
  <c r="L913" i="7"/>
  <c r="J913" i="7"/>
  <c r="K913" i="7" s="1"/>
  <c r="O913" i="7" s="1"/>
  <c r="H913" i="7"/>
  <c r="I913" i="7" s="1"/>
  <c r="G913" i="7"/>
  <c r="N913" i="7" s="1"/>
  <c r="N912" i="7"/>
  <c r="M912" i="7"/>
  <c r="L912" i="7"/>
  <c r="J912" i="7"/>
  <c r="K912" i="7" s="1"/>
  <c r="O912" i="7" s="1"/>
  <c r="H912" i="7"/>
  <c r="I912" i="7" s="1"/>
  <c r="G912" i="7"/>
  <c r="M911" i="7"/>
  <c r="L911" i="7"/>
  <c r="J911" i="7"/>
  <c r="K911" i="7" s="1"/>
  <c r="O911" i="7" s="1"/>
  <c r="H911" i="7"/>
  <c r="I911" i="7" s="1"/>
  <c r="G911" i="7"/>
  <c r="N911" i="7" s="1"/>
  <c r="N910" i="7"/>
  <c r="M910" i="7"/>
  <c r="L910" i="7"/>
  <c r="J910" i="7"/>
  <c r="K910" i="7" s="1"/>
  <c r="O910" i="7" s="1"/>
  <c r="H910" i="7"/>
  <c r="I910" i="7" s="1"/>
  <c r="G910" i="7"/>
  <c r="M909" i="7"/>
  <c r="L909" i="7"/>
  <c r="J909" i="7"/>
  <c r="K909" i="7" s="1"/>
  <c r="O909" i="7" s="1"/>
  <c r="H909" i="7"/>
  <c r="I909" i="7" s="1"/>
  <c r="G909" i="7"/>
  <c r="N909" i="7" s="1"/>
  <c r="N908" i="7"/>
  <c r="M908" i="7"/>
  <c r="L908" i="7"/>
  <c r="J908" i="7"/>
  <c r="K908" i="7" s="1"/>
  <c r="O908" i="7" s="1"/>
  <c r="H908" i="7"/>
  <c r="I908" i="7" s="1"/>
  <c r="G908" i="7"/>
  <c r="M907" i="7"/>
  <c r="L907" i="7"/>
  <c r="J907" i="7"/>
  <c r="K907" i="7" s="1"/>
  <c r="O907" i="7" s="1"/>
  <c r="H907" i="7"/>
  <c r="I907" i="7" s="1"/>
  <c r="G907" i="7"/>
  <c r="N907" i="7" s="1"/>
  <c r="N906" i="7"/>
  <c r="M906" i="7"/>
  <c r="L906" i="7"/>
  <c r="J906" i="7"/>
  <c r="K906" i="7" s="1"/>
  <c r="O906" i="7" s="1"/>
  <c r="H906" i="7"/>
  <c r="I906" i="7" s="1"/>
  <c r="G906" i="7"/>
  <c r="M905" i="7"/>
  <c r="L905" i="7"/>
  <c r="J905" i="7"/>
  <c r="K905" i="7" s="1"/>
  <c r="O905" i="7" s="1"/>
  <c r="H905" i="7"/>
  <c r="I905" i="7" s="1"/>
  <c r="G905" i="7"/>
  <c r="N905" i="7" s="1"/>
  <c r="N904" i="7"/>
  <c r="M904" i="7"/>
  <c r="L904" i="7"/>
  <c r="J904" i="7"/>
  <c r="K904" i="7" s="1"/>
  <c r="O904" i="7" s="1"/>
  <c r="H904" i="7"/>
  <c r="I904" i="7" s="1"/>
  <c r="G904" i="7"/>
  <c r="N903" i="7"/>
  <c r="M903" i="7"/>
  <c r="L903" i="7"/>
  <c r="J903" i="7"/>
  <c r="K903" i="7" s="1"/>
  <c r="O903" i="7" s="1"/>
  <c r="H903" i="7"/>
  <c r="I903" i="7" s="1"/>
  <c r="G903" i="7"/>
  <c r="N902" i="7"/>
  <c r="M902" i="7"/>
  <c r="L902" i="7"/>
  <c r="J902" i="7"/>
  <c r="K902" i="7" s="1"/>
  <c r="O902" i="7" s="1"/>
  <c r="H902" i="7"/>
  <c r="I902" i="7" s="1"/>
  <c r="G902" i="7"/>
  <c r="M901" i="7"/>
  <c r="L901" i="7"/>
  <c r="J901" i="7"/>
  <c r="K901" i="7" s="1"/>
  <c r="O901" i="7" s="1"/>
  <c r="H901" i="7"/>
  <c r="I901" i="7" s="1"/>
  <c r="G901" i="7"/>
  <c r="N901" i="7" s="1"/>
  <c r="M900" i="7"/>
  <c r="L900" i="7"/>
  <c r="J900" i="7"/>
  <c r="K900" i="7" s="1"/>
  <c r="O900" i="7" s="1"/>
  <c r="H900" i="7"/>
  <c r="I900" i="7" s="1"/>
  <c r="G900" i="7"/>
  <c r="N900" i="7" s="1"/>
  <c r="N899" i="7"/>
  <c r="M899" i="7"/>
  <c r="L899" i="7"/>
  <c r="J899" i="7"/>
  <c r="K899" i="7" s="1"/>
  <c r="O899" i="7" s="1"/>
  <c r="H899" i="7"/>
  <c r="I899" i="7" s="1"/>
  <c r="G899" i="7"/>
  <c r="N898" i="7"/>
  <c r="M898" i="7"/>
  <c r="L898" i="7"/>
  <c r="J898" i="7"/>
  <c r="K898" i="7" s="1"/>
  <c r="O898" i="7" s="1"/>
  <c r="H898" i="7"/>
  <c r="I898" i="7" s="1"/>
  <c r="G898" i="7"/>
  <c r="M897" i="7"/>
  <c r="L897" i="7"/>
  <c r="J897" i="7"/>
  <c r="K897" i="7" s="1"/>
  <c r="O897" i="7" s="1"/>
  <c r="H897" i="7"/>
  <c r="I897" i="7" s="1"/>
  <c r="G897" i="7"/>
  <c r="N897" i="7" s="1"/>
  <c r="M896" i="7"/>
  <c r="L896" i="7"/>
  <c r="J896" i="7"/>
  <c r="K896" i="7" s="1"/>
  <c r="O896" i="7" s="1"/>
  <c r="H896" i="7"/>
  <c r="I896" i="7" s="1"/>
  <c r="G896" i="7"/>
  <c r="N896" i="7" s="1"/>
  <c r="N895" i="7"/>
  <c r="M895" i="7"/>
  <c r="L895" i="7"/>
  <c r="J895" i="7"/>
  <c r="K895" i="7" s="1"/>
  <c r="O895" i="7" s="1"/>
  <c r="H895" i="7"/>
  <c r="I895" i="7" s="1"/>
  <c r="G895" i="7"/>
  <c r="N894" i="7"/>
  <c r="M894" i="7"/>
  <c r="L894" i="7"/>
  <c r="J894" i="7"/>
  <c r="K894" i="7" s="1"/>
  <c r="O894" i="7" s="1"/>
  <c r="H894" i="7"/>
  <c r="I894" i="7" s="1"/>
  <c r="G894" i="7"/>
  <c r="M893" i="7"/>
  <c r="L893" i="7"/>
  <c r="J893" i="7"/>
  <c r="K893" i="7" s="1"/>
  <c r="O893" i="7" s="1"/>
  <c r="H893" i="7"/>
  <c r="I893" i="7" s="1"/>
  <c r="G893" i="7"/>
  <c r="N893" i="7" s="1"/>
  <c r="M892" i="7"/>
  <c r="L892" i="7"/>
  <c r="J892" i="7"/>
  <c r="K892" i="7" s="1"/>
  <c r="O892" i="7" s="1"/>
  <c r="H892" i="7"/>
  <c r="I892" i="7" s="1"/>
  <c r="G892" i="7"/>
  <c r="N892" i="7" s="1"/>
  <c r="N891" i="7"/>
  <c r="M891" i="7"/>
  <c r="L891" i="7"/>
  <c r="J891" i="7"/>
  <c r="K891" i="7" s="1"/>
  <c r="O891" i="7" s="1"/>
  <c r="H891" i="7"/>
  <c r="I891" i="7" s="1"/>
  <c r="G891" i="7"/>
  <c r="N890" i="7"/>
  <c r="M890" i="7"/>
  <c r="L890" i="7"/>
  <c r="J890" i="7"/>
  <c r="K890" i="7" s="1"/>
  <c r="O890" i="7" s="1"/>
  <c r="H890" i="7"/>
  <c r="I890" i="7" s="1"/>
  <c r="G890" i="7"/>
  <c r="M889" i="7"/>
  <c r="L889" i="7"/>
  <c r="J889" i="7"/>
  <c r="K889" i="7" s="1"/>
  <c r="O889" i="7" s="1"/>
  <c r="H889" i="7"/>
  <c r="I889" i="7" s="1"/>
  <c r="G889" i="7"/>
  <c r="N889" i="7" s="1"/>
  <c r="M888" i="7"/>
  <c r="L888" i="7"/>
  <c r="J888" i="7"/>
  <c r="K888" i="7" s="1"/>
  <c r="O888" i="7" s="1"/>
  <c r="H888" i="7"/>
  <c r="I888" i="7" s="1"/>
  <c r="G888" i="7"/>
  <c r="N888" i="7" s="1"/>
  <c r="N887" i="7"/>
  <c r="M887" i="7"/>
  <c r="L887" i="7"/>
  <c r="J887" i="7"/>
  <c r="K887" i="7" s="1"/>
  <c r="O887" i="7" s="1"/>
  <c r="H887" i="7"/>
  <c r="I887" i="7" s="1"/>
  <c r="G887" i="7"/>
  <c r="N886" i="7"/>
  <c r="M886" i="7"/>
  <c r="L886" i="7"/>
  <c r="J886" i="7"/>
  <c r="K886" i="7" s="1"/>
  <c r="O886" i="7" s="1"/>
  <c r="H886" i="7"/>
  <c r="I886" i="7" s="1"/>
  <c r="G886" i="7"/>
  <c r="M885" i="7"/>
  <c r="L885" i="7"/>
  <c r="J885" i="7"/>
  <c r="K885" i="7" s="1"/>
  <c r="O885" i="7" s="1"/>
  <c r="H885" i="7"/>
  <c r="I885" i="7" s="1"/>
  <c r="G885" i="7"/>
  <c r="N885" i="7" s="1"/>
  <c r="M884" i="7"/>
  <c r="L884" i="7"/>
  <c r="J884" i="7"/>
  <c r="K884" i="7" s="1"/>
  <c r="O884" i="7" s="1"/>
  <c r="H884" i="7"/>
  <c r="I884" i="7" s="1"/>
  <c r="G884" i="7"/>
  <c r="N884" i="7" s="1"/>
  <c r="N883" i="7"/>
  <c r="M883" i="7"/>
  <c r="L883" i="7"/>
  <c r="J883" i="7"/>
  <c r="K883" i="7" s="1"/>
  <c r="O883" i="7" s="1"/>
  <c r="H883" i="7"/>
  <c r="I883" i="7" s="1"/>
  <c r="G883" i="7"/>
  <c r="N882" i="7"/>
  <c r="M882" i="7"/>
  <c r="L882" i="7"/>
  <c r="J882" i="7"/>
  <c r="K882" i="7" s="1"/>
  <c r="O882" i="7" s="1"/>
  <c r="H882" i="7"/>
  <c r="I882" i="7" s="1"/>
  <c r="G882" i="7"/>
  <c r="M881" i="7"/>
  <c r="L881" i="7"/>
  <c r="J881" i="7"/>
  <c r="K881" i="7" s="1"/>
  <c r="O881" i="7" s="1"/>
  <c r="H881" i="7"/>
  <c r="I881" i="7" s="1"/>
  <c r="G881" i="7"/>
  <c r="N881" i="7" s="1"/>
  <c r="M880" i="7"/>
  <c r="L880" i="7"/>
  <c r="J880" i="7"/>
  <c r="K880" i="7" s="1"/>
  <c r="O880" i="7" s="1"/>
  <c r="H880" i="7"/>
  <c r="I880" i="7" s="1"/>
  <c r="G880" i="7"/>
  <c r="N880" i="7" s="1"/>
  <c r="N879" i="7"/>
  <c r="M879" i="7"/>
  <c r="L879" i="7"/>
  <c r="J879" i="7"/>
  <c r="K879" i="7" s="1"/>
  <c r="O879" i="7" s="1"/>
  <c r="H879" i="7"/>
  <c r="I879" i="7" s="1"/>
  <c r="G879" i="7"/>
  <c r="N878" i="7"/>
  <c r="M878" i="7"/>
  <c r="L878" i="7"/>
  <c r="J878" i="7"/>
  <c r="K878" i="7" s="1"/>
  <c r="O878" i="7" s="1"/>
  <c r="H878" i="7"/>
  <c r="I878" i="7" s="1"/>
  <c r="G878" i="7"/>
  <c r="M877" i="7"/>
  <c r="L877" i="7"/>
  <c r="J877" i="7"/>
  <c r="K877" i="7" s="1"/>
  <c r="O877" i="7" s="1"/>
  <c r="H877" i="7"/>
  <c r="I877" i="7" s="1"/>
  <c r="G877" i="7"/>
  <c r="N877" i="7" s="1"/>
  <c r="M876" i="7"/>
  <c r="L876" i="7"/>
  <c r="J876" i="7"/>
  <c r="K876" i="7" s="1"/>
  <c r="O876" i="7" s="1"/>
  <c r="H876" i="7"/>
  <c r="I876" i="7" s="1"/>
  <c r="G876" i="7"/>
  <c r="N876" i="7" s="1"/>
  <c r="N875" i="7"/>
  <c r="M875" i="7"/>
  <c r="L875" i="7"/>
  <c r="J875" i="7"/>
  <c r="K875" i="7" s="1"/>
  <c r="O875" i="7" s="1"/>
  <c r="H875" i="7"/>
  <c r="I875" i="7" s="1"/>
  <c r="G875" i="7"/>
  <c r="N874" i="7"/>
  <c r="M874" i="7"/>
  <c r="L874" i="7"/>
  <c r="J874" i="7"/>
  <c r="K874" i="7" s="1"/>
  <c r="O874" i="7" s="1"/>
  <c r="H874" i="7"/>
  <c r="I874" i="7" s="1"/>
  <c r="G874" i="7"/>
  <c r="M873" i="7"/>
  <c r="L873" i="7"/>
  <c r="J873" i="7"/>
  <c r="K873" i="7" s="1"/>
  <c r="O873" i="7" s="1"/>
  <c r="H873" i="7"/>
  <c r="I873" i="7" s="1"/>
  <c r="G873" i="7"/>
  <c r="N873" i="7" s="1"/>
  <c r="M872" i="7"/>
  <c r="L872" i="7"/>
  <c r="J872" i="7"/>
  <c r="K872" i="7" s="1"/>
  <c r="O872" i="7" s="1"/>
  <c r="H872" i="7"/>
  <c r="I872" i="7" s="1"/>
  <c r="G872" i="7"/>
  <c r="N872" i="7" s="1"/>
  <c r="N871" i="7"/>
  <c r="M871" i="7"/>
  <c r="L871" i="7"/>
  <c r="J871" i="7"/>
  <c r="K871" i="7" s="1"/>
  <c r="O871" i="7" s="1"/>
  <c r="H871" i="7"/>
  <c r="I871" i="7" s="1"/>
  <c r="G871" i="7"/>
  <c r="N870" i="7"/>
  <c r="M870" i="7"/>
  <c r="L870" i="7"/>
  <c r="J870" i="7"/>
  <c r="K870" i="7" s="1"/>
  <c r="O870" i="7" s="1"/>
  <c r="H870" i="7"/>
  <c r="I870" i="7" s="1"/>
  <c r="G870" i="7"/>
  <c r="M869" i="7"/>
  <c r="L869" i="7"/>
  <c r="J869" i="7"/>
  <c r="K869" i="7" s="1"/>
  <c r="O869" i="7" s="1"/>
  <c r="H869" i="7"/>
  <c r="I869" i="7" s="1"/>
  <c r="G869" i="7"/>
  <c r="N869" i="7" s="1"/>
  <c r="M868" i="7"/>
  <c r="L868" i="7"/>
  <c r="J868" i="7"/>
  <c r="K868" i="7" s="1"/>
  <c r="O868" i="7" s="1"/>
  <c r="H868" i="7"/>
  <c r="I868" i="7" s="1"/>
  <c r="G868" i="7"/>
  <c r="N868" i="7" s="1"/>
  <c r="N867" i="7"/>
  <c r="M867" i="7"/>
  <c r="L867" i="7"/>
  <c r="J867" i="7"/>
  <c r="K867" i="7" s="1"/>
  <c r="O867" i="7" s="1"/>
  <c r="H867" i="7"/>
  <c r="I867" i="7" s="1"/>
  <c r="G867" i="7"/>
  <c r="N866" i="7"/>
  <c r="M866" i="7"/>
  <c r="L866" i="7"/>
  <c r="J866" i="7"/>
  <c r="K866" i="7" s="1"/>
  <c r="O866" i="7" s="1"/>
  <c r="H866" i="7"/>
  <c r="I866" i="7" s="1"/>
  <c r="G866" i="7"/>
  <c r="M865" i="7"/>
  <c r="L865" i="7"/>
  <c r="J865" i="7"/>
  <c r="K865" i="7" s="1"/>
  <c r="O865" i="7" s="1"/>
  <c r="H865" i="7"/>
  <c r="I865" i="7" s="1"/>
  <c r="G865" i="7"/>
  <c r="N865" i="7" s="1"/>
  <c r="M864" i="7"/>
  <c r="L864" i="7"/>
  <c r="J864" i="7"/>
  <c r="K864" i="7" s="1"/>
  <c r="O864" i="7" s="1"/>
  <c r="H864" i="7"/>
  <c r="I864" i="7" s="1"/>
  <c r="G864" i="7"/>
  <c r="N864" i="7" s="1"/>
  <c r="N863" i="7"/>
  <c r="M863" i="7"/>
  <c r="L863" i="7"/>
  <c r="J863" i="7"/>
  <c r="K863" i="7" s="1"/>
  <c r="O863" i="7" s="1"/>
  <c r="H863" i="7"/>
  <c r="I863" i="7" s="1"/>
  <c r="G863" i="7"/>
  <c r="N862" i="7"/>
  <c r="M862" i="7"/>
  <c r="L862" i="7"/>
  <c r="J862" i="7"/>
  <c r="K862" i="7" s="1"/>
  <c r="O862" i="7" s="1"/>
  <c r="H862" i="7"/>
  <c r="I862" i="7" s="1"/>
  <c r="G862" i="7"/>
  <c r="M861" i="7"/>
  <c r="L861" i="7"/>
  <c r="J861" i="7"/>
  <c r="K861" i="7" s="1"/>
  <c r="O861" i="7" s="1"/>
  <c r="H861" i="7"/>
  <c r="I861" i="7" s="1"/>
  <c r="G861" i="7"/>
  <c r="N861" i="7" s="1"/>
  <c r="M860" i="7"/>
  <c r="L860" i="7"/>
  <c r="J860" i="7"/>
  <c r="K860" i="7" s="1"/>
  <c r="O860" i="7" s="1"/>
  <c r="H860" i="7"/>
  <c r="I860" i="7" s="1"/>
  <c r="G860" i="7"/>
  <c r="N860" i="7" s="1"/>
  <c r="N859" i="7"/>
  <c r="M859" i="7"/>
  <c r="L859" i="7"/>
  <c r="J859" i="7"/>
  <c r="K859" i="7" s="1"/>
  <c r="O859" i="7" s="1"/>
  <c r="H859" i="7"/>
  <c r="I859" i="7" s="1"/>
  <c r="G859" i="7"/>
  <c r="N858" i="7"/>
  <c r="M858" i="7"/>
  <c r="L858" i="7"/>
  <c r="J858" i="7"/>
  <c r="K858" i="7" s="1"/>
  <c r="O858" i="7" s="1"/>
  <c r="H858" i="7"/>
  <c r="I858" i="7" s="1"/>
  <c r="G858" i="7"/>
  <c r="M857" i="7"/>
  <c r="L857" i="7"/>
  <c r="J857" i="7"/>
  <c r="K857" i="7" s="1"/>
  <c r="O857" i="7" s="1"/>
  <c r="H857" i="7"/>
  <c r="I857" i="7" s="1"/>
  <c r="G857" i="7"/>
  <c r="N857" i="7" s="1"/>
  <c r="M856" i="7"/>
  <c r="L856" i="7"/>
  <c r="J856" i="7"/>
  <c r="K856" i="7" s="1"/>
  <c r="O856" i="7" s="1"/>
  <c r="H856" i="7"/>
  <c r="I856" i="7" s="1"/>
  <c r="G856" i="7"/>
  <c r="N856" i="7" s="1"/>
  <c r="N855" i="7"/>
  <c r="M855" i="7"/>
  <c r="L855" i="7"/>
  <c r="J855" i="7"/>
  <c r="K855" i="7" s="1"/>
  <c r="O855" i="7" s="1"/>
  <c r="H855" i="7"/>
  <c r="I855" i="7" s="1"/>
  <c r="G855" i="7"/>
  <c r="N854" i="7"/>
  <c r="M854" i="7"/>
  <c r="L854" i="7"/>
  <c r="J854" i="7"/>
  <c r="K854" i="7" s="1"/>
  <c r="O854" i="7" s="1"/>
  <c r="H854" i="7"/>
  <c r="I854" i="7" s="1"/>
  <c r="G854" i="7"/>
  <c r="M853" i="7"/>
  <c r="L853" i="7"/>
  <c r="J853" i="7"/>
  <c r="K853" i="7" s="1"/>
  <c r="O853" i="7" s="1"/>
  <c r="H853" i="7"/>
  <c r="I853" i="7" s="1"/>
  <c r="G853" i="7"/>
  <c r="N853" i="7" s="1"/>
  <c r="M852" i="7"/>
  <c r="L852" i="7"/>
  <c r="J852" i="7"/>
  <c r="K852" i="7" s="1"/>
  <c r="O852" i="7" s="1"/>
  <c r="H852" i="7"/>
  <c r="I852" i="7" s="1"/>
  <c r="G852" i="7"/>
  <c r="N852" i="7" s="1"/>
  <c r="N851" i="7"/>
  <c r="M851" i="7"/>
  <c r="L851" i="7"/>
  <c r="J851" i="7"/>
  <c r="K851" i="7" s="1"/>
  <c r="O851" i="7" s="1"/>
  <c r="H851" i="7"/>
  <c r="I851" i="7" s="1"/>
  <c r="G851" i="7"/>
  <c r="N850" i="7"/>
  <c r="M850" i="7"/>
  <c r="L850" i="7"/>
  <c r="J850" i="7"/>
  <c r="K850" i="7" s="1"/>
  <c r="O850" i="7" s="1"/>
  <c r="H850" i="7"/>
  <c r="I850" i="7" s="1"/>
  <c r="G850" i="7"/>
  <c r="M849" i="7"/>
  <c r="L849" i="7"/>
  <c r="J849" i="7"/>
  <c r="K849" i="7" s="1"/>
  <c r="O849" i="7" s="1"/>
  <c r="H849" i="7"/>
  <c r="I849" i="7" s="1"/>
  <c r="G849" i="7"/>
  <c r="N849" i="7" s="1"/>
  <c r="M848" i="7"/>
  <c r="L848" i="7"/>
  <c r="J848" i="7"/>
  <c r="K848" i="7" s="1"/>
  <c r="O848" i="7" s="1"/>
  <c r="H848" i="7"/>
  <c r="I848" i="7" s="1"/>
  <c r="G848" i="7"/>
  <c r="N848" i="7" s="1"/>
  <c r="N847" i="7"/>
  <c r="M847" i="7"/>
  <c r="L847" i="7"/>
  <c r="J847" i="7"/>
  <c r="K847" i="7" s="1"/>
  <c r="O847" i="7" s="1"/>
  <c r="H847" i="7"/>
  <c r="I847" i="7" s="1"/>
  <c r="G847" i="7"/>
  <c r="N846" i="7"/>
  <c r="M846" i="7"/>
  <c r="L846" i="7"/>
  <c r="J846" i="7"/>
  <c r="K846" i="7" s="1"/>
  <c r="O846" i="7" s="1"/>
  <c r="H846" i="7"/>
  <c r="I846" i="7" s="1"/>
  <c r="G846" i="7"/>
  <c r="M845" i="7"/>
  <c r="L845" i="7"/>
  <c r="K845" i="7"/>
  <c r="O845" i="7" s="1"/>
  <c r="J845" i="7"/>
  <c r="H845" i="7"/>
  <c r="I845" i="7" s="1"/>
  <c r="G845" i="7"/>
  <c r="N845" i="7" s="1"/>
  <c r="M844" i="7"/>
  <c r="L844" i="7"/>
  <c r="J844" i="7"/>
  <c r="K844" i="7" s="1"/>
  <c r="O844" i="7" s="1"/>
  <c r="H844" i="7"/>
  <c r="I844" i="7" s="1"/>
  <c r="G844" i="7"/>
  <c r="N844" i="7" s="1"/>
  <c r="N843" i="7"/>
  <c r="M843" i="7"/>
  <c r="L843" i="7"/>
  <c r="J843" i="7"/>
  <c r="K843" i="7" s="1"/>
  <c r="O843" i="7" s="1"/>
  <c r="H843" i="7"/>
  <c r="I843" i="7" s="1"/>
  <c r="G843" i="7"/>
  <c r="N842" i="7"/>
  <c r="M842" i="7"/>
  <c r="L842" i="7"/>
  <c r="J842" i="7"/>
  <c r="K842" i="7" s="1"/>
  <c r="O842" i="7" s="1"/>
  <c r="H842" i="7"/>
  <c r="I842" i="7" s="1"/>
  <c r="G842" i="7"/>
  <c r="M841" i="7"/>
  <c r="L841" i="7"/>
  <c r="J841" i="7"/>
  <c r="K841" i="7" s="1"/>
  <c r="O841" i="7" s="1"/>
  <c r="H841" i="7"/>
  <c r="I841" i="7" s="1"/>
  <c r="G841" i="7"/>
  <c r="N841" i="7" s="1"/>
  <c r="M840" i="7"/>
  <c r="L840" i="7"/>
  <c r="J840" i="7"/>
  <c r="K840" i="7" s="1"/>
  <c r="O840" i="7" s="1"/>
  <c r="H840" i="7"/>
  <c r="I840" i="7" s="1"/>
  <c r="G840" i="7"/>
  <c r="N840" i="7" s="1"/>
  <c r="N839" i="7"/>
  <c r="M839" i="7"/>
  <c r="L839" i="7"/>
  <c r="J839" i="7"/>
  <c r="K839" i="7" s="1"/>
  <c r="O839" i="7" s="1"/>
  <c r="H839" i="7"/>
  <c r="I839" i="7" s="1"/>
  <c r="G839" i="7"/>
  <c r="N838" i="7"/>
  <c r="M838" i="7"/>
  <c r="L838" i="7"/>
  <c r="J838" i="7"/>
  <c r="K838" i="7" s="1"/>
  <c r="O838" i="7" s="1"/>
  <c r="H838" i="7"/>
  <c r="I838" i="7" s="1"/>
  <c r="G838" i="7"/>
  <c r="M837" i="7"/>
  <c r="L837" i="7"/>
  <c r="J837" i="7"/>
  <c r="K837" i="7" s="1"/>
  <c r="O837" i="7" s="1"/>
  <c r="H837" i="7"/>
  <c r="I837" i="7" s="1"/>
  <c r="G837" i="7"/>
  <c r="N837" i="7" s="1"/>
  <c r="M836" i="7"/>
  <c r="L836" i="7"/>
  <c r="J836" i="7"/>
  <c r="K836" i="7" s="1"/>
  <c r="O836" i="7" s="1"/>
  <c r="H836" i="7"/>
  <c r="I836" i="7" s="1"/>
  <c r="G836" i="7"/>
  <c r="N836" i="7" s="1"/>
  <c r="N835" i="7"/>
  <c r="M835" i="7"/>
  <c r="L835" i="7"/>
  <c r="J835" i="7"/>
  <c r="K835" i="7" s="1"/>
  <c r="O835" i="7" s="1"/>
  <c r="H835" i="7"/>
  <c r="I835" i="7" s="1"/>
  <c r="G835" i="7"/>
  <c r="N834" i="7"/>
  <c r="M834" i="7"/>
  <c r="L834" i="7"/>
  <c r="J834" i="7"/>
  <c r="K834" i="7" s="1"/>
  <c r="O834" i="7" s="1"/>
  <c r="H834" i="7"/>
  <c r="I834" i="7" s="1"/>
  <c r="G834" i="7"/>
  <c r="M833" i="7"/>
  <c r="L833" i="7"/>
  <c r="J833" i="7"/>
  <c r="K833" i="7" s="1"/>
  <c r="O833" i="7" s="1"/>
  <c r="H833" i="7"/>
  <c r="I833" i="7" s="1"/>
  <c r="G833" i="7"/>
  <c r="N833" i="7" s="1"/>
  <c r="M832" i="7"/>
  <c r="L832" i="7"/>
  <c r="J832" i="7"/>
  <c r="K832" i="7" s="1"/>
  <c r="O832" i="7" s="1"/>
  <c r="H832" i="7"/>
  <c r="I832" i="7" s="1"/>
  <c r="G832" i="7"/>
  <c r="N832" i="7" s="1"/>
  <c r="N831" i="7"/>
  <c r="M831" i="7"/>
  <c r="L831" i="7"/>
  <c r="J831" i="7"/>
  <c r="K831" i="7" s="1"/>
  <c r="O831" i="7" s="1"/>
  <c r="H831" i="7"/>
  <c r="I831" i="7" s="1"/>
  <c r="G831" i="7"/>
  <c r="N830" i="7"/>
  <c r="M830" i="7"/>
  <c r="L830" i="7"/>
  <c r="J830" i="7"/>
  <c r="K830" i="7" s="1"/>
  <c r="O830" i="7" s="1"/>
  <c r="H830" i="7"/>
  <c r="I830" i="7" s="1"/>
  <c r="G830" i="7"/>
  <c r="M829" i="7"/>
  <c r="L829" i="7"/>
  <c r="J829" i="7"/>
  <c r="K829" i="7" s="1"/>
  <c r="O829" i="7" s="1"/>
  <c r="H829" i="7"/>
  <c r="I829" i="7" s="1"/>
  <c r="G829" i="7"/>
  <c r="N829" i="7" s="1"/>
  <c r="M828" i="7"/>
  <c r="L828" i="7"/>
  <c r="J828" i="7"/>
  <c r="K828" i="7" s="1"/>
  <c r="O828" i="7" s="1"/>
  <c r="H828" i="7"/>
  <c r="I828" i="7" s="1"/>
  <c r="G828" i="7"/>
  <c r="N828" i="7" s="1"/>
  <c r="N827" i="7"/>
  <c r="M827" i="7"/>
  <c r="L827" i="7"/>
  <c r="J827" i="7"/>
  <c r="K827" i="7" s="1"/>
  <c r="O827" i="7" s="1"/>
  <c r="H827" i="7"/>
  <c r="I827" i="7" s="1"/>
  <c r="G827" i="7"/>
  <c r="N826" i="7"/>
  <c r="M826" i="7"/>
  <c r="L826" i="7"/>
  <c r="J826" i="7"/>
  <c r="K826" i="7" s="1"/>
  <c r="O826" i="7" s="1"/>
  <c r="H826" i="7"/>
  <c r="I826" i="7" s="1"/>
  <c r="G826" i="7"/>
  <c r="M825" i="7"/>
  <c r="L825" i="7"/>
  <c r="J825" i="7"/>
  <c r="K825" i="7" s="1"/>
  <c r="O825" i="7" s="1"/>
  <c r="H825" i="7"/>
  <c r="I825" i="7" s="1"/>
  <c r="G825" i="7"/>
  <c r="N825" i="7" s="1"/>
  <c r="M824" i="7"/>
  <c r="L824" i="7"/>
  <c r="J824" i="7"/>
  <c r="K824" i="7" s="1"/>
  <c r="O824" i="7" s="1"/>
  <c r="H824" i="7"/>
  <c r="I824" i="7" s="1"/>
  <c r="G824" i="7"/>
  <c r="N824" i="7" s="1"/>
  <c r="N823" i="7"/>
  <c r="M823" i="7"/>
  <c r="L823" i="7"/>
  <c r="J823" i="7"/>
  <c r="K823" i="7" s="1"/>
  <c r="O823" i="7" s="1"/>
  <c r="H823" i="7"/>
  <c r="I823" i="7" s="1"/>
  <c r="G823" i="7"/>
  <c r="N822" i="7"/>
  <c r="M822" i="7"/>
  <c r="L822" i="7"/>
  <c r="J822" i="7"/>
  <c r="K822" i="7" s="1"/>
  <c r="O822" i="7" s="1"/>
  <c r="H822" i="7"/>
  <c r="I822" i="7" s="1"/>
  <c r="G822" i="7"/>
  <c r="M821" i="7"/>
  <c r="L821" i="7"/>
  <c r="J821" i="7"/>
  <c r="K821" i="7" s="1"/>
  <c r="O821" i="7" s="1"/>
  <c r="H821" i="7"/>
  <c r="I821" i="7" s="1"/>
  <c r="G821" i="7"/>
  <c r="N821" i="7" s="1"/>
  <c r="M820" i="7"/>
  <c r="L820" i="7"/>
  <c r="J820" i="7"/>
  <c r="K820" i="7" s="1"/>
  <c r="O820" i="7" s="1"/>
  <c r="H820" i="7"/>
  <c r="I820" i="7" s="1"/>
  <c r="G820" i="7"/>
  <c r="N820" i="7" s="1"/>
  <c r="N819" i="7"/>
  <c r="M819" i="7"/>
  <c r="L819" i="7"/>
  <c r="J819" i="7"/>
  <c r="K819" i="7" s="1"/>
  <c r="O819" i="7" s="1"/>
  <c r="H819" i="7"/>
  <c r="I819" i="7" s="1"/>
  <c r="G819" i="7"/>
  <c r="N818" i="7"/>
  <c r="M818" i="7"/>
  <c r="L818" i="7"/>
  <c r="J818" i="7"/>
  <c r="K818" i="7" s="1"/>
  <c r="O818" i="7" s="1"/>
  <c r="H818" i="7"/>
  <c r="I818" i="7" s="1"/>
  <c r="G818" i="7"/>
  <c r="M817" i="7"/>
  <c r="L817" i="7"/>
  <c r="J817" i="7"/>
  <c r="K817" i="7" s="1"/>
  <c r="O817" i="7" s="1"/>
  <c r="H817" i="7"/>
  <c r="I817" i="7" s="1"/>
  <c r="G817" i="7"/>
  <c r="N817" i="7" s="1"/>
  <c r="M816" i="7"/>
  <c r="L816" i="7"/>
  <c r="J816" i="7"/>
  <c r="K816" i="7" s="1"/>
  <c r="O816" i="7" s="1"/>
  <c r="H816" i="7"/>
  <c r="I816" i="7" s="1"/>
  <c r="G816" i="7"/>
  <c r="N816" i="7" s="1"/>
  <c r="N815" i="7"/>
  <c r="M815" i="7"/>
  <c r="L815" i="7"/>
  <c r="J815" i="7"/>
  <c r="K815" i="7" s="1"/>
  <c r="O815" i="7" s="1"/>
  <c r="H815" i="7"/>
  <c r="I815" i="7" s="1"/>
  <c r="G815" i="7"/>
  <c r="N814" i="7"/>
  <c r="M814" i="7"/>
  <c r="L814" i="7"/>
  <c r="J814" i="7"/>
  <c r="K814" i="7" s="1"/>
  <c r="O814" i="7" s="1"/>
  <c r="H814" i="7"/>
  <c r="I814" i="7" s="1"/>
  <c r="G814" i="7"/>
  <c r="M813" i="7"/>
  <c r="L813" i="7"/>
  <c r="J813" i="7"/>
  <c r="K813" i="7" s="1"/>
  <c r="O813" i="7" s="1"/>
  <c r="H813" i="7"/>
  <c r="I813" i="7" s="1"/>
  <c r="G813" i="7"/>
  <c r="N813" i="7" s="1"/>
  <c r="M812" i="7"/>
  <c r="L812" i="7"/>
  <c r="J812" i="7"/>
  <c r="K812" i="7" s="1"/>
  <c r="O812" i="7" s="1"/>
  <c r="H812" i="7"/>
  <c r="I812" i="7" s="1"/>
  <c r="G812" i="7"/>
  <c r="N812" i="7" s="1"/>
  <c r="N811" i="7"/>
  <c r="M811" i="7"/>
  <c r="L811" i="7"/>
  <c r="J811" i="7"/>
  <c r="K811" i="7" s="1"/>
  <c r="O811" i="7" s="1"/>
  <c r="H811" i="7"/>
  <c r="I811" i="7" s="1"/>
  <c r="G811" i="7"/>
  <c r="N810" i="7"/>
  <c r="M810" i="7"/>
  <c r="L810" i="7"/>
  <c r="J810" i="7"/>
  <c r="K810" i="7" s="1"/>
  <c r="O810" i="7" s="1"/>
  <c r="H810" i="7"/>
  <c r="I810" i="7" s="1"/>
  <c r="G810" i="7"/>
  <c r="M809" i="7"/>
  <c r="L809" i="7"/>
  <c r="J809" i="7"/>
  <c r="K809" i="7" s="1"/>
  <c r="O809" i="7" s="1"/>
  <c r="H809" i="7"/>
  <c r="I809" i="7" s="1"/>
  <c r="G809" i="7"/>
  <c r="N809" i="7" s="1"/>
  <c r="M808" i="7"/>
  <c r="L808" i="7"/>
  <c r="J808" i="7"/>
  <c r="K808" i="7" s="1"/>
  <c r="O808" i="7" s="1"/>
  <c r="H808" i="7"/>
  <c r="I808" i="7" s="1"/>
  <c r="G808" i="7"/>
  <c r="N808" i="7" s="1"/>
  <c r="N807" i="7"/>
  <c r="M807" i="7"/>
  <c r="L807" i="7"/>
  <c r="J807" i="7"/>
  <c r="K807" i="7" s="1"/>
  <c r="O807" i="7" s="1"/>
  <c r="H807" i="7"/>
  <c r="I807" i="7" s="1"/>
  <c r="G807" i="7"/>
  <c r="N806" i="7"/>
  <c r="M806" i="7"/>
  <c r="L806" i="7"/>
  <c r="J806" i="7"/>
  <c r="K806" i="7" s="1"/>
  <c r="O806" i="7" s="1"/>
  <c r="H806" i="7"/>
  <c r="I806" i="7" s="1"/>
  <c r="G806" i="7"/>
  <c r="M805" i="7"/>
  <c r="L805" i="7"/>
  <c r="J805" i="7"/>
  <c r="K805" i="7" s="1"/>
  <c r="O805" i="7" s="1"/>
  <c r="H805" i="7"/>
  <c r="I805" i="7" s="1"/>
  <c r="G805" i="7"/>
  <c r="N805" i="7" s="1"/>
  <c r="M804" i="7"/>
  <c r="L804" i="7"/>
  <c r="J804" i="7"/>
  <c r="K804" i="7" s="1"/>
  <c r="O804" i="7" s="1"/>
  <c r="H804" i="7"/>
  <c r="I804" i="7" s="1"/>
  <c r="G804" i="7"/>
  <c r="N804" i="7" s="1"/>
  <c r="N803" i="7"/>
  <c r="M803" i="7"/>
  <c r="L803" i="7"/>
  <c r="J803" i="7"/>
  <c r="K803" i="7" s="1"/>
  <c r="O803" i="7" s="1"/>
  <c r="H803" i="7"/>
  <c r="I803" i="7" s="1"/>
  <c r="G803" i="7"/>
  <c r="N802" i="7"/>
  <c r="M802" i="7"/>
  <c r="L802" i="7"/>
  <c r="J802" i="7"/>
  <c r="K802" i="7" s="1"/>
  <c r="O802" i="7" s="1"/>
  <c r="H802" i="7"/>
  <c r="I802" i="7" s="1"/>
  <c r="G802" i="7"/>
  <c r="M801" i="7"/>
  <c r="L801" i="7"/>
  <c r="J801" i="7"/>
  <c r="K801" i="7" s="1"/>
  <c r="O801" i="7" s="1"/>
  <c r="H801" i="7"/>
  <c r="I801" i="7" s="1"/>
  <c r="G801" i="7"/>
  <c r="N801" i="7" s="1"/>
  <c r="M800" i="7"/>
  <c r="L800" i="7"/>
  <c r="J800" i="7"/>
  <c r="K800" i="7" s="1"/>
  <c r="O800" i="7" s="1"/>
  <c r="H800" i="7"/>
  <c r="I800" i="7" s="1"/>
  <c r="G800" i="7"/>
  <c r="N800" i="7" s="1"/>
  <c r="N799" i="7"/>
  <c r="M799" i="7"/>
  <c r="L799" i="7"/>
  <c r="J799" i="7"/>
  <c r="K799" i="7" s="1"/>
  <c r="O799" i="7" s="1"/>
  <c r="H799" i="7"/>
  <c r="I799" i="7" s="1"/>
  <c r="G799" i="7"/>
  <c r="N798" i="7"/>
  <c r="M798" i="7"/>
  <c r="L798" i="7"/>
  <c r="J798" i="7"/>
  <c r="K798" i="7" s="1"/>
  <c r="O798" i="7" s="1"/>
  <c r="H798" i="7"/>
  <c r="I798" i="7" s="1"/>
  <c r="G798" i="7"/>
  <c r="M797" i="7"/>
  <c r="L797" i="7"/>
  <c r="J797" i="7"/>
  <c r="K797" i="7" s="1"/>
  <c r="O797" i="7" s="1"/>
  <c r="H797" i="7"/>
  <c r="I797" i="7" s="1"/>
  <c r="G797" i="7"/>
  <c r="N797" i="7" s="1"/>
  <c r="M796" i="7"/>
  <c r="L796" i="7"/>
  <c r="J796" i="7"/>
  <c r="K796" i="7" s="1"/>
  <c r="O796" i="7" s="1"/>
  <c r="H796" i="7"/>
  <c r="I796" i="7" s="1"/>
  <c r="G796" i="7"/>
  <c r="N796" i="7" s="1"/>
  <c r="N795" i="7"/>
  <c r="M795" i="7"/>
  <c r="L795" i="7"/>
  <c r="J795" i="7"/>
  <c r="K795" i="7" s="1"/>
  <c r="O795" i="7" s="1"/>
  <c r="H795" i="7"/>
  <c r="I795" i="7" s="1"/>
  <c r="G795" i="7"/>
  <c r="N794" i="7"/>
  <c r="M794" i="7"/>
  <c r="L794" i="7"/>
  <c r="J794" i="7"/>
  <c r="K794" i="7" s="1"/>
  <c r="O794" i="7" s="1"/>
  <c r="H794" i="7"/>
  <c r="I794" i="7" s="1"/>
  <c r="G794" i="7"/>
  <c r="M793" i="7"/>
  <c r="L793" i="7"/>
  <c r="J793" i="7"/>
  <c r="K793" i="7" s="1"/>
  <c r="O793" i="7" s="1"/>
  <c r="H793" i="7"/>
  <c r="I793" i="7" s="1"/>
  <c r="G793" i="7"/>
  <c r="N793" i="7" s="1"/>
  <c r="M792" i="7"/>
  <c r="L792" i="7"/>
  <c r="J792" i="7"/>
  <c r="K792" i="7" s="1"/>
  <c r="O792" i="7" s="1"/>
  <c r="H792" i="7"/>
  <c r="I792" i="7" s="1"/>
  <c r="G792" i="7"/>
  <c r="N792" i="7" s="1"/>
  <c r="N791" i="7"/>
  <c r="M791" i="7"/>
  <c r="L791" i="7"/>
  <c r="J791" i="7"/>
  <c r="K791" i="7" s="1"/>
  <c r="O791" i="7" s="1"/>
  <c r="H791" i="7"/>
  <c r="I791" i="7" s="1"/>
  <c r="G791" i="7"/>
  <c r="N790" i="7"/>
  <c r="M790" i="7"/>
  <c r="L790" i="7"/>
  <c r="J790" i="7"/>
  <c r="K790" i="7" s="1"/>
  <c r="O790" i="7" s="1"/>
  <c r="H790" i="7"/>
  <c r="I790" i="7" s="1"/>
  <c r="G790" i="7"/>
  <c r="M789" i="7"/>
  <c r="L789" i="7"/>
  <c r="J789" i="7"/>
  <c r="K789" i="7" s="1"/>
  <c r="O789" i="7" s="1"/>
  <c r="H789" i="7"/>
  <c r="I789" i="7" s="1"/>
  <c r="G789" i="7"/>
  <c r="N789" i="7" s="1"/>
  <c r="M788" i="7"/>
  <c r="L788" i="7"/>
  <c r="J788" i="7"/>
  <c r="K788" i="7" s="1"/>
  <c r="O788" i="7" s="1"/>
  <c r="H788" i="7"/>
  <c r="I788" i="7" s="1"/>
  <c r="G788" i="7"/>
  <c r="N788" i="7" s="1"/>
  <c r="N787" i="7"/>
  <c r="M787" i="7"/>
  <c r="L787" i="7"/>
  <c r="J787" i="7"/>
  <c r="K787" i="7" s="1"/>
  <c r="O787" i="7" s="1"/>
  <c r="H787" i="7"/>
  <c r="I787" i="7" s="1"/>
  <c r="G787" i="7"/>
  <c r="N786" i="7"/>
  <c r="M786" i="7"/>
  <c r="L786" i="7"/>
  <c r="J786" i="7"/>
  <c r="K786" i="7" s="1"/>
  <c r="O786" i="7" s="1"/>
  <c r="H786" i="7"/>
  <c r="I786" i="7" s="1"/>
  <c r="G786" i="7"/>
  <c r="M785" i="7"/>
  <c r="L785" i="7"/>
  <c r="J785" i="7"/>
  <c r="K785" i="7" s="1"/>
  <c r="O785" i="7" s="1"/>
  <c r="H785" i="7"/>
  <c r="I785" i="7" s="1"/>
  <c r="G785" i="7"/>
  <c r="N785" i="7" s="1"/>
  <c r="M784" i="7"/>
  <c r="L784" i="7"/>
  <c r="J784" i="7"/>
  <c r="K784" i="7" s="1"/>
  <c r="O784" i="7" s="1"/>
  <c r="H784" i="7"/>
  <c r="I784" i="7" s="1"/>
  <c r="G784" i="7"/>
  <c r="N784" i="7" s="1"/>
  <c r="N783" i="7"/>
  <c r="M783" i="7"/>
  <c r="L783" i="7"/>
  <c r="J783" i="7"/>
  <c r="K783" i="7" s="1"/>
  <c r="O783" i="7" s="1"/>
  <c r="H783" i="7"/>
  <c r="I783" i="7" s="1"/>
  <c r="G783" i="7"/>
  <c r="N782" i="7"/>
  <c r="M782" i="7"/>
  <c r="L782" i="7"/>
  <c r="J782" i="7"/>
  <c r="K782" i="7" s="1"/>
  <c r="O782" i="7" s="1"/>
  <c r="H782" i="7"/>
  <c r="I782" i="7" s="1"/>
  <c r="G782" i="7"/>
  <c r="M781" i="7"/>
  <c r="L781" i="7"/>
  <c r="J781" i="7"/>
  <c r="K781" i="7" s="1"/>
  <c r="O781" i="7" s="1"/>
  <c r="H781" i="7"/>
  <c r="I781" i="7" s="1"/>
  <c r="G781" i="7"/>
  <c r="N781" i="7" s="1"/>
  <c r="M780" i="7"/>
  <c r="L780" i="7"/>
  <c r="J780" i="7"/>
  <c r="K780" i="7" s="1"/>
  <c r="O780" i="7" s="1"/>
  <c r="H780" i="7"/>
  <c r="I780" i="7" s="1"/>
  <c r="G780" i="7"/>
  <c r="N780" i="7" s="1"/>
  <c r="N779" i="7"/>
  <c r="M779" i="7"/>
  <c r="L779" i="7"/>
  <c r="J779" i="7"/>
  <c r="K779" i="7" s="1"/>
  <c r="O779" i="7" s="1"/>
  <c r="H779" i="7"/>
  <c r="I779" i="7" s="1"/>
  <c r="G779" i="7"/>
  <c r="N778" i="7"/>
  <c r="M778" i="7"/>
  <c r="L778" i="7"/>
  <c r="J778" i="7"/>
  <c r="K778" i="7" s="1"/>
  <c r="O778" i="7" s="1"/>
  <c r="H778" i="7"/>
  <c r="I778" i="7" s="1"/>
  <c r="G778" i="7"/>
  <c r="M777" i="7"/>
  <c r="L777" i="7"/>
  <c r="J777" i="7"/>
  <c r="K777" i="7" s="1"/>
  <c r="O777" i="7" s="1"/>
  <c r="H777" i="7"/>
  <c r="I777" i="7" s="1"/>
  <c r="G777" i="7"/>
  <c r="N777" i="7" s="1"/>
  <c r="M776" i="7"/>
  <c r="L776" i="7"/>
  <c r="J776" i="7"/>
  <c r="K776" i="7" s="1"/>
  <c r="O776" i="7" s="1"/>
  <c r="H776" i="7"/>
  <c r="I776" i="7" s="1"/>
  <c r="G776" i="7"/>
  <c r="N776" i="7" s="1"/>
  <c r="N775" i="7"/>
  <c r="M775" i="7"/>
  <c r="L775" i="7"/>
  <c r="J775" i="7"/>
  <c r="K775" i="7" s="1"/>
  <c r="O775" i="7" s="1"/>
  <c r="H775" i="7"/>
  <c r="I775" i="7" s="1"/>
  <c r="G775" i="7"/>
  <c r="N774" i="7"/>
  <c r="M774" i="7"/>
  <c r="L774" i="7"/>
  <c r="J774" i="7"/>
  <c r="K774" i="7" s="1"/>
  <c r="O774" i="7" s="1"/>
  <c r="H774" i="7"/>
  <c r="I774" i="7" s="1"/>
  <c r="G774" i="7"/>
  <c r="M773" i="7"/>
  <c r="L773" i="7"/>
  <c r="J773" i="7"/>
  <c r="K773" i="7" s="1"/>
  <c r="O773" i="7" s="1"/>
  <c r="H773" i="7"/>
  <c r="I773" i="7" s="1"/>
  <c r="G773" i="7"/>
  <c r="N773" i="7" s="1"/>
  <c r="M772" i="7"/>
  <c r="L772" i="7"/>
  <c r="J772" i="7"/>
  <c r="K772" i="7" s="1"/>
  <c r="O772" i="7" s="1"/>
  <c r="H772" i="7"/>
  <c r="I772" i="7" s="1"/>
  <c r="G772" i="7"/>
  <c r="N772" i="7" s="1"/>
  <c r="N771" i="7"/>
  <c r="M771" i="7"/>
  <c r="L771" i="7"/>
  <c r="J771" i="7"/>
  <c r="K771" i="7" s="1"/>
  <c r="O771" i="7" s="1"/>
  <c r="H771" i="7"/>
  <c r="I771" i="7" s="1"/>
  <c r="G771" i="7"/>
  <c r="N770" i="7"/>
  <c r="M770" i="7"/>
  <c r="L770" i="7"/>
  <c r="J770" i="7"/>
  <c r="K770" i="7" s="1"/>
  <c r="O770" i="7" s="1"/>
  <c r="H770" i="7"/>
  <c r="I770" i="7" s="1"/>
  <c r="G770" i="7"/>
  <c r="M769" i="7"/>
  <c r="L769" i="7"/>
  <c r="J769" i="7"/>
  <c r="K769" i="7" s="1"/>
  <c r="O769" i="7" s="1"/>
  <c r="H769" i="7"/>
  <c r="I769" i="7" s="1"/>
  <c r="G769" i="7"/>
  <c r="N769" i="7" s="1"/>
  <c r="M768" i="7"/>
  <c r="L768" i="7"/>
  <c r="J768" i="7"/>
  <c r="K768" i="7" s="1"/>
  <c r="O768" i="7" s="1"/>
  <c r="H768" i="7"/>
  <c r="I768" i="7" s="1"/>
  <c r="G768" i="7"/>
  <c r="N768" i="7" s="1"/>
  <c r="N767" i="7"/>
  <c r="M767" i="7"/>
  <c r="L767" i="7"/>
  <c r="J767" i="7"/>
  <c r="K767" i="7" s="1"/>
  <c r="O767" i="7" s="1"/>
  <c r="H767" i="7"/>
  <c r="I767" i="7" s="1"/>
  <c r="G767" i="7"/>
  <c r="N766" i="7"/>
  <c r="M766" i="7"/>
  <c r="L766" i="7"/>
  <c r="J766" i="7"/>
  <c r="K766" i="7" s="1"/>
  <c r="O766" i="7" s="1"/>
  <c r="H766" i="7"/>
  <c r="I766" i="7" s="1"/>
  <c r="G766" i="7"/>
  <c r="M765" i="7"/>
  <c r="L765" i="7"/>
  <c r="J765" i="7"/>
  <c r="K765" i="7" s="1"/>
  <c r="O765" i="7" s="1"/>
  <c r="H765" i="7"/>
  <c r="I765" i="7" s="1"/>
  <c r="G765" i="7"/>
  <c r="N765" i="7" s="1"/>
  <c r="M764" i="7"/>
  <c r="L764" i="7"/>
  <c r="J764" i="7"/>
  <c r="K764" i="7" s="1"/>
  <c r="O764" i="7" s="1"/>
  <c r="H764" i="7"/>
  <c r="I764" i="7" s="1"/>
  <c r="G764" i="7"/>
  <c r="N764" i="7" s="1"/>
  <c r="N763" i="7"/>
  <c r="M763" i="7"/>
  <c r="L763" i="7"/>
  <c r="J763" i="7"/>
  <c r="K763" i="7" s="1"/>
  <c r="O763" i="7" s="1"/>
  <c r="H763" i="7"/>
  <c r="I763" i="7" s="1"/>
  <c r="G763" i="7"/>
  <c r="N762" i="7"/>
  <c r="M762" i="7"/>
  <c r="L762" i="7"/>
  <c r="J762" i="7"/>
  <c r="K762" i="7" s="1"/>
  <c r="O762" i="7" s="1"/>
  <c r="H762" i="7"/>
  <c r="I762" i="7" s="1"/>
  <c r="G762" i="7"/>
  <c r="M761" i="7"/>
  <c r="L761" i="7"/>
  <c r="J761" i="7"/>
  <c r="K761" i="7" s="1"/>
  <c r="O761" i="7" s="1"/>
  <c r="H761" i="7"/>
  <c r="I761" i="7" s="1"/>
  <c r="G761" i="7"/>
  <c r="N761" i="7" s="1"/>
  <c r="M760" i="7"/>
  <c r="L760" i="7"/>
  <c r="J760" i="7"/>
  <c r="K760" i="7" s="1"/>
  <c r="O760" i="7" s="1"/>
  <c r="H760" i="7"/>
  <c r="I760" i="7" s="1"/>
  <c r="G760" i="7"/>
  <c r="N760" i="7" s="1"/>
  <c r="N759" i="7"/>
  <c r="M759" i="7"/>
  <c r="L759" i="7"/>
  <c r="J759" i="7"/>
  <c r="K759" i="7" s="1"/>
  <c r="O759" i="7" s="1"/>
  <c r="H759" i="7"/>
  <c r="I759" i="7" s="1"/>
  <c r="G759" i="7"/>
  <c r="N758" i="7"/>
  <c r="M758" i="7"/>
  <c r="L758" i="7"/>
  <c r="J758" i="7"/>
  <c r="K758" i="7" s="1"/>
  <c r="O758" i="7" s="1"/>
  <c r="H758" i="7"/>
  <c r="I758" i="7" s="1"/>
  <c r="G758" i="7"/>
  <c r="M757" i="7"/>
  <c r="L757" i="7"/>
  <c r="J757" i="7"/>
  <c r="K757" i="7" s="1"/>
  <c r="O757" i="7" s="1"/>
  <c r="H757" i="7"/>
  <c r="I757" i="7" s="1"/>
  <c r="G757" i="7"/>
  <c r="N757" i="7" s="1"/>
  <c r="M756" i="7"/>
  <c r="L756" i="7"/>
  <c r="J756" i="7"/>
  <c r="K756" i="7" s="1"/>
  <c r="O756" i="7" s="1"/>
  <c r="H756" i="7"/>
  <c r="I756" i="7" s="1"/>
  <c r="G756" i="7"/>
  <c r="N756" i="7" s="1"/>
  <c r="N755" i="7"/>
  <c r="M755" i="7"/>
  <c r="L755" i="7"/>
  <c r="J755" i="7"/>
  <c r="K755" i="7" s="1"/>
  <c r="O755" i="7" s="1"/>
  <c r="H755" i="7"/>
  <c r="I755" i="7" s="1"/>
  <c r="G755" i="7"/>
  <c r="N754" i="7"/>
  <c r="M754" i="7"/>
  <c r="L754" i="7"/>
  <c r="J754" i="7"/>
  <c r="K754" i="7" s="1"/>
  <c r="O754" i="7" s="1"/>
  <c r="H754" i="7"/>
  <c r="I754" i="7" s="1"/>
  <c r="G754" i="7"/>
  <c r="M753" i="7"/>
  <c r="L753" i="7"/>
  <c r="J753" i="7"/>
  <c r="K753" i="7" s="1"/>
  <c r="O753" i="7" s="1"/>
  <c r="H753" i="7"/>
  <c r="I753" i="7" s="1"/>
  <c r="G753" i="7"/>
  <c r="N753" i="7" s="1"/>
  <c r="M752" i="7"/>
  <c r="L752" i="7"/>
  <c r="J752" i="7"/>
  <c r="K752" i="7" s="1"/>
  <c r="O752" i="7" s="1"/>
  <c r="H752" i="7"/>
  <c r="I752" i="7" s="1"/>
  <c r="G752" i="7"/>
  <c r="N752" i="7" s="1"/>
  <c r="N751" i="7"/>
  <c r="M751" i="7"/>
  <c r="L751" i="7"/>
  <c r="J751" i="7"/>
  <c r="K751" i="7" s="1"/>
  <c r="O751" i="7" s="1"/>
  <c r="H751" i="7"/>
  <c r="I751" i="7" s="1"/>
  <c r="G751" i="7"/>
  <c r="N750" i="7"/>
  <c r="M750" i="7"/>
  <c r="L750" i="7"/>
  <c r="J750" i="7"/>
  <c r="K750" i="7" s="1"/>
  <c r="O750" i="7" s="1"/>
  <c r="H750" i="7"/>
  <c r="I750" i="7" s="1"/>
  <c r="G750" i="7"/>
  <c r="M749" i="7"/>
  <c r="L749" i="7"/>
  <c r="J749" i="7"/>
  <c r="K749" i="7" s="1"/>
  <c r="O749" i="7" s="1"/>
  <c r="H749" i="7"/>
  <c r="I749" i="7" s="1"/>
  <c r="G749" i="7"/>
  <c r="N749" i="7" s="1"/>
  <c r="M748" i="7"/>
  <c r="L748" i="7"/>
  <c r="J748" i="7"/>
  <c r="K748" i="7" s="1"/>
  <c r="O748" i="7" s="1"/>
  <c r="H748" i="7"/>
  <c r="I748" i="7" s="1"/>
  <c r="G748" i="7"/>
  <c r="N748" i="7" s="1"/>
  <c r="N747" i="7"/>
  <c r="M747" i="7"/>
  <c r="L747" i="7"/>
  <c r="J747" i="7"/>
  <c r="K747" i="7" s="1"/>
  <c r="O747" i="7" s="1"/>
  <c r="H747" i="7"/>
  <c r="I747" i="7" s="1"/>
  <c r="G747" i="7"/>
  <c r="N746" i="7"/>
  <c r="M746" i="7"/>
  <c r="L746" i="7"/>
  <c r="J746" i="7"/>
  <c r="K746" i="7" s="1"/>
  <c r="O746" i="7" s="1"/>
  <c r="H746" i="7"/>
  <c r="I746" i="7" s="1"/>
  <c r="G746" i="7"/>
  <c r="M745" i="7"/>
  <c r="L745" i="7"/>
  <c r="J745" i="7"/>
  <c r="K745" i="7" s="1"/>
  <c r="O745" i="7" s="1"/>
  <c r="H745" i="7"/>
  <c r="I745" i="7" s="1"/>
  <c r="G745" i="7"/>
  <c r="N745" i="7" s="1"/>
  <c r="M744" i="7"/>
  <c r="L744" i="7"/>
  <c r="J744" i="7"/>
  <c r="K744" i="7" s="1"/>
  <c r="O744" i="7" s="1"/>
  <c r="H744" i="7"/>
  <c r="I744" i="7" s="1"/>
  <c r="G744" i="7"/>
  <c r="N744" i="7" s="1"/>
  <c r="N743" i="7"/>
  <c r="M743" i="7"/>
  <c r="L743" i="7"/>
  <c r="J743" i="7"/>
  <c r="K743" i="7" s="1"/>
  <c r="O743" i="7" s="1"/>
  <c r="H743" i="7"/>
  <c r="I743" i="7" s="1"/>
  <c r="G743" i="7"/>
  <c r="N742" i="7"/>
  <c r="M742" i="7"/>
  <c r="L742" i="7"/>
  <c r="J742" i="7"/>
  <c r="K742" i="7" s="1"/>
  <c r="O742" i="7" s="1"/>
  <c r="H742" i="7"/>
  <c r="I742" i="7" s="1"/>
  <c r="G742" i="7"/>
  <c r="M741" i="7"/>
  <c r="L741" i="7"/>
  <c r="J741" i="7"/>
  <c r="K741" i="7" s="1"/>
  <c r="O741" i="7" s="1"/>
  <c r="H741" i="7"/>
  <c r="I741" i="7" s="1"/>
  <c r="G741" i="7"/>
  <c r="N741" i="7" s="1"/>
  <c r="M740" i="7"/>
  <c r="L740" i="7"/>
  <c r="J740" i="7"/>
  <c r="K740" i="7" s="1"/>
  <c r="O740" i="7" s="1"/>
  <c r="H740" i="7"/>
  <c r="I740" i="7" s="1"/>
  <c r="G740" i="7"/>
  <c r="N740" i="7" s="1"/>
  <c r="N739" i="7"/>
  <c r="M739" i="7"/>
  <c r="L739" i="7"/>
  <c r="J739" i="7"/>
  <c r="K739" i="7" s="1"/>
  <c r="O739" i="7" s="1"/>
  <c r="H739" i="7"/>
  <c r="I739" i="7" s="1"/>
  <c r="G739" i="7"/>
  <c r="N738" i="7"/>
  <c r="M738" i="7"/>
  <c r="L738" i="7"/>
  <c r="J738" i="7"/>
  <c r="K738" i="7" s="1"/>
  <c r="O738" i="7" s="1"/>
  <c r="H738" i="7"/>
  <c r="I738" i="7" s="1"/>
  <c r="G738" i="7"/>
  <c r="M737" i="7"/>
  <c r="L737" i="7"/>
  <c r="J737" i="7"/>
  <c r="K737" i="7" s="1"/>
  <c r="O737" i="7" s="1"/>
  <c r="H737" i="7"/>
  <c r="I737" i="7" s="1"/>
  <c r="G737" i="7"/>
  <c r="N737" i="7" s="1"/>
  <c r="M736" i="7"/>
  <c r="L736" i="7"/>
  <c r="J736" i="7"/>
  <c r="K736" i="7" s="1"/>
  <c r="O736" i="7" s="1"/>
  <c r="H736" i="7"/>
  <c r="I736" i="7" s="1"/>
  <c r="G736" i="7"/>
  <c r="N736" i="7" s="1"/>
  <c r="N735" i="7"/>
  <c r="M735" i="7"/>
  <c r="L735" i="7"/>
  <c r="J735" i="7"/>
  <c r="K735" i="7" s="1"/>
  <c r="O735" i="7" s="1"/>
  <c r="H735" i="7"/>
  <c r="I735" i="7" s="1"/>
  <c r="G735" i="7"/>
  <c r="N734" i="7"/>
  <c r="M734" i="7"/>
  <c r="L734" i="7"/>
  <c r="J734" i="7"/>
  <c r="K734" i="7" s="1"/>
  <c r="O734" i="7" s="1"/>
  <c r="H734" i="7"/>
  <c r="I734" i="7" s="1"/>
  <c r="G734" i="7"/>
  <c r="M733" i="7"/>
  <c r="L733" i="7"/>
  <c r="J733" i="7"/>
  <c r="K733" i="7" s="1"/>
  <c r="O733" i="7" s="1"/>
  <c r="H733" i="7"/>
  <c r="I733" i="7" s="1"/>
  <c r="G733" i="7"/>
  <c r="N733" i="7" s="1"/>
  <c r="M732" i="7"/>
  <c r="L732" i="7"/>
  <c r="J732" i="7"/>
  <c r="K732" i="7" s="1"/>
  <c r="O732" i="7" s="1"/>
  <c r="H732" i="7"/>
  <c r="I732" i="7" s="1"/>
  <c r="G732" i="7"/>
  <c r="N732" i="7" s="1"/>
  <c r="N731" i="7"/>
  <c r="M731" i="7"/>
  <c r="L731" i="7"/>
  <c r="J731" i="7"/>
  <c r="K731" i="7" s="1"/>
  <c r="O731" i="7" s="1"/>
  <c r="H731" i="7"/>
  <c r="I731" i="7" s="1"/>
  <c r="G731" i="7"/>
  <c r="N730" i="7"/>
  <c r="M730" i="7"/>
  <c r="L730" i="7"/>
  <c r="J730" i="7"/>
  <c r="K730" i="7" s="1"/>
  <c r="O730" i="7" s="1"/>
  <c r="H730" i="7"/>
  <c r="I730" i="7" s="1"/>
  <c r="G730" i="7"/>
  <c r="M729" i="7"/>
  <c r="L729" i="7"/>
  <c r="J729" i="7"/>
  <c r="K729" i="7" s="1"/>
  <c r="O729" i="7" s="1"/>
  <c r="H729" i="7"/>
  <c r="I729" i="7" s="1"/>
  <c r="G729" i="7"/>
  <c r="N729" i="7" s="1"/>
  <c r="M728" i="7"/>
  <c r="L728" i="7"/>
  <c r="J728" i="7"/>
  <c r="K728" i="7" s="1"/>
  <c r="O728" i="7" s="1"/>
  <c r="H728" i="7"/>
  <c r="I728" i="7" s="1"/>
  <c r="G728" i="7"/>
  <c r="N728" i="7" s="1"/>
  <c r="N727" i="7"/>
  <c r="M727" i="7"/>
  <c r="L727" i="7"/>
  <c r="J727" i="7"/>
  <c r="K727" i="7" s="1"/>
  <c r="O727" i="7" s="1"/>
  <c r="H727" i="7"/>
  <c r="I727" i="7" s="1"/>
  <c r="G727" i="7"/>
  <c r="N726" i="7"/>
  <c r="M726" i="7"/>
  <c r="L726" i="7"/>
  <c r="J726" i="7"/>
  <c r="K726" i="7" s="1"/>
  <c r="O726" i="7" s="1"/>
  <c r="H726" i="7"/>
  <c r="I726" i="7" s="1"/>
  <c r="G726" i="7"/>
  <c r="M725" i="7"/>
  <c r="L725" i="7"/>
  <c r="J725" i="7"/>
  <c r="K725" i="7" s="1"/>
  <c r="O725" i="7" s="1"/>
  <c r="H725" i="7"/>
  <c r="I725" i="7" s="1"/>
  <c r="G725" i="7"/>
  <c r="N725" i="7" s="1"/>
  <c r="M724" i="7"/>
  <c r="L724" i="7"/>
  <c r="J724" i="7"/>
  <c r="K724" i="7" s="1"/>
  <c r="O724" i="7" s="1"/>
  <c r="H724" i="7"/>
  <c r="I724" i="7" s="1"/>
  <c r="G724" i="7"/>
  <c r="N724" i="7" s="1"/>
  <c r="N723" i="7"/>
  <c r="M723" i="7"/>
  <c r="L723" i="7"/>
  <c r="J723" i="7"/>
  <c r="K723" i="7" s="1"/>
  <c r="O723" i="7" s="1"/>
  <c r="H723" i="7"/>
  <c r="I723" i="7" s="1"/>
  <c r="G723" i="7"/>
  <c r="N722" i="7"/>
  <c r="M722" i="7"/>
  <c r="L722" i="7"/>
  <c r="J722" i="7"/>
  <c r="K722" i="7" s="1"/>
  <c r="O722" i="7" s="1"/>
  <c r="H722" i="7"/>
  <c r="I722" i="7" s="1"/>
  <c r="G722" i="7"/>
  <c r="M721" i="7"/>
  <c r="L721" i="7"/>
  <c r="J721" i="7"/>
  <c r="K721" i="7" s="1"/>
  <c r="O721" i="7" s="1"/>
  <c r="H721" i="7"/>
  <c r="I721" i="7" s="1"/>
  <c r="G721" i="7"/>
  <c r="N721" i="7" s="1"/>
  <c r="M720" i="7"/>
  <c r="L720" i="7"/>
  <c r="J720" i="7"/>
  <c r="K720" i="7" s="1"/>
  <c r="O720" i="7" s="1"/>
  <c r="H720" i="7"/>
  <c r="I720" i="7" s="1"/>
  <c r="G720" i="7"/>
  <c r="N720" i="7" s="1"/>
  <c r="N719" i="7"/>
  <c r="M719" i="7"/>
  <c r="L719" i="7"/>
  <c r="J719" i="7"/>
  <c r="K719" i="7" s="1"/>
  <c r="O719" i="7" s="1"/>
  <c r="H719" i="7"/>
  <c r="I719" i="7" s="1"/>
  <c r="G719" i="7"/>
  <c r="N718" i="7"/>
  <c r="M718" i="7"/>
  <c r="L718" i="7"/>
  <c r="J718" i="7"/>
  <c r="K718" i="7" s="1"/>
  <c r="O718" i="7" s="1"/>
  <c r="H718" i="7"/>
  <c r="I718" i="7" s="1"/>
  <c r="G718" i="7"/>
  <c r="M717" i="7"/>
  <c r="L717" i="7"/>
  <c r="J717" i="7"/>
  <c r="K717" i="7" s="1"/>
  <c r="O717" i="7" s="1"/>
  <c r="H717" i="7"/>
  <c r="I717" i="7" s="1"/>
  <c r="G717" i="7"/>
  <c r="N717" i="7" s="1"/>
  <c r="M716" i="7"/>
  <c r="L716" i="7"/>
  <c r="J716" i="7"/>
  <c r="K716" i="7" s="1"/>
  <c r="O716" i="7" s="1"/>
  <c r="H716" i="7"/>
  <c r="I716" i="7" s="1"/>
  <c r="G716" i="7"/>
  <c r="N716" i="7" s="1"/>
  <c r="N715" i="7"/>
  <c r="M715" i="7"/>
  <c r="L715" i="7"/>
  <c r="J715" i="7"/>
  <c r="K715" i="7" s="1"/>
  <c r="O715" i="7" s="1"/>
  <c r="H715" i="7"/>
  <c r="I715" i="7" s="1"/>
  <c r="G715" i="7"/>
  <c r="N714" i="7"/>
  <c r="M714" i="7"/>
  <c r="L714" i="7"/>
  <c r="J714" i="7"/>
  <c r="K714" i="7" s="1"/>
  <c r="O714" i="7" s="1"/>
  <c r="H714" i="7"/>
  <c r="I714" i="7" s="1"/>
  <c r="G714" i="7"/>
  <c r="M713" i="7"/>
  <c r="L713" i="7"/>
  <c r="J713" i="7"/>
  <c r="K713" i="7" s="1"/>
  <c r="O713" i="7" s="1"/>
  <c r="H713" i="7"/>
  <c r="I713" i="7" s="1"/>
  <c r="G713" i="7"/>
  <c r="N713" i="7" s="1"/>
  <c r="M712" i="7"/>
  <c r="L712" i="7"/>
  <c r="J712" i="7"/>
  <c r="K712" i="7" s="1"/>
  <c r="O712" i="7" s="1"/>
  <c r="H712" i="7"/>
  <c r="I712" i="7" s="1"/>
  <c r="G712" i="7"/>
  <c r="N712" i="7" s="1"/>
  <c r="N711" i="7"/>
  <c r="M711" i="7"/>
  <c r="L711" i="7"/>
  <c r="J711" i="7"/>
  <c r="K711" i="7" s="1"/>
  <c r="O711" i="7" s="1"/>
  <c r="H711" i="7"/>
  <c r="I711" i="7" s="1"/>
  <c r="G711" i="7"/>
  <c r="N710" i="7"/>
  <c r="M710" i="7"/>
  <c r="L710" i="7"/>
  <c r="J710" i="7"/>
  <c r="K710" i="7" s="1"/>
  <c r="O710" i="7" s="1"/>
  <c r="H710" i="7"/>
  <c r="I710" i="7" s="1"/>
  <c r="G710" i="7"/>
  <c r="M709" i="7"/>
  <c r="L709" i="7"/>
  <c r="J709" i="7"/>
  <c r="K709" i="7" s="1"/>
  <c r="O709" i="7" s="1"/>
  <c r="H709" i="7"/>
  <c r="I709" i="7" s="1"/>
  <c r="G709" i="7"/>
  <c r="N709" i="7" s="1"/>
  <c r="M708" i="7"/>
  <c r="L708" i="7"/>
  <c r="J708" i="7"/>
  <c r="K708" i="7" s="1"/>
  <c r="O708" i="7" s="1"/>
  <c r="H708" i="7"/>
  <c r="I708" i="7" s="1"/>
  <c r="G708" i="7"/>
  <c r="N708" i="7" s="1"/>
  <c r="N707" i="7"/>
  <c r="M707" i="7"/>
  <c r="L707" i="7"/>
  <c r="J707" i="7"/>
  <c r="K707" i="7" s="1"/>
  <c r="O707" i="7" s="1"/>
  <c r="H707" i="7"/>
  <c r="I707" i="7" s="1"/>
  <c r="G707" i="7"/>
  <c r="N706" i="7"/>
  <c r="M706" i="7"/>
  <c r="L706" i="7"/>
  <c r="J706" i="7"/>
  <c r="K706" i="7" s="1"/>
  <c r="O706" i="7" s="1"/>
  <c r="H706" i="7"/>
  <c r="I706" i="7" s="1"/>
  <c r="G706" i="7"/>
  <c r="M705" i="7"/>
  <c r="L705" i="7"/>
  <c r="J705" i="7"/>
  <c r="K705" i="7" s="1"/>
  <c r="O705" i="7" s="1"/>
  <c r="H705" i="7"/>
  <c r="I705" i="7" s="1"/>
  <c r="G705" i="7"/>
  <c r="N705" i="7" s="1"/>
  <c r="M704" i="7"/>
  <c r="L704" i="7"/>
  <c r="J704" i="7"/>
  <c r="K704" i="7" s="1"/>
  <c r="O704" i="7" s="1"/>
  <c r="H704" i="7"/>
  <c r="I704" i="7" s="1"/>
  <c r="G704" i="7"/>
  <c r="N704" i="7" s="1"/>
  <c r="N703" i="7"/>
  <c r="M703" i="7"/>
  <c r="L703" i="7"/>
  <c r="J703" i="7"/>
  <c r="K703" i="7" s="1"/>
  <c r="O703" i="7" s="1"/>
  <c r="H703" i="7"/>
  <c r="I703" i="7" s="1"/>
  <c r="G703" i="7"/>
  <c r="N702" i="7"/>
  <c r="M702" i="7"/>
  <c r="L702" i="7"/>
  <c r="J702" i="7"/>
  <c r="K702" i="7" s="1"/>
  <c r="O702" i="7" s="1"/>
  <c r="H702" i="7"/>
  <c r="I702" i="7" s="1"/>
  <c r="G702" i="7"/>
  <c r="M701" i="7"/>
  <c r="L701" i="7"/>
  <c r="J701" i="7"/>
  <c r="K701" i="7" s="1"/>
  <c r="O701" i="7" s="1"/>
  <c r="H701" i="7"/>
  <c r="I701" i="7" s="1"/>
  <c r="G701" i="7"/>
  <c r="N701" i="7" s="1"/>
  <c r="M700" i="7"/>
  <c r="L700" i="7"/>
  <c r="J700" i="7"/>
  <c r="K700" i="7" s="1"/>
  <c r="O700" i="7" s="1"/>
  <c r="H700" i="7"/>
  <c r="I700" i="7" s="1"/>
  <c r="G700" i="7"/>
  <c r="N700" i="7" s="1"/>
  <c r="N699" i="7"/>
  <c r="M699" i="7"/>
  <c r="L699" i="7"/>
  <c r="J699" i="7"/>
  <c r="K699" i="7" s="1"/>
  <c r="O699" i="7" s="1"/>
  <c r="H699" i="7"/>
  <c r="I699" i="7" s="1"/>
  <c r="G699" i="7"/>
  <c r="N698" i="7"/>
  <c r="M698" i="7"/>
  <c r="L698" i="7"/>
  <c r="J698" i="7"/>
  <c r="K698" i="7" s="1"/>
  <c r="O698" i="7" s="1"/>
  <c r="H698" i="7"/>
  <c r="I698" i="7" s="1"/>
  <c r="G698" i="7"/>
  <c r="M697" i="7"/>
  <c r="L697" i="7"/>
  <c r="J697" i="7"/>
  <c r="K697" i="7" s="1"/>
  <c r="O697" i="7" s="1"/>
  <c r="H697" i="7"/>
  <c r="I697" i="7" s="1"/>
  <c r="G697" i="7"/>
  <c r="N697" i="7" s="1"/>
  <c r="M696" i="7"/>
  <c r="L696" i="7"/>
  <c r="J696" i="7"/>
  <c r="K696" i="7" s="1"/>
  <c r="O696" i="7" s="1"/>
  <c r="H696" i="7"/>
  <c r="I696" i="7" s="1"/>
  <c r="G696" i="7"/>
  <c r="N696" i="7" s="1"/>
  <c r="N695" i="7"/>
  <c r="M695" i="7"/>
  <c r="L695" i="7"/>
  <c r="J695" i="7"/>
  <c r="K695" i="7" s="1"/>
  <c r="O695" i="7" s="1"/>
  <c r="H695" i="7"/>
  <c r="I695" i="7" s="1"/>
  <c r="G695" i="7"/>
  <c r="N694" i="7"/>
  <c r="M694" i="7"/>
  <c r="L694" i="7"/>
  <c r="J694" i="7"/>
  <c r="K694" i="7" s="1"/>
  <c r="O694" i="7" s="1"/>
  <c r="H694" i="7"/>
  <c r="I694" i="7" s="1"/>
  <c r="G694" i="7"/>
  <c r="M693" i="7"/>
  <c r="L693" i="7"/>
  <c r="J693" i="7"/>
  <c r="K693" i="7" s="1"/>
  <c r="O693" i="7" s="1"/>
  <c r="H693" i="7"/>
  <c r="I693" i="7" s="1"/>
  <c r="G693" i="7"/>
  <c r="N693" i="7" s="1"/>
  <c r="M692" i="7"/>
  <c r="L692" i="7"/>
  <c r="J692" i="7"/>
  <c r="K692" i="7" s="1"/>
  <c r="O692" i="7" s="1"/>
  <c r="H692" i="7"/>
  <c r="I692" i="7" s="1"/>
  <c r="G692" i="7"/>
  <c r="N692" i="7" s="1"/>
  <c r="N691" i="7"/>
  <c r="M691" i="7"/>
  <c r="L691" i="7"/>
  <c r="J691" i="7"/>
  <c r="K691" i="7" s="1"/>
  <c r="O691" i="7" s="1"/>
  <c r="H691" i="7"/>
  <c r="I691" i="7" s="1"/>
  <c r="G691" i="7"/>
  <c r="N690" i="7"/>
  <c r="M690" i="7"/>
  <c r="L690" i="7"/>
  <c r="J690" i="7"/>
  <c r="K690" i="7" s="1"/>
  <c r="O690" i="7" s="1"/>
  <c r="H690" i="7"/>
  <c r="I690" i="7" s="1"/>
  <c r="G690" i="7"/>
  <c r="M689" i="7"/>
  <c r="L689" i="7"/>
  <c r="J689" i="7"/>
  <c r="K689" i="7" s="1"/>
  <c r="O689" i="7" s="1"/>
  <c r="H689" i="7"/>
  <c r="I689" i="7" s="1"/>
  <c r="G689" i="7"/>
  <c r="N689" i="7" s="1"/>
  <c r="M688" i="7"/>
  <c r="L688" i="7"/>
  <c r="J688" i="7"/>
  <c r="K688" i="7" s="1"/>
  <c r="O688" i="7" s="1"/>
  <c r="H688" i="7"/>
  <c r="I688" i="7" s="1"/>
  <c r="G688" i="7"/>
  <c r="N688" i="7" s="1"/>
  <c r="N687" i="7"/>
  <c r="M687" i="7"/>
  <c r="L687" i="7"/>
  <c r="J687" i="7"/>
  <c r="K687" i="7" s="1"/>
  <c r="O687" i="7" s="1"/>
  <c r="H687" i="7"/>
  <c r="I687" i="7" s="1"/>
  <c r="G687" i="7"/>
  <c r="N686" i="7"/>
  <c r="M686" i="7"/>
  <c r="L686" i="7"/>
  <c r="J686" i="7"/>
  <c r="K686" i="7" s="1"/>
  <c r="O686" i="7" s="1"/>
  <c r="H686" i="7"/>
  <c r="I686" i="7" s="1"/>
  <c r="G686" i="7"/>
  <c r="M685" i="7"/>
  <c r="L685" i="7"/>
  <c r="J685" i="7"/>
  <c r="K685" i="7" s="1"/>
  <c r="O685" i="7" s="1"/>
  <c r="H685" i="7"/>
  <c r="I685" i="7" s="1"/>
  <c r="G685" i="7"/>
  <c r="N685" i="7" s="1"/>
  <c r="M684" i="7"/>
  <c r="L684" i="7"/>
  <c r="J684" i="7"/>
  <c r="K684" i="7" s="1"/>
  <c r="O684" i="7" s="1"/>
  <c r="H684" i="7"/>
  <c r="I684" i="7" s="1"/>
  <c r="G684" i="7"/>
  <c r="N684" i="7" s="1"/>
  <c r="N683" i="7"/>
  <c r="M683" i="7"/>
  <c r="L683" i="7"/>
  <c r="J683" i="7"/>
  <c r="K683" i="7" s="1"/>
  <c r="O683" i="7" s="1"/>
  <c r="H683" i="7"/>
  <c r="I683" i="7" s="1"/>
  <c r="G683" i="7"/>
  <c r="N682" i="7"/>
  <c r="M682" i="7"/>
  <c r="L682" i="7"/>
  <c r="J682" i="7"/>
  <c r="K682" i="7" s="1"/>
  <c r="O682" i="7" s="1"/>
  <c r="H682" i="7"/>
  <c r="I682" i="7" s="1"/>
  <c r="G682" i="7"/>
  <c r="M681" i="7"/>
  <c r="L681" i="7"/>
  <c r="J681" i="7"/>
  <c r="K681" i="7" s="1"/>
  <c r="O681" i="7" s="1"/>
  <c r="H681" i="7"/>
  <c r="I681" i="7" s="1"/>
  <c r="G681" i="7"/>
  <c r="N681" i="7" s="1"/>
  <c r="M680" i="7"/>
  <c r="L680" i="7"/>
  <c r="J680" i="7"/>
  <c r="K680" i="7" s="1"/>
  <c r="O680" i="7" s="1"/>
  <c r="H680" i="7"/>
  <c r="I680" i="7" s="1"/>
  <c r="G680" i="7"/>
  <c r="N680" i="7" s="1"/>
  <c r="N679" i="7"/>
  <c r="M679" i="7"/>
  <c r="L679" i="7"/>
  <c r="J679" i="7"/>
  <c r="K679" i="7" s="1"/>
  <c r="O679" i="7" s="1"/>
  <c r="H679" i="7"/>
  <c r="I679" i="7" s="1"/>
  <c r="G679" i="7"/>
  <c r="N678" i="7"/>
  <c r="M678" i="7"/>
  <c r="L678" i="7"/>
  <c r="J678" i="7"/>
  <c r="K678" i="7" s="1"/>
  <c r="O678" i="7" s="1"/>
  <c r="H678" i="7"/>
  <c r="I678" i="7" s="1"/>
  <c r="G678" i="7"/>
  <c r="M677" i="7"/>
  <c r="L677" i="7"/>
  <c r="J677" i="7"/>
  <c r="K677" i="7" s="1"/>
  <c r="O677" i="7" s="1"/>
  <c r="H677" i="7"/>
  <c r="I677" i="7" s="1"/>
  <c r="G677" i="7"/>
  <c r="N677" i="7" s="1"/>
  <c r="M676" i="7"/>
  <c r="L676" i="7"/>
  <c r="J676" i="7"/>
  <c r="K676" i="7" s="1"/>
  <c r="O676" i="7" s="1"/>
  <c r="H676" i="7"/>
  <c r="I676" i="7" s="1"/>
  <c r="G676" i="7"/>
  <c r="N676" i="7" s="1"/>
  <c r="N675" i="7"/>
  <c r="M675" i="7"/>
  <c r="L675" i="7"/>
  <c r="J675" i="7"/>
  <c r="K675" i="7" s="1"/>
  <c r="O675" i="7" s="1"/>
  <c r="H675" i="7"/>
  <c r="I675" i="7" s="1"/>
  <c r="G675" i="7"/>
  <c r="N674" i="7"/>
  <c r="M674" i="7"/>
  <c r="L674" i="7"/>
  <c r="J674" i="7"/>
  <c r="K674" i="7" s="1"/>
  <c r="O674" i="7" s="1"/>
  <c r="H674" i="7"/>
  <c r="I674" i="7" s="1"/>
  <c r="G674" i="7"/>
  <c r="N673" i="7"/>
  <c r="M673" i="7"/>
  <c r="L673" i="7"/>
  <c r="J673" i="7"/>
  <c r="K673" i="7" s="1"/>
  <c r="O673" i="7" s="1"/>
  <c r="H673" i="7"/>
  <c r="I673" i="7" s="1"/>
  <c r="G673" i="7"/>
  <c r="M672" i="7"/>
  <c r="L672" i="7"/>
  <c r="J672" i="7"/>
  <c r="K672" i="7" s="1"/>
  <c r="O672" i="7" s="1"/>
  <c r="H672" i="7"/>
  <c r="I672" i="7" s="1"/>
  <c r="G672" i="7"/>
  <c r="N672" i="7" s="1"/>
  <c r="N671" i="7"/>
  <c r="M671" i="7"/>
  <c r="L671" i="7"/>
  <c r="J671" i="7"/>
  <c r="K671" i="7" s="1"/>
  <c r="O671" i="7" s="1"/>
  <c r="H671" i="7"/>
  <c r="I671" i="7" s="1"/>
  <c r="G671" i="7"/>
  <c r="N670" i="7"/>
  <c r="M670" i="7"/>
  <c r="L670" i="7"/>
  <c r="J670" i="7"/>
  <c r="K670" i="7" s="1"/>
  <c r="O670" i="7" s="1"/>
  <c r="H670" i="7"/>
  <c r="I670" i="7" s="1"/>
  <c r="G670" i="7"/>
  <c r="N669" i="7"/>
  <c r="M669" i="7"/>
  <c r="L669" i="7"/>
  <c r="J669" i="7"/>
  <c r="K669" i="7" s="1"/>
  <c r="O669" i="7" s="1"/>
  <c r="H669" i="7"/>
  <c r="I669" i="7" s="1"/>
  <c r="G669" i="7"/>
  <c r="M668" i="7"/>
  <c r="L668" i="7"/>
  <c r="J668" i="7"/>
  <c r="K668" i="7" s="1"/>
  <c r="O668" i="7" s="1"/>
  <c r="H668" i="7"/>
  <c r="I668" i="7" s="1"/>
  <c r="G668" i="7"/>
  <c r="N668" i="7" s="1"/>
  <c r="N667" i="7"/>
  <c r="M667" i="7"/>
  <c r="L667" i="7"/>
  <c r="J667" i="7"/>
  <c r="K667" i="7" s="1"/>
  <c r="O667" i="7" s="1"/>
  <c r="H667" i="7"/>
  <c r="I667" i="7" s="1"/>
  <c r="G667" i="7"/>
  <c r="N666" i="7"/>
  <c r="M666" i="7"/>
  <c r="L666" i="7"/>
  <c r="J666" i="7"/>
  <c r="K666" i="7" s="1"/>
  <c r="O666" i="7" s="1"/>
  <c r="H666" i="7"/>
  <c r="I666" i="7" s="1"/>
  <c r="G666" i="7"/>
  <c r="N665" i="7"/>
  <c r="M665" i="7"/>
  <c r="L665" i="7"/>
  <c r="J665" i="7"/>
  <c r="K665" i="7" s="1"/>
  <c r="O665" i="7" s="1"/>
  <c r="H665" i="7"/>
  <c r="I665" i="7" s="1"/>
  <c r="G665" i="7"/>
  <c r="M664" i="7"/>
  <c r="L664" i="7"/>
  <c r="J664" i="7"/>
  <c r="K664" i="7" s="1"/>
  <c r="O664" i="7" s="1"/>
  <c r="H664" i="7"/>
  <c r="I664" i="7" s="1"/>
  <c r="G664" i="7"/>
  <c r="N664" i="7" s="1"/>
  <c r="N663" i="7"/>
  <c r="M663" i="7"/>
  <c r="L663" i="7"/>
  <c r="J663" i="7"/>
  <c r="K663" i="7" s="1"/>
  <c r="O663" i="7" s="1"/>
  <c r="H663" i="7"/>
  <c r="I663" i="7" s="1"/>
  <c r="G663" i="7"/>
  <c r="N662" i="7"/>
  <c r="M662" i="7"/>
  <c r="L662" i="7"/>
  <c r="J662" i="7"/>
  <c r="K662" i="7" s="1"/>
  <c r="O662" i="7" s="1"/>
  <c r="H662" i="7"/>
  <c r="I662" i="7" s="1"/>
  <c r="G662" i="7"/>
  <c r="N661" i="7"/>
  <c r="M661" i="7"/>
  <c r="L661" i="7"/>
  <c r="J661" i="7"/>
  <c r="K661" i="7" s="1"/>
  <c r="O661" i="7" s="1"/>
  <c r="H661" i="7"/>
  <c r="I661" i="7" s="1"/>
  <c r="G661" i="7"/>
  <c r="M660" i="7"/>
  <c r="L660" i="7"/>
  <c r="J660" i="7"/>
  <c r="K660" i="7" s="1"/>
  <c r="O660" i="7" s="1"/>
  <c r="H660" i="7"/>
  <c r="I660" i="7" s="1"/>
  <c r="G660" i="7"/>
  <c r="N660" i="7" s="1"/>
  <c r="N659" i="7"/>
  <c r="M659" i="7"/>
  <c r="L659" i="7"/>
  <c r="J659" i="7"/>
  <c r="K659" i="7" s="1"/>
  <c r="O659" i="7" s="1"/>
  <c r="H659" i="7"/>
  <c r="I659" i="7" s="1"/>
  <c r="G659" i="7"/>
  <c r="N658" i="7"/>
  <c r="M658" i="7"/>
  <c r="L658" i="7"/>
  <c r="J658" i="7"/>
  <c r="K658" i="7" s="1"/>
  <c r="O658" i="7" s="1"/>
  <c r="H658" i="7"/>
  <c r="I658" i="7" s="1"/>
  <c r="G658" i="7"/>
  <c r="N657" i="7"/>
  <c r="M657" i="7"/>
  <c r="L657" i="7"/>
  <c r="J657" i="7"/>
  <c r="K657" i="7" s="1"/>
  <c r="O657" i="7" s="1"/>
  <c r="H657" i="7"/>
  <c r="I657" i="7" s="1"/>
  <c r="G657" i="7"/>
  <c r="M656" i="7"/>
  <c r="L656" i="7"/>
  <c r="J656" i="7"/>
  <c r="K656" i="7" s="1"/>
  <c r="O656" i="7" s="1"/>
  <c r="H656" i="7"/>
  <c r="I656" i="7" s="1"/>
  <c r="G656" i="7"/>
  <c r="N656" i="7" s="1"/>
  <c r="N655" i="7"/>
  <c r="M655" i="7"/>
  <c r="L655" i="7"/>
  <c r="J655" i="7"/>
  <c r="K655" i="7" s="1"/>
  <c r="O655" i="7" s="1"/>
  <c r="H655" i="7"/>
  <c r="I655" i="7" s="1"/>
  <c r="G655" i="7"/>
  <c r="N654" i="7"/>
  <c r="M654" i="7"/>
  <c r="L654" i="7"/>
  <c r="J654" i="7"/>
  <c r="K654" i="7" s="1"/>
  <c r="O654" i="7" s="1"/>
  <c r="H654" i="7"/>
  <c r="I654" i="7" s="1"/>
  <c r="G654" i="7"/>
  <c r="N653" i="7"/>
  <c r="M653" i="7"/>
  <c r="L653" i="7"/>
  <c r="J653" i="7"/>
  <c r="K653" i="7" s="1"/>
  <c r="O653" i="7" s="1"/>
  <c r="H653" i="7"/>
  <c r="I653" i="7" s="1"/>
  <c r="G653" i="7"/>
  <c r="M652" i="7"/>
  <c r="L652" i="7"/>
  <c r="J652" i="7"/>
  <c r="K652" i="7" s="1"/>
  <c r="O652" i="7" s="1"/>
  <c r="H652" i="7"/>
  <c r="I652" i="7" s="1"/>
  <c r="G652" i="7"/>
  <c r="N652" i="7" s="1"/>
  <c r="N651" i="7"/>
  <c r="M651" i="7"/>
  <c r="L651" i="7"/>
  <c r="J651" i="7"/>
  <c r="K651" i="7" s="1"/>
  <c r="O651" i="7" s="1"/>
  <c r="H651" i="7"/>
  <c r="I651" i="7" s="1"/>
  <c r="G651" i="7"/>
  <c r="N650" i="7"/>
  <c r="M650" i="7"/>
  <c r="L650" i="7"/>
  <c r="J650" i="7"/>
  <c r="K650" i="7" s="1"/>
  <c r="O650" i="7" s="1"/>
  <c r="H650" i="7"/>
  <c r="I650" i="7" s="1"/>
  <c r="G650" i="7"/>
  <c r="N649" i="7"/>
  <c r="M649" i="7"/>
  <c r="L649" i="7"/>
  <c r="J649" i="7"/>
  <c r="K649" i="7" s="1"/>
  <c r="O649" i="7" s="1"/>
  <c r="H649" i="7"/>
  <c r="I649" i="7" s="1"/>
  <c r="G649" i="7"/>
  <c r="M648" i="7"/>
  <c r="L648" i="7"/>
  <c r="J648" i="7"/>
  <c r="K648" i="7" s="1"/>
  <c r="O648" i="7" s="1"/>
  <c r="H648" i="7"/>
  <c r="I648" i="7" s="1"/>
  <c r="G648" i="7"/>
  <c r="N648" i="7" s="1"/>
  <c r="N647" i="7"/>
  <c r="M647" i="7"/>
  <c r="L647" i="7"/>
  <c r="J647" i="7"/>
  <c r="K647" i="7" s="1"/>
  <c r="O647" i="7" s="1"/>
  <c r="H647" i="7"/>
  <c r="I647" i="7" s="1"/>
  <c r="G647" i="7"/>
  <c r="N646" i="7"/>
  <c r="M646" i="7"/>
  <c r="L646" i="7"/>
  <c r="J646" i="7"/>
  <c r="K646" i="7" s="1"/>
  <c r="O646" i="7" s="1"/>
  <c r="H646" i="7"/>
  <c r="I646" i="7" s="1"/>
  <c r="G646" i="7"/>
  <c r="N645" i="7"/>
  <c r="M645" i="7"/>
  <c r="L645" i="7"/>
  <c r="J645" i="7"/>
  <c r="K645" i="7" s="1"/>
  <c r="O645" i="7" s="1"/>
  <c r="H645" i="7"/>
  <c r="I645" i="7" s="1"/>
  <c r="G645" i="7"/>
  <c r="M644" i="7"/>
  <c r="L644" i="7"/>
  <c r="J644" i="7"/>
  <c r="K644" i="7" s="1"/>
  <c r="O644" i="7" s="1"/>
  <c r="H644" i="7"/>
  <c r="I644" i="7" s="1"/>
  <c r="G644" i="7"/>
  <c r="N644" i="7" s="1"/>
  <c r="N643" i="7"/>
  <c r="M643" i="7"/>
  <c r="L643" i="7"/>
  <c r="J643" i="7"/>
  <c r="K643" i="7" s="1"/>
  <c r="O643" i="7" s="1"/>
  <c r="H643" i="7"/>
  <c r="I643" i="7" s="1"/>
  <c r="G643" i="7"/>
  <c r="M642" i="7"/>
  <c r="L642" i="7"/>
  <c r="J642" i="7"/>
  <c r="K642" i="7" s="1"/>
  <c r="O642" i="7" s="1"/>
  <c r="H642" i="7"/>
  <c r="I642" i="7" s="1"/>
  <c r="G642" i="7"/>
  <c r="N642" i="7" s="1"/>
  <c r="N641" i="7"/>
  <c r="M641" i="7"/>
  <c r="L641" i="7"/>
  <c r="J641" i="7"/>
  <c r="K641" i="7" s="1"/>
  <c r="O641" i="7" s="1"/>
  <c r="H641" i="7"/>
  <c r="I641" i="7" s="1"/>
  <c r="G641" i="7"/>
  <c r="M640" i="7"/>
  <c r="L640" i="7"/>
  <c r="J640" i="7"/>
  <c r="K640" i="7" s="1"/>
  <c r="O640" i="7" s="1"/>
  <c r="H640" i="7"/>
  <c r="I640" i="7" s="1"/>
  <c r="G640" i="7"/>
  <c r="N640" i="7" s="1"/>
  <c r="N639" i="7"/>
  <c r="M639" i="7"/>
  <c r="L639" i="7"/>
  <c r="J639" i="7"/>
  <c r="K639" i="7" s="1"/>
  <c r="O639" i="7" s="1"/>
  <c r="H639" i="7"/>
  <c r="I639" i="7" s="1"/>
  <c r="G639" i="7"/>
  <c r="M638" i="7"/>
  <c r="L638" i="7"/>
  <c r="J638" i="7"/>
  <c r="K638" i="7" s="1"/>
  <c r="O638" i="7" s="1"/>
  <c r="H638" i="7"/>
  <c r="I638" i="7" s="1"/>
  <c r="G638" i="7"/>
  <c r="N638" i="7" s="1"/>
  <c r="N637" i="7"/>
  <c r="M637" i="7"/>
  <c r="L637" i="7"/>
  <c r="J637" i="7"/>
  <c r="K637" i="7" s="1"/>
  <c r="O637" i="7" s="1"/>
  <c r="H637" i="7"/>
  <c r="I637" i="7" s="1"/>
  <c r="G637" i="7"/>
  <c r="M636" i="7"/>
  <c r="L636" i="7"/>
  <c r="J636" i="7"/>
  <c r="K636" i="7" s="1"/>
  <c r="O636" i="7" s="1"/>
  <c r="H636" i="7"/>
  <c r="I636" i="7" s="1"/>
  <c r="G636" i="7"/>
  <c r="N636" i="7" s="1"/>
  <c r="N635" i="7"/>
  <c r="M635" i="7"/>
  <c r="L635" i="7"/>
  <c r="J635" i="7"/>
  <c r="K635" i="7" s="1"/>
  <c r="O635" i="7" s="1"/>
  <c r="H635" i="7"/>
  <c r="I635" i="7" s="1"/>
  <c r="G635" i="7"/>
  <c r="M634" i="7"/>
  <c r="L634" i="7"/>
  <c r="J634" i="7"/>
  <c r="K634" i="7" s="1"/>
  <c r="O634" i="7" s="1"/>
  <c r="H634" i="7"/>
  <c r="I634" i="7" s="1"/>
  <c r="G634" i="7"/>
  <c r="N634" i="7" s="1"/>
  <c r="N633" i="7"/>
  <c r="M633" i="7"/>
  <c r="L633" i="7"/>
  <c r="J633" i="7"/>
  <c r="K633" i="7" s="1"/>
  <c r="O633" i="7" s="1"/>
  <c r="H633" i="7"/>
  <c r="I633" i="7" s="1"/>
  <c r="G633" i="7"/>
  <c r="M632" i="7"/>
  <c r="L632" i="7"/>
  <c r="J632" i="7"/>
  <c r="K632" i="7" s="1"/>
  <c r="O632" i="7" s="1"/>
  <c r="H632" i="7"/>
  <c r="I632" i="7" s="1"/>
  <c r="G632" i="7"/>
  <c r="N632" i="7" s="1"/>
  <c r="N631" i="7"/>
  <c r="M631" i="7"/>
  <c r="L631" i="7"/>
  <c r="J631" i="7"/>
  <c r="K631" i="7" s="1"/>
  <c r="O631" i="7" s="1"/>
  <c r="H631" i="7"/>
  <c r="I631" i="7" s="1"/>
  <c r="G631" i="7"/>
  <c r="M630" i="7"/>
  <c r="L630" i="7"/>
  <c r="J630" i="7"/>
  <c r="K630" i="7" s="1"/>
  <c r="O630" i="7" s="1"/>
  <c r="H630" i="7"/>
  <c r="I630" i="7" s="1"/>
  <c r="G630" i="7"/>
  <c r="N630" i="7" s="1"/>
  <c r="N629" i="7"/>
  <c r="M629" i="7"/>
  <c r="L629" i="7"/>
  <c r="J629" i="7"/>
  <c r="K629" i="7" s="1"/>
  <c r="O629" i="7" s="1"/>
  <c r="H629" i="7"/>
  <c r="I629" i="7" s="1"/>
  <c r="G629" i="7"/>
  <c r="M628" i="7"/>
  <c r="L628" i="7"/>
  <c r="J628" i="7"/>
  <c r="K628" i="7" s="1"/>
  <c r="O628" i="7" s="1"/>
  <c r="H628" i="7"/>
  <c r="I628" i="7" s="1"/>
  <c r="G628" i="7"/>
  <c r="N628" i="7" s="1"/>
  <c r="N627" i="7"/>
  <c r="M627" i="7"/>
  <c r="L627" i="7"/>
  <c r="J627" i="7"/>
  <c r="K627" i="7" s="1"/>
  <c r="O627" i="7" s="1"/>
  <c r="H627" i="7"/>
  <c r="I627" i="7" s="1"/>
  <c r="G627" i="7"/>
  <c r="M626" i="7"/>
  <c r="L626" i="7"/>
  <c r="J626" i="7"/>
  <c r="K626" i="7" s="1"/>
  <c r="O626" i="7" s="1"/>
  <c r="H626" i="7"/>
  <c r="I626" i="7" s="1"/>
  <c r="G626" i="7"/>
  <c r="N626" i="7" s="1"/>
  <c r="N625" i="7"/>
  <c r="M625" i="7"/>
  <c r="L625" i="7"/>
  <c r="J625" i="7"/>
  <c r="K625" i="7" s="1"/>
  <c r="O625" i="7" s="1"/>
  <c r="H625" i="7"/>
  <c r="I625" i="7" s="1"/>
  <c r="G625" i="7"/>
  <c r="M624" i="7"/>
  <c r="L624" i="7"/>
  <c r="J624" i="7"/>
  <c r="K624" i="7" s="1"/>
  <c r="O624" i="7" s="1"/>
  <c r="H624" i="7"/>
  <c r="I624" i="7" s="1"/>
  <c r="G624" i="7"/>
  <c r="N624" i="7" s="1"/>
  <c r="N623" i="7"/>
  <c r="M623" i="7"/>
  <c r="L623" i="7"/>
  <c r="J623" i="7"/>
  <c r="K623" i="7" s="1"/>
  <c r="O623" i="7" s="1"/>
  <c r="H623" i="7"/>
  <c r="I623" i="7" s="1"/>
  <c r="G623" i="7"/>
  <c r="M622" i="7"/>
  <c r="L622" i="7"/>
  <c r="J622" i="7"/>
  <c r="K622" i="7" s="1"/>
  <c r="O622" i="7" s="1"/>
  <c r="H622" i="7"/>
  <c r="I622" i="7" s="1"/>
  <c r="G622" i="7"/>
  <c r="N622" i="7" s="1"/>
  <c r="N621" i="7"/>
  <c r="M621" i="7"/>
  <c r="L621" i="7"/>
  <c r="J621" i="7"/>
  <c r="K621" i="7" s="1"/>
  <c r="O621" i="7" s="1"/>
  <c r="H621" i="7"/>
  <c r="I621" i="7" s="1"/>
  <c r="G621" i="7"/>
  <c r="M620" i="7"/>
  <c r="L620" i="7"/>
  <c r="J620" i="7"/>
  <c r="K620" i="7" s="1"/>
  <c r="O620" i="7" s="1"/>
  <c r="H620" i="7"/>
  <c r="I620" i="7" s="1"/>
  <c r="G620" i="7"/>
  <c r="N620" i="7" s="1"/>
  <c r="N619" i="7"/>
  <c r="M619" i="7"/>
  <c r="L619" i="7"/>
  <c r="J619" i="7"/>
  <c r="K619" i="7" s="1"/>
  <c r="O619" i="7" s="1"/>
  <c r="H619" i="7"/>
  <c r="I619" i="7" s="1"/>
  <c r="G619" i="7"/>
  <c r="M618" i="7"/>
  <c r="L618" i="7"/>
  <c r="J618" i="7"/>
  <c r="K618" i="7" s="1"/>
  <c r="O618" i="7" s="1"/>
  <c r="H618" i="7"/>
  <c r="I618" i="7" s="1"/>
  <c r="G618" i="7"/>
  <c r="N618" i="7" s="1"/>
  <c r="N617" i="7"/>
  <c r="M617" i="7"/>
  <c r="L617" i="7"/>
  <c r="J617" i="7"/>
  <c r="K617" i="7" s="1"/>
  <c r="O617" i="7" s="1"/>
  <c r="H617" i="7"/>
  <c r="I617" i="7" s="1"/>
  <c r="G617" i="7"/>
  <c r="M616" i="7"/>
  <c r="L616" i="7"/>
  <c r="J616" i="7"/>
  <c r="K616" i="7" s="1"/>
  <c r="O616" i="7" s="1"/>
  <c r="H616" i="7"/>
  <c r="I616" i="7" s="1"/>
  <c r="G616" i="7"/>
  <c r="N616" i="7" s="1"/>
  <c r="M615" i="7"/>
  <c r="L615" i="7"/>
  <c r="J615" i="7"/>
  <c r="K615" i="7" s="1"/>
  <c r="O615" i="7" s="1"/>
  <c r="H615" i="7"/>
  <c r="I615" i="7" s="1"/>
  <c r="G615" i="7"/>
  <c r="N615" i="7" s="1"/>
  <c r="M614" i="7"/>
  <c r="L614" i="7"/>
  <c r="J614" i="7"/>
  <c r="K614" i="7" s="1"/>
  <c r="O614" i="7" s="1"/>
  <c r="H614" i="7"/>
  <c r="I614" i="7" s="1"/>
  <c r="G614" i="7"/>
  <c r="N614" i="7" s="1"/>
  <c r="N613" i="7"/>
  <c r="M613" i="7"/>
  <c r="L613" i="7"/>
  <c r="J613" i="7"/>
  <c r="K613" i="7" s="1"/>
  <c r="O613" i="7" s="1"/>
  <c r="H613" i="7"/>
  <c r="I613" i="7" s="1"/>
  <c r="G613" i="7"/>
  <c r="N612" i="7"/>
  <c r="M612" i="7"/>
  <c r="L612" i="7"/>
  <c r="J612" i="7"/>
  <c r="K612" i="7" s="1"/>
  <c r="O612" i="7" s="1"/>
  <c r="H612" i="7"/>
  <c r="I612" i="7" s="1"/>
  <c r="G612" i="7"/>
  <c r="M611" i="7"/>
  <c r="L611" i="7"/>
  <c r="J611" i="7"/>
  <c r="K611" i="7" s="1"/>
  <c r="O611" i="7" s="1"/>
  <c r="H611" i="7"/>
  <c r="I611" i="7" s="1"/>
  <c r="G611" i="7"/>
  <c r="N611" i="7" s="1"/>
  <c r="M610" i="7"/>
  <c r="L610" i="7"/>
  <c r="J610" i="7"/>
  <c r="K610" i="7" s="1"/>
  <c r="O610" i="7" s="1"/>
  <c r="H610" i="7"/>
  <c r="I610" i="7" s="1"/>
  <c r="G610" i="7"/>
  <c r="N610" i="7" s="1"/>
  <c r="N609" i="7"/>
  <c r="M609" i="7"/>
  <c r="L609" i="7"/>
  <c r="J609" i="7"/>
  <c r="K609" i="7" s="1"/>
  <c r="O609" i="7" s="1"/>
  <c r="H609" i="7"/>
  <c r="I609" i="7" s="1"/>
  <c r="G609" i="7"/>
  <c r="N608" i="7"/>
  <c r="M608" i="7"/>
  <c r="L608" i="7"/>
  <c r="J608" i="7"/>
  <c r="K608" i="7" s="1"/>
  <c r="O608" i="7" s="1"/>
  <c r="H608" i="7"/>
  <c r="I608" i="7" s="1"/>
  <c r="G608" i="7"/>
  <c r="M607" i="7"/>
  <c r="L607" i="7"/>
  <c r="J607" i="7"/>
  <c r="K607" i="7" s="1"/>
  <c r="O607" i="7" s="1"/>
  <c r="H607" i="7"/>
  <c r="I607" i="7" s="1"/>
  <c r="G607" i="7"/>
  <c r="N607" i="7" s="1"/>
  <c r="M606" i="7"/>
  <c r="L606" i="7"/>
  <c r="J606" i="7"/>
  <c r="K606" i="7" s="1"/>
  <c r="O606" i="7" s="1"/>
  <c r="H606" i="7"/>
  <c r="I606" i="7" s="1"/>
  <c r="G606" i="7"/>
  <c r="N606" i="7" s="1"/>
  <c r="N605" i="7"/>
  <c r="M605" i="7"/>
  <c r="L605" i="7"/>
  <c r="J605" i="7"/>
  <c r="K605" i="7" s="1"/>
  <c r="O605" i="7" s="1"/>
  <c r="H605" i="7"/>
  <c r="I605" i="7" s="1"/>
  <c r="G605" i="7"/>
  <c r="N604" i="7"/>
  <c r="M604" i="7"/>
  <c r="L604" i="7"/>
  <c r="J604" i="7"/>
  <c r="K604" i="7" s="1"/>
  <c r="O604" i="7" s="1"/>
  <c r="H604" i="7"/>
  <c r="I604" i="7" s="1"/>
  <c r="G604" i="7"/>
  <c r="M603" i="7"/>
  <c r="L603" i="7"/>
  <c r="J603" i="7"/>
  <c r="K603" i="7" s="1"/>
  <c r="O603" i="7" s="1"/>
  <c r="H603" i="7"/>
  <c r="I603" i="7" s="1"/>
  <c r="G603" i="7"/>
  <c r="N603" i="7" s="1"/>
  <c r="M602" i="7"/>
  <c r="L602" i="7"/>
  <c r="J602" i="7"/>
  <c r="K602" i="7" s="1"/>
  <c r="O602" i="7" s="1"/>
  <c r="H602" i="7"/>
  <c r="I602" i="7" s="1"/>
  <c r="G602" i="7"/>
  <c r="N602" i="7" s="1"/>
  <c r="N601" i="7"/>
  <c r="M601" i="7"/>
  <c r="L601" i="7"/>
  <c r="J601" i="7"/>
  <c r="K601" i="7" s="1"/>
  <c r="O601" i="7" s="1"/>
  <c r="H601" i="7"/>
  <c r="I601" i="7" s="1"/>
  <c r="G601" i="7"/>
  <c r="N600" i="7"/>
  <c r="M600" i="7"/>
  <c r="L600" i="7"/>
  <c r="J600" i="7"/>
  <c r="K600" i="7" s="1"/>
  <c r="O600" i="7" s="1"/>
  <c r="H600" i="7"/>
  <c r="I600" i="7" s="1"/>
  <c r="G600" i="7"/>
  <c r="M599" i="7"/>
  <c r="L599" i="7"/>
  <c r="J599" i="7"/>
  <c r="K599" i="7" s="1"/>
  <c r="O599" i="7" s="1"/>
  <c r="H599" i="7"/>
  <c r="I599" i="7" s="1"/>
  <c r="G599" i="7"/>
  <c r="N599" i="7" s="1"/>
  <c r="M598" i="7"/>
  <c r="L598" i="7"/>
  <c r="J598" i="7"/>
  <c r="K598" i="7" s="1"/>
  <c r="O598" i="7" s="1"/>
  <c r="H598" i="7"/>
  <c r="I598" i="7" s="1"/>
  <c r="G598" i="7"/>
  <c r="N598" i="7" s="1"/>
  <c r="N597" i="7"/>
  <c r="M597" i="7"/>
  <c r="L597" i="7"/>
  <c r="J597" i="7"/>
  <c r="K597" i="7" s="1"/>
  <c r="O597" i="7" s="1"/>
  <c r="H597" i="7"/>
  <c r="I597" i="7" s="1"/>
  <c r="G597" i="7"/>
  <c r="N596" i="7"/>
  <c r="M596" i="7"/>
  <c r="L596" i="7"/>
  <c r="J596" i="7"/>
  <c r="K596" i="7" s="1"/>
  <c r="O596" i="7" s="1"/>
  <c r="H596" i="7"/>
  <c r="I596" i="7" s="1"/>
  <c r="G596" i="7"/>
  <c r="M595" i="7"/>
  <c r="L595" i="7"/>
  <c r="J595" i="7"/>
  <c r="K595" i="7" s="1"/>
  <c r="O595" i="7" s="1"/>
  <c r="H595" i="7"/>
  <c r="I595" i="7" s="1"/>
  <c r="G595" i="7"/>
  <c r="N595" i="7" s="1"/>
  <c r="M594" i="7"/>
  <c r="L594" i="7"/>
  <c r="J594" i="7"/>
  <c r="K594" i="7" s="1"/>
  <c r="O594" i="7" s="1"/>
  <c r="H594" i="7"/>
  <c r="I594" i="7" s="1"/>
  <c r="G594" i="7"/>
  <c r="N594" i="7" s="1"/>
  <c r="N593" i="7"/>
  <c r="M593" i="7"/>
  <c r="L593" i="7"/>
  <c r="J593" i="7"/>
  <c r="K593" i="7" s="1"/>
  <c r="O593" i="7" s="1"/>
  <c r="H593" i="7"/>
  <c r="I593" i="7" s="1"/>
  <c r="G593" i="7"/>
  <c r="N592" i="7"/>
  <c r="M592" i="7"/>
  <c r="L592" i="7"/>
  <c r="J592" i="7"/>
  <c r="K592" i="7" s="1"/>
  <c r="O592" i="7" s="1"/>
  <c r="H592" i="7"/>
  <c r="I592" i="7" s="1"/>
  <c r="G592" i="7"/>
  <c r="M591" i="7"/>
  <c r="L591" i="7"/>
  <c r="J591" i="7"/>
  <c r="K591" i="7" s="1"/>
  <c r="O591" i="7" s="1"/>
  <c r="H591" i="7"/>
  <c r="I591" i="7" s="1"/>
  <c r="G591" i="7"/>
  <c r="N591" i="7" s="1"/>
  <c r="M590" i="7"/>
  <c r="L590" i="7"/>
  <c r="J590" i="7"/>
  <c r="K590" i="7" s="1"/>
  <c r="O590" i="7" s="1"/>
  <c r="H590" i="7"/>
  <c r="I590" i="7" s="1"/>
  <c r="G590" i="7"/>
  <c r="N590" i="7" s="1"/>
  <c r="N589" i="7"/>
  <c r="M589" i="7"/>
  <c r="L589" i="7"/>
  <c r="J589" i="7"/>
  <c r="K589" i="7" s="1"/>
  <c r="O589" i="7" s="1"/>
  <c r="H589" i="7"/>
  <c r="I589" i="7" s="1"/>
  <c r="G589" i="7"/>
  <c r="N588" i="7"/>
  <c r="M588" i="7"/>
  <c r="L588" i="7"/>
  <c r="J588" i="7"/>
  <c r="K588" i="7" s="1"/>
  <c r="O588" i="7" s="1"/>
  <c r="H588" i="7"/>
  <c r="I588" i="7" s="1"/>
  <c r="G588" i="7"/>
  <c r="M587" i="7"/>
  <c r="L587" i="7"/>
  <c r="J587" i="7"/>
  <c r="K587" i="7" s="1"/>
  <c r="O587" i="7" s="1"/>
  <c r="H587" i="7"/>
  <c r="I587" i="7" s="1"/>
  <c r="G587" i="7"/>
  <c r="N587" i="7" s="1"/>
  <c r="M586" i="7"/>
  <c r="L586" i="7"/>
  <c r="J586" i="7"/>
  <c r="K586" i="7" s="1"/>
  <c r="O586" i="7" s="1"/>
  <c r="H586" i="7"/>
  <c r="I586" i="7" s="1"/>
  <c r="G586" i="7"/>
  <c r="N586" i="7" s="1"/>
  <c r="N585" i="7"/>
  <c r="M585" i="7"/>
  <c r="L585" i="7"/>
  <c r="J585" i="7"/>
  <c r="K585" i="7" s="1"/>
  <c r="O585" i="7" s="1"/>
  <c r="H585" i="7"/>
  <c r="I585" i="7" s="1"/>
  <c r="G585" i="7"/>
  <c r="N584" i="7"/>
  <c r="M584" i="7"/>
  <c r="L584" i="7"/>
  <c r="J584" i="7"/>
  <c r="K584" i="7" s="1"/>
  <c r="O584" i="7" s="1"/>
  <c r="H584" i="7"/>
  <c r="I584" i="7" s="1"/>
  <c r="G584" i="7"/>
  <c r="M583" i="7"/>
  <c r="L583" i="7"/>
  <c r="J583" i="7"/>
  <c r="K583" i="7" s="1"/>
  <c r="O583" i="7" s="1"/>
  <c r="H583" i="7"/>
  <c r="I583" i="7" s="1"/>
  <c r="G583" i="7"/>
  <c r="N583" i="7" s="1"/>
  <c r="M582" i="7"/>
  <c r="L582" i="7"/>
  <c r="J582" i="7"/>
  <c r="K582" i="7" s="1"/>
  <c r="O582" i="7" s="1"/>
  <c r="H582" i="7"/>
  <c r="I582" i="7" s="1"/>
  <c r="G582" i="7"/>
  <c r="N582" i="7" s="1"/>
  <c r="N581" i="7"/>
  <c r="M581" i="7"/>
  <c r="L581" i="7"/>
  <c r="J581" i="7"/>
  <c r="K581" i="7" s="1"/>
  <c r="O581" i="7" s="1"/>
  <c r="H581" i="7"/>
  <c r="I581" i="7" s="1"/>
  <c r="G581" i="7"/>
  <c r="N580" i="7"/>
  <c r="M580" i="7"/>
  <c r="L580" i="7"/>
  <c r="J580" i="7"/>
  <c r="K580" i="7" s="1"/>
  <c r="O580" i="7" s="1"/>
  <c r="H580" i="7"/>
  <c r="I580" i="7" s="1"/>
  <c r="G580" i="7"/>
  <c r="M579" i="7"/>
  <c r="L579" i="7"/>
  <c r="J579" i="7"/>
  <c r="K579" i="7" s="1"/>
  <c r="O579" i="7" s="1"/>
  <c r="H579" i="7"/>
  <c r="I579" i="7" s="1"/>
  <c r="G579" i="7"/>
  <c r="N579" i="7" s="1"/>
  <c r="M578" i="7"/>
  <c r="L578" i="7"/>
  <c r="J578" i="7"/>
  <c r="K578" i="7" s="1"/>
  <c r="O578" i="7" s="1"/>
  <c r="H578" i="7"/>
  <c r="I578" i="7" s="1"/>
  <c r="G578" i="7"/>
  <c r="N578" i="7" s="1"/>
  <c r="N577" i="7"/>
  <c r="M577" i="7"/>
  <c r="L577" i="7"/>
  <c r="J577" i="7"/>
  <c r="K577" i="7" s="1"/>
  <c r="O577" i="7" s="1"/>
  <c r="H577" i="7"/>
  <c r="I577" i="7" s="1"/>
  <c r="G577" i="7"/>
  <c r="N576" i="7"/>
  <c r="M576" i="7"/>
  <c r="L576" i="7"/>
  <c r="J576" i="7"/>
  <c r="K576" i="7" s="1"/>
  <c r="O576" i="7" s="1"/>
  <c r="H576" i="7"/>
  <c r="I576" i="7" s="1"/>
  <c r="G576" i="7"/>
  <c r="M575" i="7"/>
  <c r="L575" i="7"/>
  <c r="J575" i="7"/>
  <c r="K575" i="7" s="1"/>
  <c r="O575" i="7" s="1"/>
  <c r="H575" i="7"/>
  <c r="I575" i="7" s="1"/>
  <c r="G575" i="7"/>
  <c r="N575" i="7" s="1"/>
  <c r="M574" i="7"/>
  <c r="L574" i="7"/>
  <c r="J574" i="7"/>
  <c r="K574" i="7" s="1"/>
  <c r="O574" i="7" s="1"/>
  <c r="H574" i="7"/>
  <c r="I574" i="7" s="1"/>
  <c r="G574" i="7"/>
  <c r="N574" i="7" s="1"/>
  <c r="N573" i="7"/>
  <c r="M573" i="7"/>
  <c r="L573" i="7"/>
  <c r="J573" i="7"/>
  <c r="K573" i="7" s="1"/>
  <c r="O573" i="7" s="1"/>
  <c r="H573" i="7"/>
  <c r="I573" i="7" s="1"/>
  <c r="G573" i="7"/>
  <c r="N572" i="7"/>
  <c r="M572" i="7"/>
  <c r="L572" i="7"/>
  <c r="J572" i="7"/>
  <c r="K572" i="7" s="1"/>
  <c r="O572" i="7" s="1"/>
  <c r="H572" i="7"/>
  <c r="I572" i="7" s="1"/>
  <c r="G572" i="7"/>
  <c r="M571" i="7"/>
  <c r="L571" i="7"/>
  <c r="J571" i="7"/>
  <c r="K571" i="7" s="1"/>
  <c r="O571" i="7" s="1"/>
  <c r="H571" i="7"/>
  <c r="I571" i="7" s="1"/>
  <c r="G571" i="7"/>
  <c r="N571" i="7" s="1"/>
  <c r="M570" i="7"/>
  <c r="L570" i="7"/>
  <c r="J570" i="7"/>
  <c r="K570" i="7" s="1"/>
  <c r="O570" i="7" s="1"/>
  <c r="H570" i="7"/>
  <c r="I570" i="7" s="1"/>
  <c r="G570" i="7"/>
  <c r="N570" i="7" s="1"/>
  <c r="N569" i="7"/>
  <c r="M569" i="7"/>
  <c r="L569" i="7"/>
  <c r="J569" i="7"/>
  <c r="K569" i="7" s="1"/>
  <c r="O569" i="7" s="1"/>
  <c r="H569" i="7"/>
  <c r="I569" i="7" s="1"/>
  <c r="G569" i="7"/>
  <c r="N568" i="7"/>
  <c r="M568" i="7"/>
  <c r="L568" i="7"/>
  <c r="J568" i="7"/>
  <c r="K568" i="7" s="1"/>
  <c r="O568" i="7" s="1"/>
  <c r="H568" i="7"/>
  <c r="I568" i="7" s="1"/>
  <c r="G568" i="7"/>
  <c r="M567" i="7"/>
  <c r="L567" i="7"/>
  <c r="J567" i="7"/>
  <c r="K567" i="7" s="1"/>
  <c r="O567" i="7" s="1"/>
  <c r="H567" i="7"/>
  <c r="I567" i="7" s="1"/>
  <c r="G567" i="7"/>
  <c r="N567" i="7" s="1"/>
  <c r="M566" i="7"/>
  <c r="L566" i="7"/>
  <c r="J566" i="7"/>
  <c r="K566" i="7" s="1"/>
  <c r="O566" i="7" s="1"/>
  <c r="H566" i="7"/>
  <c r="I566" i="7" s="1"/>
  <c r="G566" i="7"/>
  <c r="N566" i="7" s="1"/>
  <c r="N565" i="7"/>
  <c r="M565" i="7"/>
  <c r="L565" i="7"/>
  <c r="J565" i="7"/>
  <c r="K565" i="7" s="1"/>
  <c r="O565" i="7" s="1"/>
  <c r="H565" i="7"/>
  <c r="I565" i="7" s="1"/>
  <c r="G565" i="7"/>
  <c r="N564" i="7"/>
  <c r="M564" i="7"/>
  <c r="L564" i="7"/>
  <c r="J564" i="7"/>
  <c r="K564" i="7" s="1"/>
  <c r="O564" i="7" s="1"/>
  <c r="H564" i="7"/>
  <c r="I564" i="7" s="1"/>
  <c r="G564" i="7"/>
  <c r="M563" i="7"/>
  <c r="L563" i="7"/>
  <c r="J563" i="7"/>
  <c r="K563" i="7" s="1"/>
  <c r="O563" i="7" s="1"/>
  <c r="H563" i="7"/>
  <c r="I563" i="7" s="1"/>
  <c r="G563" i="7"/>
  <c r="N563" i="7" s="1"/>
  <c r="M562" i="7"/>
  <c r="L562" i="7"/>
  <c r="J562" i="7"/>
  <c r="K562" i="7" s="1"/>
  <c r="O562" i="7" s="1"/>
  <c r="H562" i="7"/>
  <c r="I562" i="7" s="1"/>
  <c r="G562" i="7"/>
  <c r="N562" i="7" s="1"/>
  <c r="N561" i="7"/>
  <c r="M561" i="7"/>
  <c r="L561" i="7"/>
  <c r="J561" i="7"/>
  <c r="K561" i="7" s="1"/>
  <c r="O561" i="7" s="1"/>
  <c r="H561" i="7"/>
  <c r="I561" i="7" s="1"/>
  <c r="G561" i="7"/>
  <c r="N560" i="7"/>
  <c r="M560" i="7"/>
  <c r="L560" i="7"/>
  <c r="J560" i="7"/>
  <c r="K560" i="7" s="1"/>
  <c r="O560" i="7" s="1"/>
  <c r="H560" i="7"/>
  <c r="I560" i="7" s="1"/>
  <c r="G560" i="7"/>
  <c r="M559" i="7"/>
  <c r="L559" i="7"/>
  <c r="J559" i="7"/>
  <c r="K559" i="7" s="1"/>
  <c r="O559" i="7" s="1"/>
  <c r="H559" i="7"/>
  <c r="I559" i="7" s="1"/>
  <c r="G559" i="7"/>
  <c r="N559" i="7" s="1"/>
  <c r="M558" i="7"/>
  <c r="L558" i="7"/>
  <c r="J558" i="7"/>
  <c r="K558" i="7" s="1"/>
  <c r="O558" i="7" s="1"/>
  <c r="H558" i="7"/>
  <c r="I558" i="7" s="1"/>
  <c r="G558" i="7"/>
  <c r="N558" i="7" s="1"/>
  <c r="N557" i="7"/>
  <c r="M557" i="7"/>
  <c r="L557" i="7"/>
  <c r="J557" i="7"/>
  <c r="K557" i="7" s="1"/>
  <c r="O557" i="7" s="1"/>
  <c r="H557" i="7"/>
  <c r="I557" i="7" s="1"/>
  <c r="G557" i="7"/>
  <c r="N556" i="7"/>
  <c r="M556" i="7"/>
  <c r="L556" i="7"/>
  <c r="J556" i="7"/>
  <c r="K556" i="7" s="1"/>
  <c r="O556" i="7" s="1"/>
  <c r="H556" i="7"/>
  <c r="I556" i="7" s="1"/>
  <c r="G556" i="7"/>
  <c r="M555" i="7"/>
  <c r="L555" i="7"/>
  <c r="J555" i="7"/>
  <c r="K555" i="7" s="1"/>
  <c r="O555" i="7" s="1"/>
  <c r="H555" i="7"/>
  <c r="I555" i="7" s="1"/>
  <c r="G555" i="7"/>
  <c r="N555" i="7" s="1"/>
  <c r="M554" i="7"/>
  <c r="L554" i="7"/>
  <c r="J554" i="7"/>
  <c r="K554" i="7" s="1"/>
  <c r="O554" i="7" s="1"/>
  <c r="H554" i="7"/>
  <c r="I554" i="7" s="1"/>
  <c r="G554" i="7"/>
  <c r="N554" i="7" s="1"/>
  <c r="N553" i="7"/>
  <c r="M553" i="7"/>
  <c r="L553" i="7"/>
  <c r="J553" i="7"/>
  <c r="K553" i="7" s="1"/>
  <c r="O553" i="7" s="1"/>
  <c r="H553" i="7"/>
  <c r="I553" i="7" s="1"/>
  <c r="G553" i="7"/>
  <c r="N552" i="7"/>
  <c r="M552" i="7"/>
  <c r="L552" i="7"/>
  <c r="J552" i="7"/>
  <c r="K552" i="7" s="1"/>
  <c r="O552" i="7" s="1"/>
  <c r="H552" i="7"/>
  <c r="I552" i="7" s="1"/>
  <c r="G552" i="7"/>
  <c r="M551" i="7"/>
  <c r="L551" i="7"/>
  <c r="J551" i="7"/>
  <c r="K551" i="7" s="1"/>
  <c r="O551" i="7" s="1"/>
  <c r="H551" i="7"/>
  <c r="I551" i="7" s="1"/>
  <c r="G551" i="7"/>
  <c r="N551" i="7" s="1"/>
  <c r="M550" i="7"/>
  <c r="L550" i="7"/>
  <c r="J550" i="7"/>
  <c r="K550" i="7" s="1"/>
  <c r="O550" i="7" s="1"/>
  <c r="H550" i="7"/>
  <c r="I550" i="7" s="1"/>
  <c r="G550" i="7"/>
  <c r="N550" i="7" s="1"/>
  <c r="N549" i="7"/>
  <c r="M549" i="7"/>
  <c r="L549" i="7"/>
  <c r="J549" i="7"/>
  <c r="K549" i="7" s="1"/>
  <c r="O549" i="7" s="1"/>
  <c r="H549" i="7"/>
  <c r="I549" i="7" s="1"/>
  <c r="G549" i="7"/>
  <c r="N548" i="7"/>
  <c r="M548" i="7"/>
  <c r="L548" i="7"/>
  <c r="J548" i="7"/>
  <c r="K548" i="7" s="1"/>
  <c r="O548" i="7" s="1"/>
  <c r="H548" i="7"/>
  <c r="I548" i="7" s="1"/>
  <c r="G548" i="7"/>
  <c r="M547" i="7"/>
  <c r="L547" i="7"/>
  <c r="J547" i="7"/>
  <c r="K547" i="7" s="1"/>
  <c r="O547" i="7" s="1"/>
  <c r="H547" i="7"/>
  <c r="I547" i="7" s="1"/>
  <c r="G547" i="7"/>
  <c r="N547" i="7" s="1"/>
  <c r="M546" i="7"/>
  <c r="L546" i="7"/>
  <c r="J546" i="7"/>
  <c r="K546" i="7" s="1"/>
  <c r="O546" i="7" s="1"/>
  <c r="H546" i="7"/>
  <c r="I546" i="7" s="1"/>
  <c r="G546" i="7"/>
  <c r="N546" i="7" s="1"/>
  <c r="N545" i="7"/>
  <c r="M545" i="7"/>
  <c r="L545" i="7"/>
  <c r="J545" i="7"/>
  <c r="K545" i="7" s="1"/>
  <c r="O545" i="7" s="1"/>
  <c r="H545" i="7"/>
  <c r="I545" i="7" s="1"/>
  <c r="G545" i="7"/>
  <c r="N544" i="7"/>
  <c r="M544" i="7"/>
  <c r="L544" i="7"/>
  <c r="J544" i="7"/>
  <c r="K544" i="7" s="1"/>
  <c r="O544" i="7" s="1"/>
  <c r="H544" i="7"/>
  <c r="I544" i="7" s="1"/>
  <c r="G544" i="7"/>
  <c r="M543" i="7"/>
  <c r="L543" i="7"/>
  <c r="J543" i="7"/>
  <c r="K543" i="7" s="1"/>
  <c r="O543" i="7" s="1"/>
  <c r="H543" i="7"/>
  <c r="I543" i="7" s="1"/>
  <c r="G543" i="7"/>
  <c r="N543" i="7" s="1"/>
  <c r="M542" i="7"/>
  <c r="L542" i="7"/>
  <c r="J542" i="7"/>
  <c r="K542" i="7" s="1"/>
  <c r="O542" i="7" s="1"/>
  <c r="H542" i="7"/>
  <c r="I542" i="7" s="1"/>
  <c r="G542" i="7"/>
  <c r="N542" i="7" s="1"/>
  <c r="N541" i="7"/>
  <c r="M541" i="7"/>
  <c r="L541" i="7"/>
  <c r="J541" i="7"/>
  <c r="K541" i="7" s="1"/>
  <c r="O541" i="7" s="1"/>
  <c r="H541" i="7"/>
  <c r="I541" i="7" s="1"/>
  <c r="G541" i="7"/>
  <c r="N540" i="7"/>
  <c r="M540" i="7"/>
  <c r="L540" i="7"/>
  <c r="J540" i="7"/>
  <c r="K540" i="7" s="1"/>
  <c r="O540" i="7" s="1"/>
  <c r="H540" i="7"/>
  <c r="I540" i="7" s="1"/>
  <c r="G540" i="7"/>
  <c r="M539" i="7"/>
  <c r="L539" i="7"/>
  <c r="J539" i="7"/>
  <c r="K539" i="7" s="1"/>
  <c r="O539" i="7" s="1"/>
  <c r="H539" i="7"/>
  <c r="I539" i="7" s="1"/>
  <c r="G539" i="7"/>
  <c r="N539" i="7" s="1"/>
  <c r="M538" i="7"/>
  <c r="L538" i="7"/>
  <c r="J538" i="7"/>
  <c r="K538" i="7" s="1"/>
  <c r="O538" i="7" s="1"/>
  <c r="H538" i="7"/>
  <c r="I538" i="7" s="1"/>
  <c r="G538" i="7"/>
  <c r="N538" i="7" s="1"/>
  <c r="N537" i="7"/>
  <c r="M537" i="7"/>
  <c r="L537" i="7"/>
  <c r="J537" i="7"/>
  <c r="K537" i="7" s="1"/>
  <c r="O537" i="7" s="1"/>
  <c r="H537" i="7"/>
  <c r="I537" i="7" s="1"/>
  <c r="G537" i="7"/>
  <c r="N536" i="7"/>
  <c r="M536" i="7"/>
  <c r="L536" i="7"/>
  <c r="J536" i="7"/>
  <c r="K536" i="7" s="1"/>
  <c r="O536" i="7" s="1"/>
  <c r="H536" i="7"/>
  <c r="I536" i="7" s="1"/>
  <c r="G536" i="7"/>
  <c r="M535" i="7"/>
  <c r="L535" i="7"/>
  <c r="J535" i="7"/>
  <c r="K535" i="7" s="1"/>
  <c r="O535" i="7" s="1"/>
  <c r="H535" i="7"/>
  <c r="I535" i="7" s="1"/>
  <c r="G535" i="7"/>
  <c r="N535" i="7" s="1"/>
  <c r="M534" i="7"/>
  <c r="L534" i="7"/>
  <c r="J534" i="7"/>
  <c r="K534" i="7" s="1"/>
  <c r="O534" i="7" s="1"/>
  <c r="H534" i="7"/>
  <c r="I534" i="7" s="1"/>
  <c r="G534" i="7"/>
  <c r="N534" i="7" s="1"/>
  <c r="N533" i="7"/>
  <c r="M533" i="7"/>
  <c r="L533" i="7"/>
  <c r="J533" i="7"/>
  <c r="K533" i="7" s="1"/>
  <c r="O533" i="7" s="1"/>
  <c r="H533" i="7"/>
  <c r="I533" i="7" s="1"/>
  <c r="G533" i="7"/>
  <c r="N532" i="7"/>
  <c r="M532" i="7"/>
  <c r="L532" i="7"/>
  <c r="J532" i="7"/>
  <c r="K532" i="7" s="1"/>
  <c r="O532" i="7" s="1"/>
  <c r="H532" i="7"/>
  <c r="I532" i="7" s="1"/>
  <c r="G532" i="7"/>
  <c r="M531" i="7"/>
  <c r="L531" i="7"/>
  <c r="J531" i="7"/>
  <c r="K531" i="7" s="1"/>
  <c r="O531" i="7" s="1"/>
  <c r="H531" i="7"/>
  <c r="I531" i="7" s="1"/>
  <c r="G531" i="7"/>
  <c r="N531" i="7" s="1"/>
  <c r="M530" i="7"/>
  <c r="L530" i="7"/>
  <c r="J530" i="7"/>
  <c r="K530" i="7" s="1"/>
  <c r="O530" i="7" s="1"/>
  <c r="H530" i="7"/>
  <c r="I530" i="7" s="1"/>
  <c r="G530" i="7"/>
  <c r="N530" i="7" s="1"/>
  <c r="N529" i="7"/>
  <c r="M529" i="7"/>
  <c r="L529" i="7"/>
  <c r="J529" i="7"/>
  <c r="K529" i="7" s="1"/>
  <c r="O529" i="7" s="1"/>
  <c r="H529" i="7"/>
  <c r="I529" i="7" s="1"/>
  <c r="G529" i="7"/>
  <c r="N528" i="7"/>
  <c r="M528" i="7"/>
  <c r="L528" i="7"/>
  <c r="J528" i="7"/>
  <c r="K528" i="7" s="1"/>
  <c r="O528" i="7" s="1"/>
  <c r="H528" i="7"/>
  <c r="I528" i="7" s="1"/>
  <c r="G528" i="7"/>
  <c r="M527" i="7"/>
  <c r="L527" i="7"/>
  <c r="J527" i="7"/>
  <c r="K527" i="7" s="1"/>
  <c r="O527" i="7" s="1"/>
  <c r="H527" i="7"/>
  <c r="I527" i="7" s="1"/>
  <c r="G527" i="7"/>
  <c r="N527" i="7" s="1"/>
  <c r="M526" i="7"/>
  <c r="L526" i="7"/>
  <c r="J526" i="7"/>
  <c r="K526" i="7" s="1"/>
  <c r="O526" i="7" s="1"/>
  <c r="H526" i="7"/>
  <c r="I526" i="7" s="1"/>
  <c r="G526" i="7"/>
  <c r="N526" i="7" s="1"/>
  <c r="N525" i="7"/>
  <c r="M525" i="7"/>
  <c r="L525" i="7"/>
  <c r="J525" i="7"/>
  <c r="K525" i="7" s="1"/>
  <c r="O525" i="7" s="1"/>
  <c r="H525" i="7"/>
  <c r="I525" i="7" s="1"/>
  <c r="G525" i="7"/>
  <c r="N524" i="7"/>
  <c r="M524" i="7"/>
  <c r="L524" i="7"/>
  <c r="J524" i="7"/>
  <c r="K524" i="7" s="1"/>
  <c r="O524" i="7" s="1"/>
  <c r="H524" i="7"/>
  <c r="I524" i="7" s="1"/>
  <c r="G524" i="7"/>
  <c r="M523" i="7"/>
  <c r="L523" i="7"/>
  <c r="J523" i="7"/>
  <c r="K523" i="7" s="1"/>
  <c r="O523" i="7" s="1"/>
  <c r="H523" i="7"/>
  <c r="I523" i="7" s="1"/>
  <c r="G523" i="7"/>
  <c r="N523" i="7" s="1"/>
  <c r="M522" i="7"/>
  <c r="L522" i="7"/>
  <c r="J522" i="7"/>
  <c r="K522" i="7" s="1"/>
  <c r="O522" i="7" s="1"/>
  <c r="H522" i="7"/>
  <c r="I522" i="7" s="1"/>
  <c r="G522" i="7"/>
  <c r="N522" i="7" s="1"/>
  <c r="N521" i="7"/>
  <c r="M521" i="7"/>
  <c r="L521" i="7"/>
  <c r="J521" i="7"/>
  <c r="K521" i="7" s="1"/>
  <c r="O521" i="7" s="1"/>
  <c r="H521" i="7"/>
  <c r="I521" i="7" s="1"/>
  <c r="G521" i="7"/>
  <c r="N520" i="7"/>
  <c r="M520" i="7"/>
  <c r="L520" i="7"/>
  <c r="J520" i="7"/>
  <c r="K520" i="7" s="1"/>
  <c r="O520" i="7" s="1"/>
  <c r="H520" i="7"/>
  <c r="I520" i="7" s="1"/>
  <c r="G520" i="7"/>
  <c r="M519" i="7"/>
  <c r="L519" i="7"/>
  <c r="J519" i="7"/>
  <c r="K519" i="7" s="1"/>
  <c r="O519" i="7" s="1"/>
  <c r="H519" i="7"/>
  <c r="I519" i="7" s="1"/>
  <c r="G519" i="7"/>
  <c r="N519" i="7" s="1"/>
  <c r="M518" i="7"/>
  <c r="L518" i="7"/>
  <c r="J518" i="7"/>
  <c r="K518" i="7" s="1"/>
  <c r="O518" i="7" s="1"/>
  <c r="H518" i="7"/>
  <c r="I518" i="7" s="1"/>
  <c r="G518" i="7"/>
  <c r="N518" i="7" s="1"/>
  <c r="N517" i="7"/>
  <c r="M517" i="7"/>
  <c r="L517" i="7"/>
  <c r="J517" i="7"/>
  <c r="K517" i="7" s="1"/>
  <c r="O517" i="7" s="1"/>
  <c r="H517" i="7"/>
  <c r="I517" i="7" s="1"/>
  <c r="G517" i="7"/>
  <c r="N516" i="7"/>
  <c r="M516" i="7"/>
  <c r="L516" i="7"/>
  <c r="J516" i="7"/>
  <c r="K516" i="7" s="1"/>
  <c r="O516" i="7" s="1"/>
  <c r="H516" i="7"/>
  <c r="I516" i="7" s="1"/>
  <c r="G516" i="7"/>
  <c r="M515" i="7"/>
  <c r="L515" i="7"/>
  <c r="J515" i="7"/>
  <c r="K515" i="7" s="1"/>
  <c r="O515" i="7" s="1"/>
  <c r="H515" i="7"/>
  <c r="I515" i="7" s="1"/>
  <c r="G515" i="7"/>
  <c r="N515" i="7" s="1"/>
  <c r="M514" i="7"/>
  <c r="L514" i="7"/>
  <c r="J514" i="7"/>
  <c r="K514" i="7" s="1"/>
  <c r="O514" i="7" s="1"/>
  <c r="H514" i="7"/>
  <c r="I514" i="7" s="1"/>
  <c r="G514" i="7"/>
  <c r="N514" i="7" s="1"/>
  <c r="N513" i="7"/>
  <c r="M513" i="7"/>
  <c r="L513" i="7"/>
  <c r="J513" i="7"/>
  <c r="K513" i="7" s="1"/>
  <c r="O513" i="7" s="1"/>
  <c r="H513" i="7"/>
  <c r="I513" i="7" s="1"/>
  <c r="G513" i="7"/>
  <c r="N512" i="7"/>
  <c r="M512" i="7"/>
  <c r="L512" i="7"/>
  <c r="J512" i="7"/>
  <c r="K512" i="7" s="1"/>
  <c r="O512" i="7" s="1"/>
  <c r="H512" i="7"/>
  <c r="I512" i="7" s="1"/>
  <c r="G512" i="7"/>
  <c r="M511" i="7"/>
  <c r="L511" i="7"/>
  <c r="J511" i="7"/>
  <c r="K511" i="7" s="1"/>
  <c r="O511" i="7" s="1"/>
  <c r="H511" i="7"/>
  <c r="I511" i="7" s="1"/>
  <c r="G511" i="7"/>
  <c r="N511" i="7" s="1"/>
  <c r="M510" i="7"/>
  <c r="L510" i="7"/>
  <c r="J510" i="7"/>
  <c r="K510" i="7" s="1"/>
  <c r="O510" i="7" s="1"/>
  <c r="H510" i="7"/>
  <c r="I510" i="7" s="1"/>
  <c r="G510" i="7"/>
  <c r="N510" i="7" s="1"/>
  <c r="N509" i="7"/>
  <c r="M509" i="7"/>
  <c r="L509" i="7"/>
  <c r="J509" i="7"/>
  <c r="K509" i="7" s="1"/>
  <c r="O509" i="7" s="1"/>
  <c r="H509" i="7"/>
  <c r="I509" i="7" s="1"/>
  <c r="G509" i="7"/>
  <c r="N508" i="7"/>
  <c r="M508" i="7"/>
  <c r="L508" i="7"/>
  <c r="J508" i="7"/>
  <c r="K508" i="7" s="1"/>
  <c r="O508" i="7" s="1"/>
  <c r="H508" i="7"/>
  <c r="I508" i="7" s="1"/>
  <c r="G508" i="7"/>
  <c r="M507" i="7"/>
  <c r="L507" i="7"/>
  <c r="J507" i="7"/>
  <c r="K507" i="7" s="1"/>
  <c r="O507" i="7" s="1"/>
  <c r="H507" i="7"/>
  <c r="I507" i="7" s="1"/>
  <c r="G507" i="7"/>
  <c r="N507" i="7" s="1"/>
  <c r="M506" i="7"/>
  <c r="L506" i="7"/>
  <c r="J506" i="7"/>
  <c r="K506" i="7" s="1"/>
  <c r="O506" i="7" s="1"/>
  <c r="H506" i="7"/>
  <c r="I506" i="7" s="1"/>
  <c r="G506" i="7"/>
  <c r="N506" i="7" s="1"/>
  <c r="N505" i="7"/>
  <c r="M505" i="7"/>
  <c r="L505" i="7"/>
  <c r="J505" i="7"/>
  <c r="K505" i="7" s="1"/>
  <c r="O505" i="7" s="1"/>
  <c r="H505" i="7"/>
  <c r="I505" i="7" s="1"/>
  <c r="G505" i="7"/>
  <c r="N504" i="7"/>
  <c r="M504" i="7"/>
  <c r="L504" i="7"/>
  <c r="J504" i="7"/>
  <c r="K504" i="7" s="1"/>
  <c r="O504" i="7" s="1"/>
  <c r="H504" i="7"/>
  <c r="I504" i="7" s="1"/>
  <c r="G504" i="7"/>
  <c r="M503" i="7"/>
  <c r="L503" i="7"/>
  <c r="J503" i="7"/>
  <c r="K503" i="7" s="1"/>
  <c r="O503" i="7" s="1"/>
  <c r="H503" i="7"/>
  <c r="I503" i="7" s="1"/>
  <c r="G503" i="7"/>
  <c r="N503" i="7" s="1"/>
  <c r="M502" i="7"/>
  <c r="L502" i="7"/>
  <c r="J502" i="7"/>
  <c r="K502" i="7" s="1"/>
  <c r="O502" i="7" s="1"/>
  <c r="H502" i="7"/>
  <c r="I502" i="7" s="1"/>
  <c r="G502" i="7"/>
  <c r="N502" i="7" s="1"/>
  <c r="N501" i="7"/>
  <c r="M501" i="7"/>
  <c r="L501" i="7"/>
  <c r="J501" i="7"/>
  <c r="K501" i="7" s="1"/>
  <c r="O501" i="7" s="1"/>
  <c r="H501" i="7"/>
  <c r="I501" i="7" s="1"/>
  <c r="G501" i="7"/>
  <c r="N500" i="7"/>
  <c r="M500" i="7"/>
  <c r="L500" i="7"/>
  <c r="J500" i="7"/>
  <c r="K500" i="7" s="1"/>
  <c r="O500" i="7" s="1"/>
  <c r="H500" i="7"/>
  <c r="I500" i="7" s="1"/>
  <c r="G500" i="7"/>
  <c r="M499" i="7"/>
  <c r="L499" i="7"/>
  <c r="J499" i="7"/>
  <c r="K499" i="7" s="1"/>
  <c r="O499" i="7" s="1"/>
  <c r="H499" i="7"/>
  <c r="I499" i="7" s="1"/>
  <c r="G499" i="7"/>
  <c r="N499" i="7" s="1"/>
  <c r="M498" i="7"/>
  <c r="L498" i="7"/>
  <c r="J498" i="7"/>
  <c r="K498" i="7" s="1"/>
  <c r="O498" i="7" s="1"/>
  <c r="H498" i="7"/>
  <c r="I498" i="7" s="1"/>
  <c r="G498" i="7"/>
  <c r="N498" i="7" s="1"/>
  <c r="N497" i="7"/>
  <c r="M497" i="7"/>
  <c r="L497" i="7"/>
  <c r="J497" i="7"/>
  <c r="K497" i="7" s="1"/>
  <c r="O497" i="7" s="1"/>
  <c r="H497" i="7"/>
  <c r="I497" i="7" s="1"/>
  <c r="G497" i="7"/>
  <c r="N496" i="7"/>
  <c r="M496" i="7"/>
  <c r="L496" i="7"/>
  <c r="J496" i="7"/>
  <c r="K496" i="7" s="1"/>
  <c r="O496" i="7" s="1"/>
  <c r="H496" i="7"/>
  <c r="I496" i="7" s="1"/>
  <c r="G496" i="7"/>
  <c r="M495" i="7"/>
  <c r="L495" i="7"/>
  <c r="J495" i="7"/>
  <c r="K495" i="7" s="1"/>
  <c r="O495" i="7" s="1"/>
  <c r="H495" i="7"/>
  <c r="I495" i="7" s="1"/>
  <c r="G495" i="7"/>
  <c r="N495" i="7" s="1"/>
  <c r="M494" i="7"/>
  <c r="L494" i="7"/>
  <c r="J494" i="7"/>
  <c r="K494" i="7" s="1"/>
  <c r="O494" i="7" s="1"/>
  <c r="H494" i="7"/>
  <c r="I494" i="7" s="1"/>
  <c r="G494" i="7"/>
  <c r="N494" i="7" s="1"/>
  <c r="N493" i="7"/>
  <c r="M493" i="7"/>
  <c r="L493" i="7"/>
  <c r="J493" i="7"/>
  <c r="K493" i="7" s="1"/>
  <c r="O493" i="7" s="1"/>
  <c r="H493" i="7"/>
  <c r="I493" i="7" s="1"/>
  <c r="G493" i="7"/>
  <c r="N492" i="7"/>
  <c r="M492" i="7"/>
  <c r="L492" i="7"/>
  <c r="J492" i="7"/>
  <c r="K492" i="7" s="1"/>
  <c r="O492" i="7" s="1"/>
  <c r="H492" i="7"/>
  <c r="I492" i="7" s="1"/>
  <c r="G492" i="7"/>
  <c r="M491" i="7"/>
  <c r="L491" i="7"/>
  <c r="J491" i="7"/>
  <c r="K491" i="7" s="1"/>
  <c r="O491" i="7" s="1"/>
  <c r="H491" i="7"/>
  <c r="I491" i="7" s="1"/>
  <c r="G491" i="7"/>
  <c r="N491" i="7" s="1"/>
  <c r="M490" i="7"/>
  <c r="L490" i="7"/>
  <c r="J490" i="7"/>
  <c r="K490" i="7" s="1"/>
  <c r="O490" i="7" s="1"/>
  <c r="H490" i="7"/>
  <c r="I490" i="7" s="1"/>
  <c r="G490" i="7"/>
  <c r="N490" i="7" s="1"/>
  <c r="N489" i="7"/>
  <c r="M489" i="7"/>
  <c r="L489" i="7"/>
  <c r="J489" i="7"/>
  <c r="K489" i="7" s="1"/>
  <c r="O489" i="7" s="1"/>
  <c r="H489" i="7"/>
  <c r="I489" i="7" s="1"/>
  <c r="G489" i="7"/>
  <c r="N488" i="7"/>
  <c r="M488" i="7"/>
  <c r="L488" i="7"/>
  <c r="J488" i="7"/>
  <c r="K488" i="7" s="1"/>
  <c r="O488" i="7" s="1"/>
  <c r="H488" i="7"/>
  <c r="I488" i="7" s="1"/>
  <c r="G488" i="7"/>
  <c r="M487" i="7"/>
  <c r="L487" i="7"/>
  <c r="J487" i="7"/>
  <c r="K487" i="7" s="1"/>
  <c r="O487" i="7" s="1"/>
  <c r="H487" i="7"/>
  <c r="I487" i="7" s="1"/>
  <c r="G487" i="7"/>
  <c r="N487" i="7" s="1"/>
  <c r="M486" i="7"/>
  <c r="L486" i="7"/>
  <c r="J486" i="7"/>
  <c r="K486" i="7" s="1"/>
  <c r="O486" i="7" s="1"/>
  <c r="H486" i="7"/>
  <c r="I486" i="7" s="1"/>
  <c r="G486" i="7"/>
  <c r="N486" i="7" s="1"/>
  <c r="N485" i="7"/>
  <c r="M485" i="7"/>
  <c r="L485" i="7"/>
  <c r="J485" i="7"/>
  <c r="K485" i="7" s="1"/>
  <c r="O485" i="7" s="1"/>
  <c r="H485" i="7"/>
  <c r="I485" i="7" s="1"/>
  <c r="G485" i="7"/>
  <c r="N484" i="7"/>
  <c r="M484" i="7"/>
  <c r="L484" i="7"/>
  <c r="J484" i="7"/>
  <c r="K484" i="7" s="1"/>
  <c r="O484" i="7" s="1"/>
  <c r="H484" i="7"/>
  <c r="I484" i="7" s="1"/>
  <c r="G484" i="7"/>
  <c r="M483" i="7"/>
  <c r="L483" i="7"/>
  <c r="J483" i="7"/>
  <c r="K483" i="7" s="1"/>
  <c r="O483" i="7" s="1"/>
  <c r="H483" i="7"/>
  <c r="I483" i="7" s="1"/>
  <c r="G483" i="7"/>
  <c r="N483" i="7" s="1"/>
  <c r="M482" i="7"/>
  <c r="L482" i="7"/>
  <c r="J482" i="7"/>
  <c r="K482" i="7" s="1"/>
  <c r="O482" i="7" s="1"/>
  <c r="H482" i="7"/>
  <c r="I482" i="7" s="1"/>
  <c r="G482" i="7"/>
  <c r="N482" i="7" s="1"/>
  <c r="M481" i="7"/>
  <c r="H481" i="7"/>
  <c r="I481" i="7" s="1"/>
  <c r="J481" i="7" s="1"/>
  <c r="K481" i="7" s="1"/>
  <c r="O481" i="7" s="1"/>
  <c r="G481" i="7"/>
  <c r="N481" i="7" s="1"/>
  <c r="M480" i="7"/>
  <c r="H480" i="7"/>
  <c r="I480" i="7" s="1"/>
  <c r="J480" i="7" s="1"/>
  <c r="K480" i="7" s="1"/>
  <c r="O480" i="7" s="1"/>
  <c r="G480" i="7"/>
  <c r="N480" i="7" s="1"/>
  <c r="M479" i="7"/>
  <c r="H479" i="7"/>
  <c r="I479" i="7" s="1"/>
  <c r="J479" i="7" s="1"/>
  <c r="K479" i="7" s="1"/>
  <c r="G479" i="7"/>
  <c r="L478" i="7"/>
  <c r="H478" i="7"/>
  <c r="I478" i="7" s="1"/>
  <c r="J478" i="7" s="1"/>
  <c r="K478" i="7" s="1"/>
  <c r="O478" i="7" s="1"/>
  <c r="M477" i="7"/>
  <c r="G477" i="7"/>
  <c r="N477" i="7" s="1"/>
  <c r="H476" i="7"/>
  <c r="I476" i="7" s="1"/>
  <c r="J476" i="7" s="1"/>
  <c r="K476" i="7" s="1"/>
  <c r="O476" i="7" s="1"/>
  <c r="M475" i="7"/>
  <c r="G475" i="7"/>
  <c r="M474" i="7"/>
  <c r="H474" i="7"/>
  <c r="I474" i="7" s="1"/>
  <c r="J474" i="7" s="1"/>
  <c r="K474" i="7" s="1"/>
  <c r="M473" i="7"/>
  <c r="G473" i="7"/>
  <c r="N473" i="7" s="1"/>
  <c r="H472" i="7"/>
  <c r="M471" i="7"/>
  <c r="G471" i="7"/>
  <c r="N471" i="7" s="1"/>
  <c r="H470" i="7"/>
  <c r="I470" i="7" s="1"/>
  <c r="J470" i="7" s="1"/>
  <c r="K470" i="7" s="1"/>
  <c r="O470" i="7" s="1"/>
  <c r="M469" i="7"/>
  <c r="G469" i="7"/>
  <c r="N469" i="7" s="1"/>
  <c r="H468" i="7"/>
  <c r="M467" i="7"/>
  <c r="G467" i="7"/>
  <c r="N467" i="7" s="1"/>
  <c r="H466" i="7"/>
  <c r="I466" i="7" s="1"/>
  <c r="J466" i="7" s="1"/>
  <c r="K466" i="7" s="1"/>
  <c r="O466" i="7" s="1"/>
  <c r="M465" i="7"/>
  <c r="G465" i="7"/>
  <c r="H464" i="7"/>
  <c r="I464" i="7" s="1"/>
  <c r="J464" i="7" s="1"/>
  <c r="K464" i="7" s="1"/>
  <c r="O464" i="7" s="1"/>
  <c r="M463" i="7"/>
  <c r="G463" i="7"/>
  <c r="N463" i="7" s="1"/>
  <c r="H462" i="7"/>
  <c r="I462" i="7" s="1"/>
  <c r="J462" i="7" s="1"/>
  <c r="K462" i="7" s="1"/>
  <c r="M461" i="7"/>
  <c r="G461" i="7"/>
  <c r="N461" i="7" s="1"/>
  <c r="H460" i="7"/>
  <c r="M459" i="7"/>
  <c r="G459" i="7"/>
  <c r="N459" i="7" s="1"/>
  <c r="H458" i="7"/>
  <c r="I458" i="7" s="1"/>
  <c r="J458" i="7" s="1"/>
  <c r="K458" i="7" s="1"/>
  <c r="O458" i="7" s="1"/>
  <c r="M457" i="7"/>
  <c r="G457" i="7"/>
  <c r="H456" i="7"/>
  <c r="M455" i="7"/>
  <c r="G455" i="7"/>
  <c r="N455" i="7" s="1"/>
  <c r="H454" i="7"/>
  <c r="I454" i="7" s="1"/>
  <c r="J454" i="7" s="1"/>
  <c r="K454" i="7" s="1"/>
  <c r="M453" i="7"/>
  <c r="G453" i="7"/>
  <c r="N453" i="7" s="1"/>
  <c r="H452" i="7"/>
  <c r="M451" i="7"/>
  <c r="G451" i="7"/>
  <c r="N451" i="7" s="1"/>
  <c r="H450" i="7"/>
  <c r="I450" i="7" s="1"/>
  <c r="J450" i="7" s="1"/>
  <c r="K450" i="7" s="1"/>
  <c r="O450" i="7" s="1"/>
  <c r="M449" i="7"/>
  <c r="G449" i="7"/>
  <c r="H448" i="7"/>
  <c r="I448" i="7" s="1"/>
  <c r="J448" i="7" s="1"/>
  <c r="K448" i="7" s="1"/>
  <c r="O448" i="7" s="1"/>
  <c r="M447" i="7"/>
  <c r="H447" i="7"/>
  <c r="I447" i="7" s="1"/>
  <c r="J447" i="7" s="1"/>
  <c r="K447" i="7" s="1"/>
  <c r="O447" i="7" s="1"/>
  <c r="G447" i="7"/>
  <c r="N447" i="7" s="1"/>
  <c r="H446" i="7"/>
  <c r="I446" i="7" s="1"/>
  <c r="J446" i="7" s="1"/>
  <c r="K446" i="7" s="1"/>
  <c r="O446" i="7" s="1"/>
  <c r="M445" i="7"/>
  <c r="G445" i="7"/>
  <c r="N445" i="7" s="1"/>
  <c r="H444" i="7"/>
  <c r="M443" i="7"/>
  <c r="G443" i="7"/>
  <c r="H442" i="7"/>
  <c r="I442" i="7" s="1"/>
  <c r="J442" i="7" s="1"/>
  <c r="K442" i="7" s="1"/>
  <c r="O442" i="7" s="1"/>
  <c r="M441" i="7"/>
  <c r="G441" i="7"/>
  <c r="N441" i="7" s="1"/>
  <c r="H440" i="7"/>
  <c r="M439" i="7"/>
  <c r="G439" i="7"/>
  <c r="H438" i="7"/>
  <c r="I438" i="7" s="1"/>
  <c r="J438" i="7" s="1"/>
  <c r="K438" i="7" s="1"/>
  <c r="O438" i="7" s="1"/>
  <c r="M437" i="7"/>
  <c r="G437" i="7"/>
  <c r="N437" i="7" s="1"/>
  <c r="H436" i="7"/>
  <c r="M435" i="7"/>
  <c r="G435" i="7"/>
  <c r="N435" i="7" s="1"/>
  <c r="H434" i="7"/>
  <c r="I434" i="7" s="1"/>
  <c r="J434" i="7" s="1"/>
  <c r="K434" i="7" s="1"/>
  <c r="O434" i="7" s="1"/>
  <c r="M433" i="7"/>
  <c r="G433" i="7"/>
  <c r="N433" i="7" s="1"/>
  <c r="H432" i="7"/>
  <c r="M431" i="7"/>
  <c r="G431" i="7"/>
  <c r="N431" i="7" s="1"/>
  <c r="H430" i="7"/>
  <c r="I430" i="7" s="1"/>
  <c r="J430" i="7" s="1"/>
  <c r="K430" i="7" s="1"/>
  <c r="O430" i="7" s="1"/>
  <c r="M429" i="7"/>
  <c r="G429" i="7"/>
  <c r="N429" i="7" s="1"/>
  <c r="H428" i="7"/>
  <c r="I428" i="7" s="1"/>
  <c r="J428" i="7" s="1"/>
  <c r="K428" i="7" s="1"/>
  <c r="O428" i="7" s="1"/>
  <c r="M427" i="7"/>
  <c r="G427" i="7"/>
  <c r="N427" i="7" s="1"/>
  <c r="H426" i="7"/>
  <c r="I426" i="7" s="1"/>
  <c r="J426" i="7" s="1"/>
  <c r="K426" i="7" s="1"/>
  <c r="O426" i="7" s="1"/>
  <c r="M425" i="7"/>
  <c r="G425" i="7"/>
  <c r="N425" i="7" s="1"/>
  <c r="H424" i="7"/>
  <c r="M423" i="7"/>
  <c r="G423" i="7"/>
  <c r="N423" i="7" s="1"/>
  <c r="M422" i="7"/>
  <c r="H422" i="7"/>
  <c r="I422" i="7" s="1"/>
  <c r="J422" i="7" s="1"/>
  <c r="K422" i="7" s="1"/>
  <c r="M421" i="7"/>
  <c r="G421" i="7"/>
  <c r="H420" i="7"/>
  <c r="M419" i="7"/>
  <c r="G419" i="7"/>
  <c r="H418" i="7"/>
  <c r="I418" i="7" s="1"/>
  <c r="J418" i="7" s="1"/>
  <c r="K418" i="7" s="1"/>
  <c r="M417" i="7"/>
  <c r="G417" i="7"/>
  <c r="H416" i="7"/>
  <c r="M415" i="7"/>
  <c r="G415" i="7"/>
  <c r="H414" i="7"/>
  <c r="I414" i="7" s="1"/>
  <c r="J414" i="7" s="1"/>
  <c r="K414" i="7" s="1"/>
  <c r="O414" i="7" s="1"/>
  <c r="M413" i="7"/>
  <c r="G413" i="7"/>
  <c r="N413" i="7" s="1"/>
  <c r="H412" i="7"/>
  <c r="I412" i="7" s="1"/>
  <c r="J412" i="7" s="1"/>
  <c r="K412" i="7" s="1"/>
  <c r="G412" i="7"/>
  <c r="M411" i="7"/>
  <c r="G411" i="7"/>
  <c r="H410" i="7"/>
  <c r="I410" i="7" s="1"/>
  <c r="J410" i="7" s="1"/>
  <c r="K410" i="7" s="1"/>
  <c r="O410" i="7" s="1"/>
  <c r="M409" i="7"/>
  <c r="G409" i="7"/>
  <c r="H408" i="7"/>
  <c r="I408" i="7" s="1"/>
  <c r="J408" i="7" s="1"/>
  <c r="K408" i="7" s="1"/>
  <c r="O408" i="7" s="1"/>
  <c r="M407" i="7"/>
  <c r="G407" i="7"/>
  <c r="M406" i="7"/>
  <c r="H406" i="7"/>
  <c r="I406" i="7" s="1"/>
  <c r="J406" i="7" s="1"/>
  <c r="K406" i="7" s="1"/>
  <c r="M405" i="7"/>
  <c r="G405" i="7"/>
  <c r="H404" i="7"/>
  <c r="I404" i="7" s="1"/>
  <c r="J404" i="7" s="1"/>
  <c r="K404" i="7" s="1"/>
  <c r="O404" i="7" s="1"/>
  <c r="M403" i="7"/>
  <c r="G403" i="7"/>
  <c r="N403" i="7" s="1"/>
  <c r="H402" i="7"/>
  <c r="I402" i="7" s="1"/>
  <c r="J402" i="7" s="1"/>
  <c r="K402" i="7" s="1"/>
  <c r="O402" i="7" s="1"/>
  <c r="M401" i="7"/>
  <c r="G401" i="7"/>
  <c r="H400" i="7"/>
  <c r="I400" i="7" s="1"/>
  <c r="J400" i="7" s="1"/>
  <c r="K400" i="7" s="1"/>
  <c r="O400" i="7" s="1"/>
  <c r="M399" i="7"/>
  <c r="G399" i="7"/>
  <c r="N399" i="7" s="1"/>
  <c r="H398" i="7"/>
  <c r="I398" i="7" s="1"/>
  <c r="J398" i="7" s="1"/>
  <c r="K398" i="7" s="1"/>
  <c r="O398" i="7" s="1"/>
  <c r="M397" i="7"/>
  <c r="G397" i="7"/>
  <c r="N397" i="7" s="1"/>
  <c r="H396" i="7"/>
  <c r="I396" i="7" s="1"/>
  <c r="J396" i="7" s="1"/>
  <c r="K396" i="7" s="1"/>
  <c r="O396" i="7" s="1"/>
  <c r="M395" i="7"/>
  <c r="G395" i="7"/>
  <c r="N395" i="7" s="1"/>
  <c r="H394" i="7"/>
  <c r="I394" i="7" s="1"/>
  <c r="J394" i="7" s="1"/>
  <c r="K394" i="7" s="1"/>
  <c r="O394" i="7" s="1"/>
  <c r="M393" i="7"/>
  <c r="G393" i="7"/>
  <c r="N393" i="7" s="1"/>
  <c r="H392" i="7"/>
  <c r="I392" i="7" s="1"/>
  <c r="J392" i="7" s="1"/>
  <c r="K392" i="7" s="1"/>
  <c r="O392" i="7" s="1"/>
  <c r="M391" i="7"/>
  <c r="G391" i="7"/>
  <c r="N391" i="7" s="1"/>
  <c r="H390" i="7"/>
  <c r="I390" i="7" s="1"/>
  <c r="J390" i="7" s="1"/>
  <c r="K390" i="7" s="1"/>
  <c r="O390" i="7" s="1"/>
  <c r="M389" i="7"/>
  <c r="G389" i="7"/>
  <c r="N389" i="7" s="1"/>
  <c r="H388" i="7"/>
  <c r="M387" i="7"/>
  <c r="G387" i="7"/>
  <c r="H386" i="7"/>
  <c r="I386" i="7" s="1"/>
  <c r="J386" i="7" s="1"/>
  <c r="K386" i="7" s="1"/>
  <c r="O386" i="7" s="1"/>
  <c r="M385" i="7"/>
  <c r="G385" i="7"/>
  <c r="N385" i="7" s="1"/>
  <c r="H384" i="7"/>
  <c r="I384" i="7" s="1"/>
  <c r="J384" i="7" s="1"/>
  <c r="K384" i="7" s="1"/>
  <c r="O384" i="7" s="1"/>
  <c r="M383" i="7"/>
  <c r="G383" i="7"/>
  <c r="N383" i="7" s="1"/>
  <c r="H382" i="7"/>
  <c r="I382" i="7" s="1"/>
  <c r="J382" i="7" s="1"/>
  <c r="K382" i="7" s="1"/>
  <c r="O382" i="7" s="1"/>
  <c r="M381" i="7"/>
  <c r="G381" i="7"/>
  <c r="N381" i="7" s="1"/>
  <c r="H380" i="7"/>
  <c r="I380" i="7" s="1"/>
  <c r="J380" i="7" s="1"/>
  <c r="K380" i="7" s="1"/>
  <c r="O380" i="7" s="1"/>
  <c r="M379" i="7"/>
  <c r="G379" i="7"/>
  <c r="H378" i="7"/>
  <c r="I378" i="7" s="1"/>
  <c r="J378" i="7" s="1"/>
  <c r="K378" i="7" s="1"/>
  <c r="O378" i="7" s="1"/>
  <c r="M377" i="7"/>
  <c r="G377" i="7"/>
  <c r="H376" i="7"/>
  <c r="M375" i="7"/>
  <c r="H375" i="7"/>
  <c r="I375" i="7" s="1"/>
  <c r="J375" i="7" s="1"/>
  <c r="K375" i="7" s="1"/>
  <c r="O375" i="7" s="1"/>
  <c r="G375" i="7"/>
  <c r="N375" i="7" s="1"/>
  <c r="H374" i="7"/>
  <c r="I374" i="7" s="1"/>
  <c r="J374" i="7" s="1"/>
  <c r="K374" i="7" s="1"/>
  <c r="O374" i="7" s="1"/>
  <c r="M373" i="7"/>
  <c r="G373" i="7"/>
  <c r="N373" i="7" s="1"/>
  <c r="H372" i="7"/>
  <c r="I372" i="7" s="1"/>
  <c r="L372" i="7" s="1"/>
  <c r="M371" i="7"/>
  <c r="G371" i="7"/>
  <c r="H370" i="7"/>
  <c r="M369" i="7"/>
  <c r="G369" i="7"/>
  <c r="N369" i="7" s="1"/>
  <c r="H368" i="7"/>
  <c r="M367" i="7"/>
  <c r="G367" i="7"/>
  <c r="N367" i="7" s="1"/>
  <c r="H366" i="7"/>
  <c r="I366" i="7" s="1"/>
  <c r="J366" i="7" s="1"/>
  <c r="K366" i="7" s="1"/>
  <c r="O366" i="7" s="1"/>
  <c r="M365" i="7"/>
  <c r="G365" i="7"/>
  <c r="N365" i="7" s="1"/>
  <c r="H364" i="7"/>
  <c r="M363" i="7"/>
  <c r="G363" i="7"/>
  <c r="H362" i="7"/>
  <c r="I362" i="7" s="1"/>
  <c r="J362" i="7" s="1"/>
  <c r="K362" i="7" s="1"/>
  <c r="M361" i="7"/>
  <c r="G361" i="7"/>
  <c r="H360" i="7"/>
  <c r="M359" i="7"/>
  <c r="G359" i="7"/>
  <c r="H358" i="7"/>
  <c r="I358" i="7" s="1"/>
  <c r="J358" i="7" s="1"/>
  <c r="K358" i="7" s="1"/>
  <c r="M357" i="7"/>
  <c r="G357" i="7"/>
  <c r="H356" i="7"/>
  <c r="I356" i="7" s="1"/>
  <c r="M355" i="7"/>
  <c r="G355" i="7"/>
  <c r="H354" i="7"/>
  <c r="I354" i="7" s="1"/>
  <c r="J354" i="7" s="1"/>
  <c r="K354" i="7" s="1"/>
  <c r="M353" i="7"/>
  <c r="G353" i="7"/>
  <c r="N353" i="7" s="1"/>
  <c r="H352" i="7"/>
  <c r="M351" i="7"/>
  <c r="G351" i="7"/>
  <c r="H350" i="7"/>
  <c r="I350" i="7" s="1"/>
  <c r="J350" i="7" s="1"/>
  <c r="K350" i="7" s="1"/>
  <c r="M349" i="7"/>
  <c r="G349" i="7"/>
  <c r="H348" i="7"/>
  <c r="I348" i="7" s="1"/>
  <c r="M347" i="7"/>
  <c r="G347" i="7"/>
  <c r="H346" i="7"/>
  <c r="I346" i="7" s="1"/>
  <c r="J346" i="7" s="1"/>
  <c r="K346" i="7" s="1"/>
  <c r="M345" i="7"/>
  <c r="G345" i="7"/>
  <c r="H344" i="7"/>
  <c r="M343" i="7"/>
  <c r="G343" i="7"/>
  <c r="H342" i="7"/>
  <c r="I342" i="7" s="1"/>
  <c r="J342" i="7" s="1"/>
  <c r="K342" i="7" s="1"/>
  <c r="M341" i="7"/>
  <c r="H341" i="7"/>
  <c r="I341" i="7" s="1"/>
  <c r="J341" i="7" s="1"/>
  <c r="K341" i="7" s="1"/>
  <c r="G341" i="7"/>
  <c r="H340" i="7"/>
  <c r="I340" i="7" s="1"/>
  <c r="J340" i="7" s="1"/>
  <c r="K340" i="7" s="1"/>
  <c r="O340" i="7" s="1"/>
  <c r="M339" i="7"/>
  <c r="G339" i="7"/>
  <c r="H338" i="7"/>
  <c r="I338" i="7" s="1"/>
  <c r="J338" i="7" s="1"/>
  <c r="K338" i="7" s="1"/>
  <c r="M337" i="7"/>
  <c r="G337" i="7"/>
  <c r="H336" i="7"/>
  <c r="G336" i="7"/>
  <c r="M335" i="7"/>
  <c r="G335" i="7"/>
  <c r="H334" i="7"/>
  <c r="I334" i="7" s="1"/>
  <c r="J334" i="7" s="1"/>
  <c r="K334" i="7" s="1"/>
  <c r="M333" i="7"/>
  <c r="G333" i="7"/>
  <c r="H332" i="7"/>
  <c r="I332" i="7" s="1"/>
  <c r="J332" i="7" s="1"/>
  <c r="K332" i="7" s="1"/>
  <c r="M331" i="7"/>
  <c r="G331" i="7"/>
  <c r="M330" i="7"/>
  <c r="H330" i="7"/>
  <c r="I330" i="7" s="1"/>
  <c r="J330" i="7" s="1"/>
  <c r="K330" i="7" s="1"/>
  <c r="M329" i="7"/>
  <c r="G329" i="7"/>
  <c r="H328" i="7"/>
  <c r="M327" i="7"/>
  <c r="G327" i="7"/>
  <c r="N327" i="7" s="1"/>
  <c r="H326" i="7"/>
  <c r="M325" i="7"/>
  <c r="G325" i="7"/>
  <c r="H324" i="7"/>
  <c r="I324" i="7" s="1"/>
  <c r="J324" i="7" s="1"/>
  <c r="K324" i="7" s="1"/>
  <c r="M323" i="7"/>
  <c r="G323" i="7"/>
  <c r="H322" i="7"/>
  <c r="M321" i="7"/>
  <c r="G321" i="7"/>
  <c r="N321" i="7" s="1"/>
  <c r="M320" i="7"/>
  <c r="H320" i="7"/>
  <c r="M319" i="7"/>
  <c r="G319" i="7"/>
  <c r="H318" i="7"/>
  <c r="M317" i="7"/>
  <c r="G317" i="7"/>
  <c r="H316" i="7"/>
  <c r="I316" i="7" s="1"/>
  <c r="J316" i="7" s="1"/>
  <c r="K316" i="7" s="1"/>
  <c r="M315" i="7"/>
  <c r="G315" i="7"/>
  <c r="H314" i="7"/>
  <c r="M313" i="7"/>
  <c r="G313" i="7"/>
  <c r="N313" i="7" s="1"/>
  <c r="H312" i="7"/>
  <c r="M311" i="7"/>
  <c r="G311" i="7"/>
  <c r="N311" i="7" s="1"/>
  <c r="H310" i="7"/>
  <c r="M309" i="7"/>
  <c r="G309" i="7"/>
  <c r="N309" i="7" s="1"/>
  <c r="H308" i="7"/>
  <c r="I308" i="7" s="1"/>
  <c r="J308" i="7" s="1"/>
  <c r="K308" i="7" s="1"/>
  <c r="M307" i="7"/>
  <c r="G307" i="7"/>
  <c r="N307" i="7" s="1"/>
  <c r="H306" i="7"/>
  <c r="I306" i="7" s="1"/>
  <c r="J306" i="7" s="1"/>
  <c r="K306" i="7" s="1"/>
  <c r="O306" i="7" s="1"/>
  <c r="M305" i="7"/>
  <c r="G305" i="7"/>
  <c r="H304" i="7"/>
  <c r="I304" i="7" s="1"/>
  <c r="J304" i="7" s="1"/>
  <c r="K304" i="7" s="1"/>
  <c r="G304" i="7"/>
  <c r="M303" i="7"/>
  <c r="G303" i="7"/>
  <c r="H302" i="7"/>
  <c r="I302" i="7" s="1"/>
  <c r="J302" i="7" s="1"/>
  <c r="K302" i="7" s="1"/>
  <c r="M301" i="7"/>
  <c r="G301" i="7"/>
  <c r="H300" i="7"/>
  <c r="I300" i="7" s="1"/>
  <c r="J300" i="7" s="1"/>
  <c r="K300" i="7" s="1"/>
  <c r="M299" i="7"/>
  <c r="G299" i="7"/>
  <c r="H298" i="7"/>
  <c r="I298" i="7" s="1"/>
  <c r="J298" i="7" s="1"/>
  <c r="K298" i="7" s="1"/>
  <c r="M297" i="7"/>
  <c r="G297" i="7"/>
  <c r="H296" i="7"/>
  <c r="I296" i="7" s="1"/>
  <c r="J296" i="7" s="1"/>
  <c r="K296" i="7" s="1"/>
  <c r="M295" i="7"/>
  <c r="H295" i="7"/>
  <c r="I295" i="7" s="1"/>
  <c r="J295" i="7" s="1"/>
  <c r="K295" i="7" s="1"/>
  <c r="G295" i="7"/>
  <c r="H294" i="7"/>
  <c r="I294" i="7" s="1"/>
  <c r="J294" i="7" s="1"/>
  <c r="K294" i="7" s="1"/>
  <c r="M293" i="7"/>
  <c r="G293" i="7"/>
  <c r="H292" i="7"/>
  <c r="I292" i="7" s="1"/>
  <c r="J292" i="7" s="1"/>
  <c r="K292" i="7" s="1"/>
  <c r="M291" i="7"/>
  <c r="G291" i="7"/>
  <c r="H290" i="7"/>
  <c r="I290" i="7" s="1"/>
  <c r="J290" i="7" s="1"/>
  <c r="K290" i="7" s="1"/>
  <c r="M289" i="7"/>
  <c r="G289" i="7"/>
  <c r="H288" i="7"/>
  <c r="I288" i="7" s="1"/>
  <c r="J288" i="7" s="1"/>
  <c r="K288" i="7" s="1"/>
  <c r="M287" i="7"/>
  <c r="G287" i="7"/>
  <c r="H286" i="7"/>
  <c r="I286" i="7" s="1"/>
  <c r="J286" i="7" s="1"/>
  <c r="K286" i="7" s="1"/>
  <c r="M285" i="7"/>
  <c r="G285" i="7"/>
  <c r="H284" i="7"/>
  <c r="I284" i="7" s="1"/>
  <c r="J284" i="7" s="1"/>
  <c r="K284" i="7" s="1"/>
  <c r="M283" i="7"/>
  <c r="G283" i="7"/>
  <c r="H282" i="7"/>
  <c r="I282" i="7" s="1"/>
  <c r="J282" i="7" s="1"/>
  <c r="K282" i="7" s="1"/>
  <c r="M281" i="7"/>
  <c r="G281" i="7"/>
  <c r="H280" i="7"/>
  <c r="I280" i="7" s="1"/>
  <c r="J280" i="7" s="1"/>
  <c r="K280" i="7" s="1"/>
  <c r="M279" i="7"/>
  <c r="G279" i="7"/>
  <c r="H278" i="7"/>
  <c r="I278" i="7" s="1"/>
  <c r="J278" i="7" s="1"/>
  <c r="K278" i="7" s="1"/>
  <c r="M277" i="7"/>
  <c r="G277" i="7"/>
  <c r="H276" i="7"/>
  <c r="I276" i="7" s="1"/>
  <c r="J276" i="7" s="1"/>
  <c r="K276" i="7" s="1"/>
  <c r="G276" i="7"/>
  <c r="M275" i="7"/>
  <c r="G275" i="7"/>
  <c r="H274" i="7"/>
  <c r="I274" i="7" s="1"/>
  <c r="J274" i="7" s="1"/>
  <c r="K274" i="7" s="1"/>
  <c r="M273" i="7"/>
  <c r="G273" i="7"/>
  <c r="H272" i="7"/>
  <c r="I272" i="7" s="1"/>
  <c r="J272" i="7" s="1"/>
  <c r="K272" i="7" s="1"/>
  <c r="M271" i="7"/>
  <c r="G271" i="7"/>
  <c r="M270" i="7"/>
  <c r="H270" i="7"/>
  <c r="I270" i="7" s="1"/>
  <c r="J270" i="7" s="1"/>
  <c r="K270" i="7" s="1"/>
  <c r="M269" i="7"/>
  <c r="G269" i="7"/>
  <c r="H268" i="7"/>
  <c r="I268" i="7" s="1"/>
  <c r="J268" i="7" s="1"/>
  <c r="K268" i="7" s="1"/>
  <c r="M267" i="7"/>
  <c r="G267" i="7"/>
  <c r="H266" i="7"/>
  <c r="I266" i="7" s="1"/>
  <c r="J266" i="7" s="1"/>
  <c r="K266" i="7" s="1"/>
  <c r="M265" i="7"/>
  <c r="H265" i="7"/>
  <c r="I265" i="7" s="1"/>
  <c r="J265" i="7" s="1"/>
  <c r="K265" i="7" s="1"/>
  <c r="O265" i="7" s="1"/>
  <c r="G265" i="7"/>
  <c r="H264" i="7"/>
  <c r="I264" i="7" s="1"/>
  <c r="J264" i="7" s="1"/>
  <c r="K264" i="7" s="1"/>
  <c r="M263" i="7"/>
  <c r="G263" i="7"/>
  <c r="H262" i="7"/>
  <c r="I262" i="7" s="1"/>
  <c r="J262" i="7" s="1"/>
  <c r="K262" i="7" s="1"/>
  <c r="M261" i="7"/>
  <c r="G261" i="7"/>
  <c r="H260" i="7"/>
  <c r="I260" i="7" s="1"/>
  <c r="G260" i="7"/>
  <c r="M259" i="7"/>
  <c r="G259" i="7"/>
  <c r="H258" i="7"/>
  <c r="M257" i="7"/>
  <c r="G257" i="7"/>
  <c r="H256" i="7"/>
  <c r="I256" i="7" s="1"/>
  <c r="J256" i="7" s="1"/>
  <c r="K256" i="7" s="1"/>
  <c r="M255" i="7"/>
  <c r="G255" i="7"/>
  <c r="M254" i="7"/>
  <c r="H254" i="7"/>
  <c r="M253" i="7"/>
  <c r="G253" i="7"/>
  <c r="H252" i="7"/>
  <c r="I252" i="7" s="1"/>
  <c r="M251" i="7"/>
  <c r="G251" i="7"/>
  <c r="H250" i="7"/>
  <c r="I250" i="7" s="1"/>
  <c r="J250" i="7" s="1"/>
  <c r="K250" i="7" s="1"/>
  <c r="M249" i="7"/>
  <c r="H249" i="7"/>
  <c r="G249" i="7"/>
  <c r="H248" i="7"/>
  <c r="I248" i="7" s="1"/>
  <c r="J248" i="7" s="1"/>
  <c r="K248" i="7" s="1"/>
  <c r="M247" i="7"/>
  <c r="G247" i="7"/>
  <c r="H246" i="7"/>
  <c r="I246" i="7" s="1"/>
  <c r="J246" i="7" s="1"/>
  <c r="K246" i="7" s="1"/>
  <c r="M245" i="7"/>
  <c r="G245" i="7"/>
  <c r="H244" i="7"/>
  <c r="I244" i="7" s="1"/>
  <c r="J244" i="7" s="1"/>
  <c r="K244" i="7" s="1"/>
  <c r="O244" i="7" s="1"/>
  <c r="G244" i="7"/>
  <c r="N244" i="7" s="1"/>
  <c r="M243" i="7"/>
  <c r="G243" i="7"/>
  <c r="H242" i="7"/>
  <c r="I242" i="7" s="1"/>
  <c r="J242" i="7" s="1"/>
  <c r="K242" i="7" s="1"/>
  <c r="N241" i="7"/>
  <c r="M241" i="7"/>
  <c r="G241" i="7"/>
  <c r="N240" i="7"/>
  <c r="M240" i="7"/>
  <c r="G240" i="7"/>
  <c r="M239" i="7"/>
  <c r="H239" i="7"/>
  <c r="I239" i="7" s="1"/>
  <c r="J239" i="7" s="1"/>
  <c r="K239" i="7" s="1"/>
  <c r="O239" i="7" s="1"/>
  <c r="G239" i="7"/>
  <c r="N239" i="7" s="1"/>
  <c r="N238" i="7"/>
  <c r="M238" i="7"/>
  <c r="H238" i="7"/>
  <c r="I238" i="7" s="1"/>
  <c r="J238" i="7" s="1"/>
  <c r="K238" i="7" s="1"/>
  <c r="O238" i="7" s="1"/>
  <c r="G238" i="7"/>
  <c r="N237" i="7"/>
  <c r="M237" i="7"/>
  <c r="H237" i="7"/>
  <c r="L237" i="7" s="1"/>
  <c r="G237" i="7"/>
  <c r="N236" i="7"/>
  <c r="M236" i="7"/>
  <c r="H236" i="7"/>
  <c r="I236" i="7" s="1"/>
  <c r="J236" i="7" s="1"/>
  <c r="K236" i="7" s="1"/>
  <c r="O236" i="7" s="1"/>
  <c r="G236" i="7"/>
  <c r="M235" i="7"/>
  <c r="G235" i="7"/>
  <c r="N235" i="7" s="1"/>
  <c r="N234" i="7"/>
  <c r="M234" i="7"/>
  <c r="G234" i="7"/>
  <c r="N233" i="7"/>
  <c r="M233" i="7"/>
  <c r="G233" i="7"/>
  <c r="N232" i="7"/>
  <c r="M232" i="7"/>
  <c r="G232" i="7"/>
  <c r="M231" i="7"/>
  <c r="G231" i="7"/>
  <c r="N231" i="7" s="1"/>
  <c r="N230" i="7"/>
  <c r="M230" i="7"/>
  <c r="G230" i="7"/>
  <c r="N229" i="7"/>
  <c r="M229" i="7"/>
  <c r="G229" i="7"/>
  <c r="N228" i="7"/>
  <c r="M228" i="7"/>
  <c r="G228" i="7"/>
  <c r="M227" i="7"/>
  <c r="G227" i="7"/>
  <c r="N227" i="7" s="1"/>
  <c r="N226" i="7"/>
  <c r="M226" i="7"/>
  <c r="G226" i="7"/>
  <c r="N225" i="7"/>
  <c r="M225" i="7"/>
  <c r="G225" i="7"/>
  <c r="N224" i="7"/>
  <c r="M224" i="7"/>
  <c r="G224" i="7"/>
  <c r="M223" i="7"/>
  <c r="H223" i="7"/>
  <c r="I223" i="7" s="1"/>
  <c r="J223" i="7" s="1"/>
  <c r="K223" i="7" s="1"/>
  <c r="O223" i="7" s="1"/>
  <c r="G223" i="7"/>
  <c r="N223" i="7" s="1"/>
  <c r="N222" i="7"/>
  <c r="M222" i="7"/>
  <c r="H222" i="7"/>
  <c r="I222" i="7" s="1"/>
  <c r="J222" i="7" s="1"/>
  <c r="K222" i="7" s="1"/>
  <c r="O222" i="7" s="1"/>
  <c r="G222" i="7"/>
  <c r="N221" i="7"/>
  <c r="M221" i="7"/>
  <c r="H221" i="7"/>
  <c r="L221" i="7" s="1"/>
  <c r="G221" i="7"/>
  <c r="N220" i="7"/>
  <c r="M220" i="7"/>
  <c r="H220" i="7"/>
  <c r="I220" i="7" s="1"/>
  <c r="J220" i="7" s="1"/>
  <c r="K220" i="7" s="1"/>
  <c r="O220" i="7" s="1"/>
  <c r="G220" i="7"/>
  <c r="M219" i="7"/>
  <c r="G219" i="7"/>
  <c r="N219" i="7" s="1"/>
  <c r="N218" i="7"/>
  <c r="M218" i="7"/>
  <c r="G218" i="7"/>
  <c r="N217" i="7"/>
  <c r="M217" i="7"/>
  <c r="G217" i="7"/>
  <c r="N216" i="7"/>
  <c r="M216" i="7"/>
  <c r="G216" i="7"/>
  <c r="M215" i="7"/>
  <c r="G215" i="7"/>
  <c r="N215" i="7" s="1"/>
  <c r="N214" i="7"/>
  <c r="M214" i="7"/>
  <c r="G214" i="7"/>
  <c r="N213" i="7"/>
  <c r="M213" i="7"/>
  <c r="G213" i="7"/>
  <c r="N212" i="7"/>
  <c r="M212" i="7"/>
  <c r="G212" i="7"/>
  <c r="M211" i="7"/>
  <c r="G211" i="7"/>
  <c r="N211" i="7" s="1"/>
  <c r="N210" i="7"/>
  <c r="M210" i="7"/>
  <c r="G210" i="7"/>
  <c r="N209" i="7"/>
  <c r="M209" i="7"/>
  <c r="G209" i="7"/>
  <c r="N208" i="7"/>
  <c r="M208" i="7"/>
  <c r="G208" i="7"/>
  <c r="M207" i="7"/>
  <c r="H207" i="7"/>
  <c r="I207" i="7" s="1"/>
  <c r="J207" i="7" s="1"/>
  <c r="K207" i="7" s="1"/>
  <c r="O207" i="7" s="1"/>
  <c r="G207" i="7"/>
  <c r="N207" i="7" s="1"/>
  <c r="N206" i="7"/>
  <c r="M206" i="7"/>
  <c r="H206" i="7"/>
  <c r="I206" i="7" s="1"/>
  <c r="J206" i="7" s="1"/>
  <c r="K206" i="7" s="1"/>
  <c r="O206" i="7" s="1"/>
  <c r="G206" i="7"/>
  <c r="N205" i="7"/>
  <c r="M205" i="7"/>
  <c r="H205" i="7"/>
  <c r="L205" i="7" s="1"/>
  <c r="G205" i="7"/>
  <c r="N204" i="7"/>
  <c r="M204" i="7"/>
  <c r="H204" i="7"/>
  <c r="I204" i="7" s="1"/>
  <c r="J204" i="7" s="1"/>
  <c r="K204" i="7" s="1"/>
  <c r="O204" i="7" s="1"/>
  <c r="G204" i="7"/>
  <c r="M203" i="7"/>
  <c r="G203" i="7"/>
  <c r="N203" i="7" s="1"/>
  <c r="N202" i="7"/>
  <c r="M202" i="7"/>
  <c r="G202" i="7"/>
  <c r="N201" i="7"/>
  <c r="M201" i="7"/>
  <c r="G201" i="7"/>
  <c r="N200" i="7"/>
  <c r="M200" i="7"/>
  <c r="G200" i="7"/>
  <c r="M199" i="7"/>
  <c r="G199" i="7"/>
  <c r="N199" i="7" s="1"/>
  <c r="N198" i="7"/>
  <c r="M198" i="7"/>
  <c r="G198" i="7"/>
  <c r="N197" i="7"/>
  <c r="M197" i="7"/>
  <c r="G197" i="7"/>
  <c r="N196" i="7"/>
  <c r="M196" i="7"/>
  <c r="G196" i="7"/>
  <c r="M195" i="7"/>
  <c r="G195" i="7"/>
  <c r="N195" i="7" s="1"/>
  <c r="N194" i="7"/>
  <c r="M194" i="7"/>
  <c r="G194" i="7"/>
  <c r="N193" i="7"/>
  <c r="M193" i="7"/>
  <c r="G193" i="7"/>
  <c r="N192" i="7"/>
  <c r="M192" i="7"/>
  <c r="G192" i="7"/>
  <c r="M191" i="7"/>
  <c r="H191" i="7"/>
  <c r="I191" i="7" s="1"/>
  <c r="J191" i="7" s="1"/>
  <c r="K191" i="7" s="1"/>
  <c r="O191" i="7" s="1"/>
  <c r="G191" i="7"/>
  <c r="N191" i="7" s="1"/>
  <c r="N190" i="7"/>
  <c r="M190" i="7"/>
  <c r="H190" i="7"/>
  <c r="I190" i="7" s="1"/>
  <c r="J190" i="7" s="1"/>
  <c r="K190" i="7" s="1"/>
  <c r="O190" i="7" s="1"/>
  <c r="G190" i="7"/>
  <c r="N189" i="7"/>
  <c r="M189" i="7"/>
  <c r="H189" i="7"/>
  <c r="L189" i="7" s="1"/>
  <c r="G189" i="7"/>
  <c r="N188" i="7"/>
  <c r="M188" i="7"/>
  <c r="H188" i="7"/>
  <c r="I188" i="7" s="1"/>
  <c r="J188" i="7" s="1"/>
  <c r="K188" i="7" s="1"/>
  <c r="O188" i="7" s="1"/>
  <c r="G188" i="7"/>
  <c r="M187" i="7"/>
  <c r="G187" i="7"/>
  <c r="N187" i="7" s="1"/>
  <c r="N186" i="7"/>
  <c r="M186" i="7"/>
  <c r="G186" i="7"/>
  <c r="N185" i="7"/>
  <c r="M185" i="7"/>
  <c r="G185" i="7"/>
  <c r="N184" i="7"/>
  <c r="M184" i="7"/>
  <c r="H184" i="7"/>
  <c r="I184" i="7" s="1"/>
  <c r="J184" i="7" s="1"/>
  <c r="K184" i="7" s="1"/>
  <c r="O184" i="7" s="1"/>
  <c r="G184" i="7"/>
  <c r="M183" i="7"/>
  <c r="G183" i="7"/>
  <c r="N183" i="7" s="1"/>
  <c r="N182" i="7"/>
  <c r="M182" i="7"/>
  <c r="G182" i="7"/>
  <c r="N181" i="7"/>
  <c r="M181" i="7"/>
  <c r="G181" i="7"/>
  <c r="N180" i="7"/>
  <c r="M180" i="7"/>
  <c r="H180" i="7"/>
  <c r="I180" i="7" s="1"/>
  <c r="J180" i="7" s="1"/>
  <c r="K180" i="7" s="1"/>
  <c r="O180" i="7" s="1"/>
  <c r="G180" i="7"/>
  <c r="M179" i="7"/>
  <c r="G179" i="7"/>
  <c r="N179" i="7" s="1"/>
  <c r="N178" i="7"/>
  <c r="M178" i="7"/>
  <c r="G178" i="7"/>
  <c r="N177" i="7"/>
  <c r="M177" i="7"/>
  <c r="G177" i="7"/>
  <c r="N176" i="7"/>
  <c r="M176" i="7"/>
  <c r="G176" i="7"/>
  <c r="M175" i="7"/>
  <c r="G175" i="7"/>
  <c r="N175" i="7" s="1"/>
  <c r="N174" i="7"/>
  <c r="M174" i="7"/>
  <c r="G174" i="7"/>
  <c r="N173" i="7"/>
  <c r="M173" i="7"/>
  <c r="G173" i="7"/>
  <c r="N172" i="7"/>
  <c r="M172" i="7"/>
  <c r="G172" i="7"/>
  <c r="M171" i="7"/>
  <c r="H171" i="7"/>
  <c r="I171" i="7" s="1"/>
  <c r="J171" i="7" s="1"/>
  <c r="K171" i="7" s="1"/>
  <c r="O171" i="7" s="1"/>
  <c r="G171" i="7"/>
  <c r="N171" i="7" s="1"/>
  <c r="N170" i="7"/>
  <c r="M170" i="7"/>
  <c r="H170" i="7"/>
  <c r="I170" i="7" s="1"/>
  <c r="J170" i="7" s="1"/>
  <c r="K170" i="7" s="1"/>
  <c r="O170" i="7" s="1"/>
  <c r="G170" i="7"/>
  <c r="N169" i="7"/>
  <c r="M169" i="7"/>
  <c r="H169" i="7"/>
  <c r="L169" i="7" s="1"/>
  <c r="G169" i="7"/>
  <c r="N168" i="7"/>
  <c r="M168" i="7"/>
  <c r="H168" i="7"/>
  <c r="I168" i="7" s="1"/>
  <c r="J168" i="7" s="1"/>
  <c r="K168" i="7" s="1"/>
  <c r="O168" i="7" s="1"/>
  <c r="G168" i="7"/>
  <c r="M167" i="7"/>
  <c r="G167" i="7"/>
  <c r="N167" i="7" s="1"/>
  <c r="N166" i="7"/>
  <c r="M166" i="7"/>
  <c r="G166" i="7"/>
  <c r="N165" i="7"/>
  <c r="M165" i="7"/>
  <c r="G165" i="7"/>
  <c r="N164" i="7"/>
  <c r="M164" i="7"/>
  <c r="G164" i="7"/>
  <c r="M163" i="7"/>
  <c r="G163" i="7"/>
  <c r="N163" i="7" s="1"/>
  <c r="N162" i="7"/>
  <c r="M162" i="7"/>
  <c r="G162" i="7"/>
  <c r="N161" i="7"/>
  <c r="M161" i="7"/>
  <c r="G161" i="7"/>
  <c r="N160" i="7"/>
  <c r="M160" i="7"/>
  <c r="G160" i="7"/>
  <c r="M159" i="7"/>
  <c r="G159" i="7"/>
  <c r="N159" i="7" s="1"/>
  <c r="N158" i="7"/>
  <c r="M158" i="7"/>
  <c r="G158" i="7"/>
  <c r="N157" i="7"/>
  <c r="M157" i="7"/>
  <c r="G157" i="7"/>
  <c r="N156" i="7"/>
  <c r="M156" i="7"/>
  <c r="G156" i="7"/>
  <c r="M155" i="7"/>
  <c r="H155" i="7"/>
  <c r="I155" i="7" s="1"/>
  <c r="J155" i="7" s="1"/>
  <c r="K155" i="7" s="1"/>
  <c r="O155" i="7" s="1"/>
  <c r="G155" i="7"/>
  <c r="N155" i="7" s="1"/>
  <c r="N154" i="7"/>
  <c r="M154" i="7"/>
  <c r="H154" i="7"/>
  <c r="I154" i="7" s="1"/>
  <c r="J154" i="7" s="1"/>
  <c r="K154" i="7" s="1"/>
  <c r="O154" i="7" s="1"/>
  <c r="G154" i="7"/>
  <c r="N153" i="7"/>
  <c r="M153" i="7"/>
  <c r="H153" i="7"/>
  <c r="L153" i="7" s="1"/>
  <c r="G153" i="7"/>
  <c r="N152" i="7"/>
  <c r="M152" i="7"/>
  <c r="H152" i="7"/>
  <c r="I152" i="7" s="1"/>
  <c r="J152" i="7" s="1"/>
  <c r="K152" i="7" s="1"/>
  <c r="O152" i="7" s="1"/>
  <c r="G152" i="7"/>
  <c r="M151" i="7"/>
  <c r="G151" i="7"/>
  <c r="N151" i="7" s="1"/>
  <c r="N150" i="7"/>
  <c r="M150" i="7"/>
  <c r="G150" i="7"/>
  <c r="N149" i="7"/>
  <c r="M149" i="7"/>
  <c r="G149" i="7"/>
  <c r="N148" i="7"/>
  <c r="M148" i="7"/>
  <c r="G148" i="7"/>
  <c r="M147" i="7"/>
  <c r="G147" i="7"/>
  <c r="N147" i="7" s="1"/>
  <c r="N146" i="7"/>
  <c r="M146" i="7"/>
  <c r="G146" i="7"/>
  <c r="N145" i="7"/>
  <c r="M145" i="7"/>
  <c r="G145" i="7"/>
  <c r="N144" i="7"/>
  <c r="M144" i="7"/>
  <c r="G144" i="7"/>
  <c r="M143" i="7"/>
  <c r="G143" i="7"/>
  <c r="N143" i="7" s="1"/>
  <c r="N142" i="7"/>
  <c r="M142" i="7"/>
  <c r="G142" i="7"/>
  <c r="N141" i="7"/>
  <c r="M141" i="7"/>
  <c r="G141" i="7"/>
  <c r="N140" i="7"/>
  <c r="M140" i="7"/>
  <c r="G140" i="7"/>
  <c r="M139" i="7"/>
  <c r="H139" i="7"/>
  <c r="I139" i="7" s="1"/>
  <c r="J139" i="7" s="1"/>
  <c r="K139" i="7" s="1"/>
  <c r="O139" i="7" s="1"/>
  <c r="G139" i="7"/>
  <c r="N139" i="7" s="1"/>
  <c r="N138" i="7"/>
  <c r="M138" i="7"/>
  <c r="H138" i="7"/>
  <c r="I138" i="7" s="1"/>
  <c r="J138" i="7" s="1"/>
  <c r="K138" i="7" s="1"/>
  <c r="O138" i="7" s="1"/>
  <c r="G138" i="7"/>
  <c r="N137" i="7"/>
  <c r="M137" i="7"/>
  <c r="H137" i="7"/>
  <c r="L137" i="7" s="1"/>
  <c r="G137" i="7"/>
  <c r="N136" i="7"/>
  <c r="M136" i="7"/>
  <c r="H136" i="7"/>
  <c r="I136" i="7" s="1"/>
  <c r="J136" i="7" s="1"/>
  <c r="K136" i="7" s="1"/>
  <c r="O136" i="7" s="1"/>
  <c r="G136" i="7"/>
  <c r="M135" i="7"/>
  <c r="G135" i="7"/>
  <c r="N135" i="7" s="1"/>
  <c r="N134" i="7"/>
  <c r="M134" i="7"/>
  <c r="G134" i="7"/>
  <c r="N133" i="7"/>
  <c r="M133" i="7"/>
  <c r="G133" i="7"/>
  <c r="N132" i="7"/>
  <c r="M132" i="7"/>
  <c r="G132" i="7"/>
  <c r="M131" i="7"/>
  <c r="G131" i="7"/>
  <c r="N131" i="7" s="1"/>
  <c r="N130" i="7"/>
  <c r="M130" i="7"/>
  <c r="G130" i="7"/>
  <c r="N129" i="7"/>
  <c r="M129" i="7"/>
  <c r="G129" i="7"/>
  <c r="N128" i="7"/>
  <c r="M128" i="7"/>
  <c r="G128" i="7"/>
  <c r="M127" i="7"/>
  <c r="G127" i="7"/>
  <c r="N127" i="7" s="1"/>
  <c r="N126" i="7"/>
  <c r="M126" i="7"/>
  <c r="G126" i="7"/>
  <c r="N125" i="7"/>
  <c r="M125" i="7"/>
  <c r="G125" i="7"/>
  <c r="M124" i="7"/>
  <c r="N124" i="7" s="1"/>
  <c r="H124" i="7"/>
  <c r="I124" i="7" s="1"/>
  <c r="J124" i="7" s="1"/>
  <c r="K124" i="7" s="1"/>
  <c r="G124" i="7"/>
  <c r="M123" i="7"/>
  <c r="G123" i="7"/>
  <c r="M122" i="7"/>
  <c r="N122" i="7" s="1"/>
  <c r="G122" i="7"/>
  <c r="M121" i="7"/>
  <c r="N121" i="7" s="1"/>
  <c r="G121" i="7"/>
  <c r="M120" i="7"/>
  <c r="N120" i="7" s="1"/>
  <c r="H120" i="7"/>
  <c r="I120" i="7" s="1"/>
  <c r="J120" i="7" s="1"/>
  <c r="K120" i="7" s="1"/>
  <c r="O120" i="7" s="1"/>
  <c r="G120" i="7"/>
  <c r="M119" i="7"/>
  <c r="G119" i="7"/>
  <c r="M118" i="7"/>
  <c r="N118" i="7" s="1"/>
  <c r="G118" i="7"/>
  <c r="M117" i="7"/>
  <c r="N117" i="7" s="1"/>
  <c r="G117" i="7"/>
  <c r="M116" i="7"/>
  <c r="N116" i="7" s="1"/>
  <c r="H116" i="7"/>
  <c r="I116" i="7" s="1"/>
  <c r="J116" i="7" s="1"/>
  <c r="K116" i="7" s="1"/>
  <c r="G116" i="7"/>
  <c r="M115" i="7"/>
  <c r="G115" i="7"/>
  <c r="M114" i="7"/>
  <c r="N114" i="7" s="1"/>
  <c r="G114" i="7"/>
  <c r="M113" i="7"/>
  <c r="N113" i="7" s="1"/>
  <c r="G113" i="7"/>
  <c r="M112" i="7"/>
  <c r="N112" i="7" s="1"/>
  <c r="H112" i="7"/>
  <c r="I112" i="7" s="1"/>
  <c r="J112" i="7" s="1"/>
  <c r="K112" i="7" s="1"/>
  <c r="G112" i="7"/>
  <c r="M111" i="7"/>
  <c r="G111" i="7"/>
  <c r="M110" i="7"/>
  <c r="N110" i="7" s="1"/>
  <c r="G110" i="7"/>
  <c r="M109" i="7"/>
  <c r="N109" i="7" s="1"/>
  <c r="G109" i="7"/>
  <c r="M108" i="7"/>
  <c r="N108" i="7" s="1"/>
  <c r="H108" i="7"/>
  <c r="I108" i="7" s="1"/>
  <c r="J108" i="7" s="1"/>
  <c r="K108" i="7" s="1"/>
  <c r="G108" i="7"/>
  <c r="M107" i="7"/>
  <c r="G107" i="7"/>
  <c r="M106" i="7"/>
  <c r="N106" i="7" s="1"/>
  <c r="G106" i="7"/>
  <c r="M105" i="7"/>
  <c r="N105" i="7" s="1"/>
  <c r="G105" i="7"/>
  <c r="M104" i="7"/>
  <c r="N104" i="7" s="1"/>
  <c r="G104" i="7"/>
  <c r="M103" i="7"/>
  <c r="H103" i="7"/>
  <c r="I103" i="7" s="1"/>
  <c r="J103" i="7" s="1"/>
  <c r="K103" i="7" s="1"/>
  <c r="O103" i="7" s="1"/>
  <c r="G103" i="7"/>
  <c r="M102" i="7"/>
  <c r="N102" i="7" s="1"/>
  <c r="G102" i="7"/>
  <c r="M101" i="7"/>
  <c r="N101" i="7" s="1"/>
  <c r="G101" i="7"/>
  <c r="M100" i="7"/>
  <c r="N100" i="7" s="1"/>
  <c r="G100" i="7"/>
  <c r="M99" i="7"/>
  <c r="H99" i="7"/>
  <c r="I99" i="7" s="1"/>
  <c r="J99" i="7" s="1"/>
  <c r="K99" i="7" s="1"/>
  <c r="G99" i="7"/>
  <c r="M98" i="7"/>
  <c r="N98" i="7" s="1"/>
  <c r="G98" i="7"/>
  <c r="M97" i="7"/>
  <c r="N97" i="7" s="1"/>
  <c r="G97" i="7"/>
  <c r="M96" i="7"/>
  <c r="N96" i="7" s="1"/>
  <c r="G96" i="7"/>
  <c r="M95" i="7"/>
  <c r="H95" i="7"/>
  <c r="I95" i="7" s="1"/>
  <c r="J95" i="7" s="1"/>
  <c r="K95" i="7" s="1"/>
  <c r="G95" i="7"/>
  <c r="M94" i="7"/>
  <c r="N94" i="7" s="1"/>
  <c r="G94" i="7"/>
  <c r="M93" i="7"/>
  <c r="N93" i="7" s="1"/>
  <c r="G93" i="7"/>
  <c r="M92" i="7"/>
  <c r="N92" i="7" s="1"/>
  <c r="G92" i="7"/>
  <c r="M91" i="7"/>
  <c r="H91" i="7"/>
  <c r="I91" i="7" s="1"/>
  <c r="J91" i="7" s="1"/>
  <c r="K91" i="7" s="1"/>
  <c r="G91" i="7"/>
  <c r="M90" i="7"/>
  <c r="N90" i="7" s="1"/>
  <c r="G90" i="7"/>
  <c r="M89" i="7"/>
  <c r="N89" i="7" s="1"/>
  <c r="G89" i="7"/>
  <c r="M88" i="7"/>
  <c r="N88" i="7" s="1"/>
  <c r="G88" i="7"/>
  <c r="M87" i="7"/>
  <c r="G87" i="7"/>
  <c r="N87" i="7" s="1"/>
  <c r="M86" i="7"/>
  <c r="N86" i="7" s="1"/>
  <c r="H86" i="7"/>
  <c r="I86" i="7" s="1"/>
  <c r="J86" i="7" s="1"/>
  <c r="K86" i="7" s="1"/>
  <c r="G86" i="7"/>
  <c r="M85" i="7"/>
  <c r="N85" i="7" s="1"/>
  <c r="G85" i="7"/>
  <c r="N84" i="7"/>
  <c r="M84" i="7"/>
  <c r="G84" i="7"/>
  <c r="M83" i="7"/>
  <c r="G83" i="7"/>
  <c r="M82" i="7"/>
  <c r="N82" i="7" s="1"/>
  <c r="G82" i="7"/>
  <c r="M81" i="7"/>
  <c r="N81" i="7" s="1"/>
  <c r="H81" i="7"/>
  <c r="L81" i="7" s="1"/>
  <c r="G81" i="7"/>
  <c r="M80" i="7"/>
  <c r="N80" i="7" s="1"/>
  <c r="G80" i="7"/>
  <c r="M79" i="7"/>
  <c r="G79" i="7"/>
  <c r="M78" i="7"/>
  <c r="N78" i="7" s="1"/>
  <c r="G78" i="7"/>
  <c r="M77" i="7"/>
  <c r="N77" i="7" s="1"/>
  <c r="H77" i="7"/>
  <c r="L77" i="7" s="1"/>
  <c r="G77" i="7"/>
  <c r="M76" i="7"/>
  <c r="N76" i="7" s="1"/>
  <c r="G76" i="7"/>
  <c r="M75" i="7"/>
  <c r="G75" i="7"/>
  <c r="M74" i="7"/>
  <c r="N74" i="7" s="1"/>
  <c r="G74" i="7"/>
  <c r="M73" i="7"/>
  <c r="N73" i="7" s="1"/>
  <c r="G73" i="7"/>
  <c r="M72" i="7"/>
  <c r="N72" i="7" s="1"/>
  <c r="H72" i="7"/>
  <c r="I72" i="7" s="1"/>
  <c r="J72" i="7" s="1"/>
  <c r="K72" i="7" s="1"/>
  <c r="G72" i="7"/>
  <c r="M71" i="7"/>
  <c r="G71" i="7"/>
  <c r="M70" i="7"/>
  <c r="N70" i="7" s="1"/>
  <c r="G70" i="7"/>
  <c r="M69" i="7"/>
  <c r="N69" i="7" s="1"/>
  <c r="G69" i="7"/>
  <c r="N68" i="7"/>
  <c r="M68" i="7"/>
  <c r="G68" i="7"/>
  <c r="M67" i="7"/>
  <c r="H67" i="7"/>
  <c r="I67" i="7" s="1"/>
  <c r="J67" i="7" s="1"/>
  <c r="K67" i="7" s="1"/>
  <c r="G67" i="7"/>
  <c r="M66" i="7"/>
  <c r="N66" i="7" s="1"/>
  <c r="G66" i="7"/>
  <c r="M65" i="7"/>
  <c r="N65" i="7" s="1"/>
  <c r="G65" i="7"/>
  <c r="M64" i="7"/>
  <c r="N64" i="7" s="1"/>
  <c r="G64" i="7"/>
  <c r="M63" i="7"/>
  <c r="H63" i="7"/>
  <c r="I63" i="7" s="1"/>
  <c r="J63" i="7" s="1"/>
  <c r="K63" i="7" s="1"/>
  <c r="G63" i="7"/>
  <c r="M62" i="7"/>
  <c r="N62" i="7" s="1"/>
  <c r="G62" i="7"/>
  <c r="M61" i="7"/>
  <c r="N61" i="7" s="1"/>
  <c r="G61" i="7"/>
  <c r="M60" i="7"/>
  <c r="N60" i="7" s="1"/>
  <c r="G60" i="7"/>
  <c r="M59" i="7"/>
  <c r="H59" i="7"/>
  <c r="I59" i="7" s="1"/>
  <c r="J59" i="7" s="1"/>
  <c r="K59" i="7" s="1"/>
  <c r="O59" i="7" s="1"/>
  <c r="G59" i="7"/>
  <c r="M58" i="7"/>
  <c r="N58" i="7" s="1"/>
  <c r="G58" i="7"/>
  <c r="M57" i="7"/>
  <c r="N57" i="7" s="1"/>
  <c r="G57" i="7"/>
  <c r="M56" i="7"/>
  <c r="N56" i="7" s="1"/>
  <c r="G56" i="7"/>
  <c r="M55" i="7"/>
  <c r="H55" i="7"/>
  <c r="I55" i="7" s="1"/>
  <c r="J55" i="7" s="1"/>
  <c r="K55" i="7" s="1"/>
  <c r="G55" i="7"/>
  <c r="M54" i="7"/>
  <c r="N54" i="7" s="1"/>
  <c r="G54" i="7"/>
  <c r="M53" i="7"/>
  <c r="N53" i="7" s="1"/>
  <c r="G53" i="7"/>
  <c r="M52" i="7"/>
  <c r="N52" i="7" s="1"/>
  <c r="G52" i="7"/>
  <c r="M51" i="7"/>
  <c r="H51" i="7"/>
  <c r="I51" i="7" s="1"/>
  <c r="J51" i="7" s="1"/>
  <c r="K51" i="7" s="1"/>
  <c r="G51" i="7"/>
  <c r="M50" i="7"/>
  <c r="N50" i="7" s="1"/>
  <c r="G50" i="7"/>
  <c r="M49" i="7"/>
  <c r="N49" i="7" s="1"/>
  <c r="G49" i="7"/>
  <c r="N48" i="7"/>
  <c r="M48" i="7"/>
  <c r="G48" i="7"/>
  <c r="M47" i="7"/>
  <c r="G47" i="7"/>
  <c r="M46" i="7"/>
  <c r="N46" i="7" s="1"/>
  <c r="H46" i="7"/>
  <c r="I46" i="7" s="1"/>
  <c r="J46" i="7" s="1"/>
  <c r="K46" i="7" s="1"/>
  <c r="O46" i="7" s="1"/>
  <c r="G46" i="7"/>
  <c r="M45" i="7"/>
  <c r="N45" i="7" s="1"/>
  <c r="G45" i="7"/>
  <c r="M44" i="7"/>
  <c r="N44" i="7" s="1"/>
  <c r="G44" i="7"/>
  <c r="M43" i="7"/>
  <c r="G43" i="7"/>
  <c r="M42" i="7"/>
  <c r="N42" i="7" s="1"/>
  <c r="H42" i="7"/>
  <c r="I42" i="7" s="1"/>
  <c r="J42" i="7" s="1"/>
  <c r="K42" i="7" s="1"/>
  <c r="G42" i="7"/>
  <c r="M41" i="7"/>
  <c r="N41" i="7" s="1"/>
  <c r="G41" i="7"/>
  <c r="M40" i="7"/>
  <c r="N40" i="7" s="1"/>
  <c r="G40" i="7"/>
  <c r="M39" i="7"/>
  <c r="G39" i="7"/>
  <c r="M38" i="7"/>
  <c r="N38" i="7" s="1"/>
  <c r="G38" i="7"/>
  <c r="M37" i="7"/>
  <c r="N37" i="7" s="1"/>
  <c r="H37" i="7"/>
  <c r="L37" i="7" s="1"/>
  <c r="G37" i="7"/>
  <c r="M36" i="7"/>
  <c r="N36" i="7" s="1"/>
  <c r="G36" i="7"/>
  <c r="M35" i="7"/>
  <c r="G35" i="7"/>
  <c r="M34" i="7"/>
  <c r="N34" i="7" s="1"/>
  <c r="G34" i="7"/>
  <c r="M33" i="7"/>
  <c r="N33" i="7" s="1"/>
  <c r="H33" i="7"/>
  <c r="L33" i="7" s="1"/>
  <c r="G33" i="7"/>
  <c r="M32" i="7"/>
  <c r="N32" i="7" s="1"/>
  <c r="H32" i="7"/>
  <c r="I32" i="7" s="1"/>
  <c r="J32" i="7" s="1"/>
  <c r="K32" i="7" s="1"/>
  <c r="G32" i="7"/>
  <c r="M31" i="7"/>
  <c r="G31" i="7"/>
  <c r="M30" i="7"/>
  <c r="N30" i="7" s="1"/>
  <c r="G30" i="7"/>
  <c r="M29" i="7"/>
  <c r="N29" i="7" s="1"/>
  <c r="G29" i="7"/>
  <c r="M28" i="7"/>
  <c r="N28" i="7" s="1"/>
  <c r="H28" i="7"/>
  <c r="I28" i="7" s="1"/>
  <c r="J28" i="7" s="1"/>
  <c r="K28" i="7" s="1"/>
  <c r="G28" i="7"/>
  <c r="M27" i="7"/>
  <c r="G27" i="7"/>
  <c r="M26" i="7"/>
  <c r="N26" i="7" s="1"/>
  <c r="G26" i="7"/>
  <c r="M25" i="7"/>
  <c r="N25" i="7" s="1"/>
  <c r="G25" i="7"/>
  <c r="M24" i="7"/>
  <c r="N24" i="7" s="1"/>
  <c r="G24" i="7"/>
  <c r="M23" i="7"/>
  <c r="G23" i="7"/>
  <c r="M22" i="7"/>
  <c r="N22" i="7" s="1"/>
  <c r="H22" i="7"/>
  <c r="I22" i="7" s="1"/>
  <c r="J22" i="7" s="1"/>
  <c r="K22" i="7" s="1"/>
  <c r="G22" i="7"/>
  <c r="M21" i="7"/>
  <c r="N21" i="7" s="1"/>
  <c r="G21" i="7"/>
  <c r="M20" i="7"/>
  <c r="N20" i="7" s="1"/>
  <c r="G20" i="7"/>
  <c r="M19" i="7"/>
  <c r="G19" i="7"/>
  <c r="N19" i="7" s="1"/>
  <c r="M18" i="7"/>
  <c r="N18" i="7" s="1"/>
  <c r="H18" i="7"/>
  <c r="I18" i="7" s="1"/>
  <c r="J18" i="7" s="1"/>
  <c r="K18" i="7" s="1"/>
  <c r="O18" i="7" s="1"/>
  <c r="G18" i="7"/>
  <c r="M17" i="7"/>
  <c r="N17" i="7" s="1"/>
  <c r="G17" i="7"/>
  <c r="N16" i="7"/>
  <c r="M16" i="7"/>
  <c r="G16" i="7"/>
  <c r="M15" i="7"/>
  <c r="G15" i="7"/>
  <c r="M14" i="7"/>
  <c r="N14" i="7" s="1"/>
  <c r="G14" i="7"/>
  <c r="M13" i="7"/>
  <c r="N13" i="7" s="1"/>
  <c r="H13" i="7"/>
  <c r="L13" i="7" s="1"/>
  <c r="G13" i="7"/>
  <c r="M12" i="7"/>
  <c r="N12" i="7" s="1"/>
  <c r="G12" i="7"/>
  <c r="M11" i="7"/>
  <c r="G11" i="7"/>
  <c r="M10" i="7"/>
  <c r="N10" i="7" s="1"/>
  <c r="G10" i="7"/>
  <c r="M9" i="7"/>
  <c r="N9" i="7" s="1"/>
  <c r="H9" i="7"/>
  <c r="L9" i="7" s="1"/>
  <c r="G9" i="7"/>
  <c r="M8" i="7"/>
  <c r="N8" i="7" s="1"/>
  <c r="H8" i="7"/>
  <c r="I8" i="7" s="1"/>
  <c r="J8" i="7" s="1"/>
  <c r="K8" i="7" s="1"/>
  <c r="G8" i="7"/>
  <c r="M7" i="7"/>
  <c r="G7" i="7"/>
  <c r="M6" i="7"/>
  <c r="N6" i="7" s="1"/>
  <c r="G6" i="7"/>
  <c r="M5" i="7"/>
  <c r="N5" i="7" s="1"/>
  <c r="G5" i="7"/>
  <c r="S505" i="6"/>
  <c r="R505" i="6"/>
  <c r="Q505" i="6"/>
  <c r="P505" i="6"/>
  <c r="L505" i="6"/>
  <c r="K505" i="6"/>
  <c r="O505" i="6" s="1"/>
  <c r="J505" i="6"/>
  <c r="N505" i="6" s="1"/>
  <c r="S504" i="6"/>
  <c r="R504" i="6"/>
  <c r="Q504" i="6"/>
  <c r="P504" i="6"/>
  <c r="L504" i="6"/>
  <c r="K504" i="6"/>
  <c r="O504" i="6" s="1"/>
  <c r="J504" i="6"/>
  <c r="N504" i="6" s="1"/>
  <c r="S503" i="6"/>
  <c r="R503" i="6"/>
  <c r="Q503" i="6"/>
  <c r="P503" i="6"/>
  <c r="L503" i="6"/>
  <c r="K503" i="6"/>
  <c r="O503" i="6" s="1"/>
  <c r="J503" i="6"/>
  <c r="N503" i="6" s="1"/>
  <c r="S502" i="6"/>
  <c r="R502" i="6"/>
  <c r="Q502" i="6"/>
  <c r="P502" i="6"/>
  <c r="L502" i="6"/>
  <c r="K502" i="6"/>
  <c r="O502" i="6" s="1"/>
  <c r="J502" i="6"/>
  <c r="N502" i="6" s="1"/>
  <c r="S501" i="6"/>
  <c r="R501" i="6"/>
  <c r="Q501" i="6"/>
  <c r="P501" i="6"/>
  <c r="L501" i="6"/>
  <c r="K501" i="6"/>
  <c r="O501" i="6" s="1"/>
  <c r="J501" i="6"/>
  <c r="N501" i="6" s="1"/>
  <c r="S500" i="6"/>
  <c r="R500" i="6"/>
  <c r="Q500" i="6"/>
  <c r="P500" i="6"/>
  <c r="L500" i="6"/>
  <c r="K500" i="6"/>
  <c r="O500" i="6" s="1"/>
  <c r="J500" i="6"/>
  <c r="N500" i="6" s="1"/>
  <c r="S499" i="6"/>
  <c r="R499" i="6"/>
  <c r="Q499" i="6"/>
  <c r="P499" i="6"/>
  <c r="L499" i="6"/>
  <c r="K499" i="6"/>
  <c r="O499" i="6" s="1"/>
  <c r="J499" i="6"/>
  <c r="N499" i="6" s="1"/>
  <c r="S498" i="6"/>
  <c r="R498" i="6"/>
  <c r="Q498" i="6"/>
  <c r="P498" i="6"/>
  <c r="N498" i="6"/>
  <c r="L498" i="6"/>
  <c r="K498" i="6"/>
  <c r="O498" i="6" s="1"/>
  <c r="J498" i="6"/>
  <c r="S497" i="6"/>
  <c r="R497" i="6"/>
  <c r="Q497" i="6"/>
  <c r="P497" i="6"/>
  <c r="N497" i="6"/>
  <c r="L497" i="6"/>
  <c r="K497" i="6"/>
  <c r="O497" i="6" s="1"/>
  <c r="J497" i="6"/>
  <c r="S496" i="6"/>
  <c r="R496" i="6"/>
  <c r="Q496" i="6"/>
  <c r="P496" i="6"/>
  <c r="L496" i="6"/>
  <c r="K496" i="6"/>
  <c r="O496" i="6" s="1"/>
  <c r="J496" i="6"/>
  <c r="N496" i="6" s="1"/>
  <c r="S495" i="6"/>
  <c r="R495" i="6"/>
  <c r="Q495" i="6"/>
  <c r="P495" i="6"/>
  <c r="L495" i="6"/>
  <c r="K495" i="6"/>
  <c r="O495" i="6" s="1"/>
  <c r="J495" i="6"/>
  <c r="N495" i="6" s="1"/>
  <c r="S494" i="6"/>
  <c r="R494" i="6"/>
  <c r="Q494" i="6"/>
  <c r="P494" i="6"/>
  <c r="O494" i="6"/>
  <c r="N494" i="6"/>
  <c r="L494" i="6"/>
  <c r="K494" i="6"/>
  <c r="J494" i="6"/>
  <c r="S493" i="6"/>
  <c r="R493" i="6"/>
  <c r="Q493" i="6"/>
  <c r="P493" i="6"/>
  <c r="N493" i="6"/>
  <c r="L493" i="6"/>
  <c r="K493" i="6"/>
  <c r="O493" i="6" s="1"/>
  <c r="J493" i="6"/>
  <c r="S492" i="6"/>
  <c r="R492" i="6"/>
  <c r="Q492" i="6"/>
  <c r="P492" i="6"/>
  <c r="L492" i="6"/>
  <c r="K492" i="6"/>
  <c r="O492" i="6" s="1"/>
  <c r="J492" i="6"/>
  <c r="N492" i="6" s="1"/>
  <c r="S491" i="6"/>
  <c r="R491" i="6"/>
  <c r="Q491" i="6"/>
  <c r="P491" i="6"/>
  <c r="N491" i="6"/>
  <c r="L491" i="6"/>
  <c r="K491" i="6"/>
  <c r="O491" i="6" s="1"/>
  <c r="J491" i="6"/>
  <c r="S490" i="6"/>
  <c r="R490" i="6"/>
  <c r="Q490" i="6"/>
  <c r="P490" i="6"/>
  <c r="L490" i="6"/>
  <c r="K490" i="6"/>
  <c r="O490" i="6" s="1"/>
  <c r="J490" i="6"/>
  <c r="N490" i="6" s="1"/>
  <c r="S489" i="6"/>
  <c r="R489" i="6"/>
  <c r="Q489" i="6"/>
  <c r="P489" i="6"/>
  <c r="L489" i="6"/>
  <c r="K489" i="6"/>
  <c r="O489" i="6" s="1"/>
  <c r="J489" i="6"/>
  <c r="N489" i="6" s="1"/>
  <c r="S488" i="6"/>
  <c r="R488" i="6"/>
  <c r="Q488" i="6"/>
  <c r="P488" i="6"/>
  <c r="L488" i="6"/>
  <c r="K488" i="6"/>
  <c r="O488" i="6" s="1"/>
  <c r="J488" i="6"/>
  <c r="N488" i="6" s="1"/>
  <c r="S487" i="6"/>
  <c r="R487" i="6"/>
  <c r="Q487" i="6"/>
  <c r="P487" i="6"/>
  <c r="L487" i="6"/>
  <c r="K487" i="6"/>
  <c r="O487" i="6" s="1"/>
  <c r="J487" i="6"/>
  <c r="N487" i="6" s="1"/>
  <c r="S486" i="6"/>
  <c r="R486" i="6"/>
  <c r="Q486" i="6"/>
  <c r="P486" i="6"/>
  <c r="L486" i="6"/>
  <c r="K486" i="6"/>
  <c r="O486" i="6" s="1"/>
  <c r="J486" i="6"/>
  <c r="N486" i="6" s="1"/>
  <c r="S485" i="6"/>
  <c r="R485" i="6"/>
  <c r="Q485" i="6"/>
  <c r="P485" i="6"/>
  <c r="L485" i="6"/>
  <c r="K485" i="6"/>
  <c r="O485" i="6" s="1"/>
  <c r="J485" i="6"/>
  <c r="N485" i="6" s="1"/>
  <c r="S484" i="6"/>
  <c r="R484" i="6"/>
  <c r="Q484" i="6"/>
  <c r="P484" i="6"/>
  <c r="L484" i="6"/>
  <c r="K484" i="6"/>
  <c r="O484" i="6" s="1"/>
  <c r="J484" i="6"/>
  <c r="N484" i="6" s="1"/>
  <c r="S483" i="6"/>
  <c r="R483" i="6"/>
  <c r="Q483" i="6"/>
  <c r="P483" i="6"/>
  <c r="L483" i="6"/>
  <c r="K483" i="6"/>
  <c r="O483" i="6" s="1"/>
  <c r="J483" i="6"/>
  <c r="N483" i="6" s="1"/>
  <c r="S482" i="6"/>
  <c r="R482" i="6"/>
  <c r="Q482" i="6"/>
  <c r="P482" i="6"/>
  <c r="O482" i="6"/>
  <c r="N482" i="6"/>
  <c r="L482" i="6"/>
  <c r="K482" i="6"/>
  <c r="J482" i="6"/>
  <c r="S481" i="6"/>
  <c r="R481" i="6"/>
  <c r="Q481" i="6"/>
  <c r="P481" i="6"/>
  <c r="N481" i="6"/>
  <c r="L481" i="6"/>
  <c r="K481" i="6"/>
  <c r="O481" i="6" s="1"/>
  <c r="J481" i="6"/>
  <c r="S480" i="6"/>
  <c r="R480" i="6"/>
  <c r="Q480" i="6"/>
  <c r="P480" i="6"/>
  <c r="L480" i="6"/>
  <c r="K480" i="6"/>
  <c r="O480" i="6" s="1"/>
  <c r="J480" i="6"/>
  <c r="N480" i="6" s="1"/>
  <c r="S479" i="6"/>
  <c r="R479" i="6"/>
  <c r="Q479" i="6"/>
  <c r="P479" i="6"/>
  <c r="L479" i="6"/>
  <c r="K479" i="6"/>
  <c r="O479" i="6" s="1"/>
  <c r="J479" i="6"/>
  <c r="N479" i="6" s="1"/>
  <c r="S478" i="6"/>
  <c r="R478" i="6"/>
  <c r="Q478" i="6"/>
  <c r="P478" i="6"/>
  <c r="N478" i="6"/>
  <c r="L478" i="6"/>
  <c r="K478" i="6"/>
  <c r="O478" i="6" s="1"/>
  <c r="J478" i="6"/>
  <c r="S477" i="6"/>
  <c r="R477" i="6"/>
  <c r="Q477" i="6"/>
  <c r="P477" i="6"/>
  <c r="N477" i="6"/>
  <c r="L477" i="6"/>
  <c r="K477" i="6"/>
  <c r="O477" i="6" s="1"/>
  <c r="J477" i="6"/>
  <c r="S476" i="6"/>
  <c r="R476" i="6"/>
  <c r="Q476" i="6"/>
  <c r="P476" i="6"/>
  <c r="O476" i="6"/>
  <c r="L476" i="6"/>
  <c r="K476" i="6"/>
  <c r="J476" i="6"/>
  <c r="N476" i="6" s="1"/>
  <c r="S475" i="6"/>
  <c r="R475" i="6"/>
  <c r="Q475" i="6"/>
  <c r="P475" i="6"/>
  <c r="N475" i="6"/>
  <c r="L475" i="6"/>
  <c r="K475" i="6"/>
  <c r="O475" i="6" s="1"/>
  <c r="J475" i="6"/>
  <c r="S474" i="6"/>
  <c r="R474" i="6"/>
  <c r="Q474" i="6"/>
  <c r="P474" i="6"/>
  <c r="O474" i="6"/>
  <c r="L474" i="6"/>
  <c r="K474" i="6"/>
  <c r="J474" i="6"/>
  <c r="N474" i="6" s="1"/>
  <c r="S473" i="6"/>
  <c r="R473" i="6"/>
  <c r="Q473" i="6"/>
  <c r="P473" i="6"/>
  <c r="L473" i="6"/>
  <c r="K473" i="6"/>
  <c r="O473" i="6" s="1"/>
  <c r="J473" i="6"/>
  <c r="N473" i="6" s="1"/>
  <c r="S472" i="6"/>
  <c r="R472" i="6"/>
  <c r="Q472" i="6"/>
  <c r="P472" i="6"/>
  <c r="L472" i="6"/>
  <c r="K472" i="6"/>
  <c r="O472" i="6" s="1"/>
  <c r="J472" i="6"/>
  <c r="N472" i="6" s="1"/>
  <c r="S471" i="6"/>
  <c r="R471" i="6"/>
  <c r="Q471" i="6"/>
  <c r="P471" i="6"/>
  <c r="L471" i="6"/>
  <c r="K471" i="6"/>
  <c r="O471" i="6" s="1"/>
  <c r="J471" i="6"/>
  <c r="N471" i="6" s="1"/>
  <c r="S470" i="6"/>
  <c r="R470" i="6"/>
  <c r="Q470" i="6"/>
  <c r="P470" i="6"/>
  <c r="L470" i="6"/>
  <c r="K470" i="6"/>
  <c r="O470" i="6" s="1"/>
  <c r="J470" i="6"/>
  <c r="N470" i="6" s="1"/>
  <c r="S469" i="6"/>
  <c r="R469" i="6"/>
  <c r="Q469" i="6"/>
  <c r="P469" i="6"/>
  <c r="L469" i="6"/>
  <c r="K469" i="6"/>
  <c r="O469" i="6" s="1"/>
  <c r="J469" i="6"/>
  <c r="N469" i="6" s="1"/>
  <c r="S468" i="6"/>
  <c r="R468" i="6"/>
  <c r="Q468" i="6"/>
  <c r="P468" i="6"/>
  <c r="O468" i="6"/>
  <c r="L468" i="6"/>
  <c r="K468" i="6"/>
  <c r="J468" i="6"/>
  <c r="N468" i="6" s="1"/>
  <c r="S467" i="6"/>
  <c r="R467" i="6"/>
  <c r="Q467" i="6"/>
  <c r="P467" i="6"/>
  <c r="L467" i="6"/>
  <c r="K467" i="6"/>
  <c r="O467" i="6" s="1"/>
  <c r="J467" i="6"/>
  <c r="N467" i="6" s="1"/>
  <c r="S466" i="6"/>
  <c r="R466" i="6"/>
  <c r="Q466" i="6"/>
  <c r="P466" i="6"/>
  <c r="N466" i="6"/>
  <c r="L466" i="6"/>
  <c r="K466" i="6"/>
  <c r="O466" i="6" s="1"/>
  <c r="J466" i="6"/>
  <c r="S465" i="6"/>
  <c r="R465" i="6"/>
  <c r="Q465" i="6"/>
  <c r="P465" i="6"/>
  <c r="N465" i="6"/>
  <c r="L465" i="6"/>
  <c r="K465" i="6"/>
  <c r="O465" i="6" s="1"/>
  <c r="J465" i="6"/>
  <c r="S464" i="6"/>
  <c r="R464" i="6"/>
  <c r="Q464" i="6"/>
  <c r="P464" i="6"/>
  <c r="L464" i="6"/>
  <c r="K464" i="6"/>
  <c r="O464" i="6" s="1"/>
  <c r="J464" i="6"/>
  <c r="N464" i="6" s="1"/>
  <c r="S463" i="6"/>
  <c r="R463" i="6"/>
  <c r="Q463" i="6"/>
  <c r="P463" i="6"/>
  <c r="L463" i="6"/>
  <c r="K463" i="6"/>
  <c r="O463" i="6" s="1"/>
  <c r="J463" i="6"/>
  <c r="N463" i="6" s="1"/>
  <c r="S462" i="6"/>
  <c r="R462" i="6"/>
  <c r="Q462" i="6"/>
  <c r="P462" i="6"/>
  <c r="O462" i="6"/>
  <c r="N462" i="6"/>
  <c r="L462" i="6"/>
  <c r="K462" i="6"/>
  <c r="J462" i="6"/>
  <c r="S461" i="6"/>
  <c r="R461" i="6"/>
  <c r="Q461" i="6"/>
  <c r="P461" i="6"/>
  <c r="N461" i="6"/>
  <c r="L461" i="6"/>
  <c r="K461" i="6"/>
  <c r="O461" i="6" s="1"/>
  <c r="J461" i="6"/>
  <c r="S460" i="6"/>
  <c r="R460" i="6"/>
  <c r="Q460" i="6"/>
  <c r="P460" i="6"/>
  <c r="O460" i="6"/>
  <c r="L460" i="6"/>
  <c r="K460" i="6"/>
  <c r="J460" i="6"/>
  <c r="N460" i="6" s="1"/>
  <c r="S459" i="6"/>
  <c r="R459" i="6"/>
  <c r="Q459" i="6"/>
  <c r="P459" i="6"/>
  <c r="N459" i="6"/>
  <c r="L459" i="6"/>
  <c r="K459" i="6"/>
  <c r="O459" i="6" s="1"/>
  <c r="J459" i="6"/>
  <c r="S458" i="6"/>
  <c r="R458" i="6"/>
  <c r="Q458" i="6"/>
  <c r="P458" i="6"/>
  <c r="O458" i="6"/>
  <c r="L458" i="6"/>
  <c r="K458" i="6"/>
  <c r="J458" i="6"/>
  <c r="N458" i="6" s="1"/>
  <c r="S457" i="6"/>
  <c r="R457" i="6"/>
  <c r="Q457" i="6"/>
  <c r="P457" i="6"/>
  <c r="L457" i="6"/>
  <c r="K457" i="6"/>
  <c r="O457" i="6" s="1"/>
  <c r="J457" i="6"/>
  <c r="N457" i="6" s="1"/>
  <c r="S456" i="6"/>
  <c r="R456" i="6"/>
  <c r="Q456" i="6"/>
  <c r="P456" i="6"/>
  <c r="L456" i="6"/>
  <c r="K456" i="6"/>
  <c r="O456" i="6" s="1"/>
  <c r="J456" i="6"/>
  <c r="N456" i="6" s="1"/>
  <c r="S455" i="6"/>
  <c r="R455" i="6"/>
  <c r="Q455" i="6"/>
  <c r="P455" i="6"/>
  <c r="L455" i="6"/>
  <c r="K455" i="6"/>
  <c r="O455" i="6" s="1"/>
  <c r="J455" i="6"/>
  <c r="N455" i="6" s="1"/>
  <c r="S454" i="6"/>
  <c r="R454" i="6"/>
  <c r="Q454" i="6"/>
  <c r="P454" i="6"/>
  <c r="O454" i="6"/>
  <c r="L454" i="6"/>
  <c r="K454" i="6"/>
  <c r="J454" i="6"/>
  <c r="N454" i="6" s="1"/>
  <c r="S453" i="6"/>
  <c r="R453" i="6"/>
  <c r="Q453" i="6"/>
  <c r="P453" i="6"/>
  <c r="L453" i="6"/>
  <c r="K453" i="6"/>
  <c r="O453" i="6" s="1"/>
  <c r="J453" i="6"/>
  <c r="N453" i="6" s="1"/>
  <c r="S452" i="6"/>
  <c r="R452" i="6"/>
  <c r="Q452" i="6"/>
  <c r="P452" i="6"/>
  <c r="L452" i="6"/>
  <c r="K452" i="6"/>
  <c r="O452" i="6" s="1"/>
  <c r="J452" i="6"/>
  <c r="N452" i="6" s="1"/>
  <c r="S451" i="6"/>
  <c r="R451" i="6"/>
  <c r="Q451" i="6"/>
  <c r="P451" i="6"/>
  <c r="L451" i="6"/>
  <c r="K451" i="6"/>
  <c r="O451" i="6" s="1"/>
  <c r="J451" i="6"/>
  <c r="N451" i="6" s="1"/>
  <c r="S450" i="6"/>
  <c r="R450" i="6"/>
  <c r="Q450" i="6"/>
  <c r="P450" i="6"/>
  <c r="O450" i="6"/>
  <c r="N450" i="6"/>
  <c r="L450" i="6"/>
  <c r="K450" i="6"/>
  <c r="J450" i="6"/>
  <c r="S449" i="6"/>
  <c r="R449" i="6"/>
  <c r="Q449" i="6"/>
  <c r="P449" i="6"/>
  <c r="N449" i="6"/>
  <c r="L449" i="6"/>
  <c r="K449" i="6"/>
  <c r="O449" i="6" s="1"/>
  <c r="J449" i="6"/>
  <c r="S448" i="6"/>
  <c r="R448" i="6"/>
  <c r="Q448" i="6"/>
  <c r="P448" i="6"/>
  <c r="L448" i="6"/>
  <c r="K448" i="6"/>
  <c r="O448" i="6" s="1"/>
  <c r="J448" i="6"/>
  <c r="N448" i="6" s="1"/>
  <c r="S447" i="6"/>
  <c r="R447" i="6"/>
  <c r="Q447" i="6"/>
  <c r="P447" i="6"/>
  <c r="L447" i="6"/>
  <c r="K447" i="6"/>
  <c r="O447" i="6" s="1"/>
  <c r="J447" i="6"/>
  <c r="N447" i="6" s="1"/>
  <c r="S446" i="6"/>
  <c r="R446" i="6"/>
  <c r="Q446" i="6"/>
  <c r="P446" i="6"/>
  <c r="N446" i="6"/>
  <c r="L446" i="6"/>
  <c r="K446" i="6"/>
  <c r="O446" i="6" s="1"/>
  <c r="J446" i="6"/>
  <c r="S445" i="6"/>
  <c r="R445" i="6"/>
  <c r="Q445" i="6"/>
  <c r="P445" i="6"/>
  <c r="N445" i="6"/>
  <c r="L445" i="6"/>
  <c r="K445" i="6"/>
  <c r="O445" i="6" s="1"/>
  <c r="J445" i="6"/>
  <c r="S444" i="6"/>
  <c r="R444" i="6"/>
  <c r="Q444" i="6"/>
  <c r="P444" i="6"/>
  <c r="L444" i="6"/>
  <c r="K444" i="6"/>
  <c r="O444" i="6" s="1"/>
  <c r="J444" i="6"/>
  <c r="N444" i="6" s="1"/>
  <c r="S443" i="6"/>
  <c r="R443" i="6"/>
  <c r="Q443" i="6"/>
  <c r="P443" i="6"/>
  <c r="N443" i="6"/>
  <c r="L443" i="6"/>
  <c r="K443" i="6"/>
  <c r="O443" i="6" s="1"/>
  <c r="J443" i="6"/>
  <c r="S442" i="6"/>
  <c r="R442" i="6"/>
  <c r="Q442" i="6"/>
  <c r="P442" i="6"/>
  <c r="L442" i="6"/>
  <c r="K442" i="6"/>
  <c r="O442" i="6" s="1"/>
  <c r="J442" i="6"/>
  <c r="N442" i="6" s="1"/>
  <c r="S441" i="6"/>
  <c r="R441" i="6"/>
  <c r="Q441" i="6"/>
  <c r="P441" i="6"/>
  <c r="L441" i="6"/>
  <c r="K441" i="6"/>
  <c r="O441" i="6" s="1"/>
  <c r="J441" i="6"/>
  <c r="N441" i="6" s="1"/>
  <c r="S440" i="6"/>
  <c r="R440" i="6"/>
  <c r="Q440" i="6"/>
  <c r="P440" i="6"/>
  <c r="L440" i="6"/>
  <c r="K440" i="6"/>
  <c r="O440" i="6" s="1"/>
  <c r="J440" i="6"/>
  <c r="N440" i="6" s="1"/>
  <c r="S439" i="6"/>
  <c r="R439" i="6"/>
  <c r="Q439" i="6"/>
  <c r="P439" i="6"/>
  <c r="L439" i="6"/>
  <c r="K439" i="6"/>
  <c r="O439" i="6" s="1"/>
  <c r="J439" i="6"/>
  <c r="N439" i="6" s="1"/>
  <c r="S438" i="6"/>
  <c r="R438" i="6"/>
  <c r="Q438" i="6"/>
  <c r="P438" i="6"/>
  <c r="L438" i="6"/>
  <c r="K438" i="6"/>
  <c r="O438" i="6" s="1"/>
  <c r="J438" i="6"/>
  <c r="N438" i="6" s="1"/>
  <c r="S437" i="6"/>
  <c r="R437" i="6"/>
  <c r="Q437" i="6"/>
  <c r="P437" i="6"/>
  <c r="L437" i="6"/>
  <c r="K437" i="6"/>
  <c r="O437" i="6" s="1"/>
  <c r="J437" i="6"/>
  <c r="N437" i="6" s="1"/>
  <c r="S436" i="6"/>
  <c r="R436" i="6"/>
  <c r="Q436" i="6"/>
  <c r="P436" i="6"/>
  <c r="L436" i="6"/>
  <c r="K436" i="6"/>
  <c r="O436" i="6" s="1"/>
  <c r="J436" i="6"/>
  <c r="N436" i="6" s="1"/>
  <c r="S435" i="6"/>
  <c r="R435" i="6"/>
  <c r="Q435" i="6"/>
  <c r="P435" i="6"/>
  <c r="L435" i="6"/>
  <c r="K435" i="6"/>
  <c r="O435" i="6" s="1"/>
  <c r="J435" i="6"/>
  <c r="N435" i="6" s="1"/>
  <c r="S434" i="6"/>
  <c r="R434" i="6"/>
  <c r="Q434" i="6"/>
  <c r="P434" i="6"/>
  <c r="N434" i="6"/>
  <c r="L434" i="6"/>
  <c r="K434" i="6"/>
  <c r="O434" i="6" s="1"/>
  <c r="J434" i="6"/>
  <c r="S433" i="6"/>
  <c r="R433" i="6"/>
  <c r="Q433" i="6"/>
  <c r="P433" i="6"/>
  <c r="N433" i="6"/>
  <c r="L433" i="6"/>
  <c r="K433" i="6"/>
  <c r="O433" i="6" s="1"/>
  <c r="J433" i="6"/>
  <c r="S432" i="6"/>
  <c r="R432" i="6"/>
  <c r="Q432" i="6"/>
  <c r="P432" i="6"/>
  <c r="L432" i="6"/>
  <c r="K432" i="6"/>
  <c r="O432" i="6" s="1"/>
  <c r="J432" i="6"/>
  <c r="N432" i="6" s="1"/>
  <c r="S431" i="6"/>
  <c r="R431" i="6"/>
  <c r="Q431" i="6"/>
  <c r="P431" i="6"/>
  <c r="L431" i="6"/>
  <c r="K431" i="6"/>
  <c r="O431" i="6" s="1"/>
  <c r="J431" i="6"/>
  <c r="N431" i="6" s="1"/>
  <c r="S430" i="6"/>
  <c r="R430" i="6"/>
  <c r="Q430" i="6"/>
  <c r="P430" i="6"/>
  <c r="O430" i="6"/>
  <c r="N430" i="6"/>
  <c r="L430" i="6"/>
  <c r="K430" i="6"/>
  <c r="J430" i="6"/>
  <c r="S429" i="6"/>
  <c r="R429" i="6"/>
  <c r="Q429" i="6"/>
  <c r="P429" i="6"/>
  <c r="N429" i="6"/>
  <c r="L429" i="6"/>
  <c r="K429" i="6"/>
  <c r="O429" i="6" s="1"/>
  <c r="J429" i="6"/>
  <c r="S428" i="6"/>
  <c r="R428" i="6"/>
  <c r="Q428" i="6"/>
  <c r="P428" i="6"/>
  <c r="L428" i="6"/>
  <c r="K428" i="6"/>
  <c r="O428" i="6" s="1"/>
  <c r="J428" i="6"/>
  <c r="N428" i="6" s="1"/>
  <c r="S427" i="6"/>
  <c r="R427" i="6"/>
  <c r="Q427" i="6"/>
  <c r="P427" i="6"/>
  <c r="N427" i="6"/>
  <c r="L427" i="6"/>
  <c r="K427" i="6"/>
  <c r="O427" i="6" s="1"/>
  <c r="J427" i="6"/>
  <c r="S426" i="6"/>
  <c r="R426" i="6"/>
  <c r="Q426" i="6"/>
  <c r="P426" i="6"/>
  <c r="L426" i="6"/>
  <c r="K426" i="6"/>
  <c r="O426" i="6" s="1"/>
  <c r="J426" i="6"/>
  <c r="N426" i="6" s="1"/>
  <c r="S425" i="6"/>
  <c r="R425" i="6"/>
  <c r="Q425" i="6"/>
  <c r="P425" i="6"/>
  <c r="L425" i="6"/>
  <c r="K425" i="6"/>
  <c r="O425" i="6" s="1"/>
  <c r="J425" i="6"/>
  <c r="N425" i="6" s="1"/>
  <c r="S424" i="6"/>
  <c r="R424" i="6"/>
  <c r="Q424" i="6"/>
  <c r="P424" i="6"/>
  <c r="L424" i="6"/>
  <c r="K424" i="6"/>
  <c r="O424" i="6" s="1"/>
  <c r="J424" i="6"/>
  <c r="N424" i="6" s="1"/>
  <c r="S423" i="6"/>
  <c r="R423" i="6"/>
  <c r="Q423" i="6"/>
  <c r="P423" i="6"/>
  <c r="L423" i="6"/>
  <c r="K423" i="6"/>
  <c r="O423" i="6" s="1"/>
  <c r="J423" i="6"/>
  <c r="N423" i="6" s="1"/>
  <c r="S422" i="6"/>
  <c r="R422" i="6"/>
  <c r="Q422" i="6"/>
  <c r="P422" i="6"/>
  <c r="L422" i="6"/>
  <c r="K422" i="6"/>
  <c r="O422" i="6" s="1"/>
  <c r="J422" i="6"/>
  <c r="N422" i="6" s="1"/>
  <c r="S421" i="6"/>
  <c r="R421" i="6"/>
  <c r="Q421" i="6"/>
  <c r="P421" i="6"/>
  <c r="L421" i="6"/>
  <c r="K421" i="6"/>
  <c r="O421" i="6" s="1"/>
  <c r="J421" i="6"/>
  <c r="N421" i="6" s="1"/>
  <c r="S420" i="6"/>
  <c r="R420" i="6"/>
  <c r="Q420" i="6"/>
  <c r="P420" i="6"/>
  <c r="L420" i="6"/>
  <c r="K420" i="6"/>
  <c r="O420" i="6" s="1"/>
  <c r="J420" i="6"/>
  <c r="N420" i="6" s="1"/>
  <c r="S419" i="6"/>
  <c r="R419" i="6"/>
  <c r="Q419" i="6"/>
  <c r="P419" i="6"/>
  <c r="L419" i="6"/>
  <c r="K419" i="6"/>
  <c r="O419" i="6" s="1"/>
  <c r="J419" i="6"/>
  <c r="N419" i="6" s="1"/>
  <c r="S418" i="6"/>
  <c r="R418" i="6"/>
  <c r="Q418" i="6"/>
  <c r="P418" i="6"/>
  <c r="O418" i="6"/>
  <c r="N418" i="6"/>
  <c r="L418" i="6"/>
  <c r="K418" i="6"/>
  <c r="J418" i="6"/>
  <c r="S417" i="6"/>
  <c r="R417" i="6"/>
  <c r="Q417" i="6"/>
  <c r="P417" i="6"/>
  <c r="N417" i="6"/>
  <c r="L417" i="6"/>
  <c r="K417" i="6"/>
  <c r="O417" i="6" s="1"/>
  <c r="J417" i="6"/>
  <c r="S416" i="6"/>
  <c r="R416" i="6"/>
  <c r="Q416" i="6"/>
  <c r="P416" i="6"/>
  <c r="L416" i="6"/>
  <c r="K416" i="6"/>
  <c r="O416" i="6" s="1"/>
  <c r="J416" i="6"/>
  <c r="N416" i="6" s="1"/>
  <c r="S415" i="6"/>
  <c r="R415" i="6"/>
  <c r="Q415" i="6"/>
  <c r="P415" i="6"/>
  <c r="L415" i="6"/>
  <c r="K415" i="6"/>
  <c r="O415" i="6" s="1"/>
  <c r="J415" i="6"/>
  <c r="N415" i="6" s="1"/>
  <c r="S414" i="6"/>
  <c r="R414" i="6"/>
  <c r="Q414" i="6"/>
  <c r="P414" i="6"/>
  <c r="N414" i="6"/>
  <c r="L414" i="6"/>
  <c r="K414" i="6"/>
  <c r="O414" i="6" s="1"/>
  <c r="J414" i="6"/>
  <c r="S413" i="6"/>
  <c r="R413" i="6"/>
  <c r="Q413" i="6"/>
  <c r="P413" i="6"/>
  <c r="N413" i="6"/>
  <c r="L413" i="6"/>
  <c r="K413" i="6"/>
  <c r="O413" i="6" s="1"/>
  <c r="J413" i="6"/>
  <c r="S412" i="6"/>
  <c r="R412" i="6"/>
  <c r="Q412" i="6"/>
  <c r="P412" i="6"/>
  <c r="O412" i="6"/>
  <c r="L412" i="6"/>
  <c r="K412" i="6"/>
  <c r="J412" i="6"/>
  <c r="N412" i="6" s="1"/>
  <c r="S411" i="6"/>
  <c r="R411" i="6"/>
  <c r="Q411" i="6"/>
  <c r="P411" i="6"/>
  <c r="N411" i="6"/>
  <c r="L411" i="6"/>
  <c r="K411" i="6"/>
  <c r="O411" i="6" s="1"/>
  <c r="J411" i="6"/>
  <c r="S410" i="6"/>
  <c r="R410" i="6"/>
  <c r="Q410" i="6"/>
  <c r="P410" i="6"/>
  <c r="O410" i="6"/>
  <c r="L410" i="6"/>
  <c r="K410" i="6"/>
  <c r="J410" i="6"/>
  <c r="N410" i="6" s="1"/>
  <c r="S409" i="6"/>
  <c r="R409" i="6"/>
  <c r="Q409" i="6"/>
  <c r="P409" i="6"/>
  <c r="L409" i="6"/>
  <c r="K409" i="6"/>
  <c r="O409" i="6" s="1"/>
  <c r="J409" i="6"/>
  <c r="N409" i="6" s="1"/>
  <c r="S408" i="6"/>
  <c r="R408" i="6"/>
  <c r="Q408" i="6"/>
  <c r="P408" i="6"/>
  <c r="L408" i="6"/>
  <c r="K408" i="6"/>
  <c r="O408" i="6" s="1"/>
  <c r="J408" i="6"/>
  <c r="N408" i="6" s="1"/>
  <c r="S407" i="6"/>
  <c r="R407" i="6"/>
  <c r="Q407" i="6"/>
  <c r="P407" i="6"/>
  <c r="L407" i="6"/>
  <c r="K407" i="6"/>
  <c r="O407" i="6" s="1"/>
  <c r="J407" i="6"/>
  <c r="N407" i="6" s="1"/>
  <c r="S406" i="6"/>
  <c r="R406" i="6"/>
  <c r="Q406" i="6"/>
  <c r="P406" i="6"/>
  <c r="L406" i="6"/>
  <c r="K406" i="6"/>
  <c r="O406" i="6" s="1"/>
  <c r="J406" i="6"/>
  <c r="N406" i="6" s="1"/>
  <c r="S405" i="6"/>
  <c r="R405" i="6"/>
  <c r="Q405" i="6"/>
  <c r="P405" i="6"/>
  <c r="L405" i="6"/>
  <c r="K405" i="6"/>
  <c r="O405" i="6" s="1"/>
  <c r="J405" i="6"/>
  <c r="N405" i="6" s="1"/>
  <c r="S404" i="6"/>
  <c r="R404" i="6"/>
  <c r="Q404" i="6"/>
  <c r="P404" i="6"/>
  <c r="O404" i="6"/>
  <c r="L404" i="6"/>
  <c r="K404" i="6"/>
  <c r="J404" i="6"/>
  <c r="N404" i="6" s="1"/>
  <c r="S403" i="6"/>
  <c r="R403" i="6"/>
  <c r="Q403" i="6"/>
  <c r="P403" i="6"/>
  <c r="L403" i="6"/>
  <c r="K403" i="6"/>
  <c r="O403" i="6" s="1"/>
  <c r="J403" i="6"/>
  <c r="N403" i="6" s="1"/>
  <c r="S402" i="6"/>
  <c r="R402" i="6"/>
  <c r="Q402" i="6"/>
  <c r="P402" i="6"/>
  <c r="N402" i="6"/>
  <c r="L402" i="6"/>
  <c r="K402" i="6"/>
  <c r="O402" i="6" s="1"/>
  <c r="J402" i="6"/>
  <c r="S401" i="6"/>
  <c r="R401" i="6"/>
  <c r="Q401" i="6"/>
  <c r="P401" i="6"/>
  <c r="N401" i="6"/>
  <c r="L401" i="6"/>
  <c r="K401" i="6"/>
  <c r="O401" i="6" s="1"/>
  <c r="J401" i="6"/>
  <c r="S400" i="6"/>
  <c r="R400" i="6"/>
  <c r="Q400" i="6"/>
  <c r="P400" i="6"/>
  <c r="L400" i="6"/>
  <c r="K400" i="6"/>
  <c r="O400" i="6" s="1"/>
  <c r="J400" i="6"/>
  <c r="N400" i="6" s="1"/>
  <c r="S399" i="6"/>
  <c r="R399" i="6"/>
  <c r="Q399" i="6"/>
  <c r="P399" i="6"/>
  <c r="L399" i="6"/>
  <c r="K399" i="6"/>
  <c r="O399" i="6" s="1"/>
  <c r="J399" i="6"/>
  <c r="N399" i="6" s="1"/>
  <c r="S398" i="6"/>
  <c r="R398" i="6"/>
  <c r="Q398" i="6"/>
  <c r="P398" i="6"/>
  <c r="O398" i="6"/>
  <c r="N398" i="6"/>
  <c r="L398" i="6"/>
  <c r="K398" i="6"/>
  <c r="J398" i="6"/>
  <c r="S397" i="6"/>
  <c r="R397" i="6"/>
  <c r="Q397" i="6"/>
  <c r="P397" i="6"/>
  <c r="N397" i="6"/>
  <c r="L397" i="6"/>
  <c r="K397" i="6"/>
  <c r="O397" i="6" s="1"/>
  <c r="J397" i="6"/>
  <c r="S396" i="6"/>
  <c r="R396" i="6"/>
  <c r="Q396" i="6"/>
  <c r="P396" i="6"/>
  <c r="O396" i="6"/>
  <c r="L396" i="6"/>
  <c r="K396" i="6"/>
  <c r="J396" i="6"/>
  <c r="N396" i="6" s="1"/>
  <c r="S395" i="6"/>
  <c r="R395" i="6"/>
  <c r="Q395" i="6"/>
  <c r="P395" i="6"/>
  <c r="N395" i="6"/>
  <c r="L395" i="6"/>
  <c r="K395" i="6"/>
  <c r="O395" i="6" s="1"/>
  <c r="J395" i="6"/>
  <c r="S394" i="6"/>
  <c r="R394" i="6"/>
  <c r="Q394" i="6"/>
  <c r="P394" i="6"/>
  <c r="O394" i="6"/>
  <c r="L394" i="6"/>
  <c r="K394" i="6"/>
  <c r="J394" i="6"/>
  <c r="N394" i="6" s="1"/>
  <c r="S393" i="6"/>
  <c r="R393" i="6"/>
  <c r="Q393" i="6"/>
  <c r="P393" i="6"/>
  <c r="L393" i="6"/>
  <c r="K393" i="6"/>
  <c r="O393" i="6" s="1"/>
  <c r="J393" i="6"/>
  <c r="N393" i="6" s="1"/>
  <c r="S392" i="6"/>
  <c r="R392" i="6"/>
  <c r="Q392" i="6"/>
  <c r="P392" i="6"/>
  <c r="L392" i="6"/>
  <c r="K392" i="6"/>
  <c r="O392" i="6" s="1"/>
  <c r="J392" i="6"/>
  <c r="N392" i="6" s="1"/>
  <c r="S391" i="6"/>
  <c r="R391" i="6"/>
  <c r="Q391" i="6"/>
  <c r="P391" i="6"/>
  <c r="L391" i="6"/>
  <c r="K391" i="6"/>
  <c r="O391" i="6" s="1"/>
  <c r="J391" i="6"/>
  <c r="N391" i="6" s="1"/>
  <c r="S390" i="6"/>
  <c r="R390" i="6"/>
  <c r="Q390" i="6"/>
  <c r="P390" i="6"/>
  <c r="O390" i="6"/>
  <c r="L390" i="6"/>
  <c r="K390" i="6"/>
  <c r="J390" i="6"/>
  <c r="N390" i="6" s="1"/>
  <c r="S389" i="6"/>
  <c r="R389" i="6"/>
  <c r="Q389" i="6"/>
  <c r="P389" i="6"/>
  <c r="L389" i="6"/>
  <c r="K389" i="6"/>
  <c r="O389" i="6" s="1"/>
  <c r="J389" i="6"/>
  <c r="N389" i="6" s="1"/>
  <c r="S388" i="6"/>
  <c r="R388" i="6"/>
  <c r="Q388" i="6"/>
  <c r="P388" i="6"/>
  <c r="L388" i="6"/>
  <c r="K388" i="6"/>
  <c r="O388" i="6" s="1"/>
  <c r="J388" i="6"/>
  <c r="N388" i="6" s="1"/>
  <c r="S387" i="6"/>
  <c r="R387" i="6"/>
  <c r="Q387" i="6"/>
  <c r="P387" i="6"/>
  <c r="L387" i="6"/>
  <c r="K387" i="6"/>
  <c r="O387" i="6" s="1"/>
  <c r="J387" i="6"/>
  <c r="N387" i="6" s="1"/>
  <c r="S386" i="6"/>
  <c r="R386" i="6"/>
  <c r="Q386" i="6"/>
  <c r="P386" i="6"/>
  <c r="O386" i="6"/>
  <c r="N386" i="6"/>
  <c r="L386" i="6"/>
  <c r="K386" i="6"/>
  <c r="J386" i="6"/>
  <c r="S385" i="6"/>
  <c r="R385" i="6"/>
  <c r="Q385" i="6"/>
  <c r="P385" i="6"/>
  <c r="N385" i="6"/>
  <c r="L385" i="6"/>
  <c r="K385" i="6"/>
  <c r="O385" i="6" s="1"/>
  <c r="J385" i="6"/>
  <c r="S384" i="6"/>
  <c r="R384" i="6"/>
  <c r="Q384" i="6"/>
  <c r="P384" i="6"/>
  <c r="L384" i="6"/>
  <c r="K384" i="6"/>
  <c r="O384" i="6" s="1"/>
  <c r="J384" i="6"/>
  <c r="N384" i="6" s="1"/>
  <c r="S383" i="6"/>
  <c r="R383" i="6"/>
  <c r="Q383" i="6"/>
  <c r="P383" i="6"/>
  <c r="L383" i="6"/>
  <c r="K383" i="6"/>
  <c r="O383" i="6" s="1"/>
  <c r="J383" i="6"/>
  <c r="N383" i="6" s="1"/>
  <c r="S382" i="6"/>
  <c r="R382" i="6"/>
  <c r="Q382" i="6"/>
  <c r="P382" i="6"/>
  <c r="N382" i="6"/>
  <c r="L382" i="6"/>
  <c r="K382" i="6"/>
  <c r="O382" i="6" s="1"/>
  <c r="J382" i="6"/>
  <c r="S381" i="6"/>
  <c r="R381" i="6"/>
  <c r="Q381" i="6"/>
  <c r="P381" i="6"/>
  <c r="N381" i="6"/>
  <c r="L381" i="6"/>
  <c r="K381" i="6"/>
  <c r="O381" i="6" s="1"/>
  <c r="J381" i="6"/>
  <c r="S380" i="6"/>
  <c r="R380" i="6"/>
  <c r="Q380" i="6"/>
  <c r="P380" i="6"/>
  <c r="L380" i="6"/>
  <c r="K380" i="6"/>
  <c r="O380" i="6" s="1"/>
  <c r="J380" i="6"/>
  <c r="N380" i="6" s="1"/>
  <c r="S379" i="6"/>
  <c r="R379" i="6"/>
  <c r="Q379" i="6"/>
  <c r="P379" i="6"/>
  <c r="N379" i="6"/>
  <c r="L379" i="6"/>
  <c r="K379" i="6"/>
  <c r="O379" i="6" s="1"/>
  <c r="J379" i="6"/>
  <c r="S378" i="6"/>
  <c r="R378" i="6"/>
  <c r="Q378" i="6"/>
  <c r="P378" i="6"/>
  <c r="L378" i="6"/>
  <c r="K378" i="6"/>
  <c r="O378" i="6" s="1"/>
  <c r="J378" i="6"/>
  <c r="N378" i="6" s="1"/>
  <c r="S377" i="6"/>
  <c r="R377" i="6"/>
  <c r="Q377" i="6"/>
  <c r="P377" i="6"/>
  <c r="L377" i="6"/>
  <c r="K377" i="6"/>
  <c r="O377" i="6" s="1"/>
  <c r="J377" i="6"/>
  <c r="N377" i="6" s="1"/>
  <c r="S376" i="6"/>
  <c r="R376" i="6"/>
  <c r="Q376" i="6"/>
  <c r="P376" i="6"/>
  <c r="L376" i="6"/>
  <c r="K376" i="6"/>
  <c r="O376" i="6" s="1"/>
  <c r="J376" i="6"/>
  <c r="N376" i="6" s="1"/>
  <c r="S375" i="6"/>
  <c r="R375" i="6"/>
  <c r="Q375" i="6"/>
  <c r="P375" i="6"/>
  <c r="L375" i="6"/>
  <c r="K375" i="6"/>
  <c r="O375" i="6" s="1"/>
  <c r="J375" i="6"/>
  <c r="N375" i="6" s="1"/>
  <c r="S374" i="6"/>
  <c r="R374" i="6"/>
  <c r="Q374" i="6"/>
  <c r="P374" i="6"/>
  <c r="L374" i="6"/>
  <c r="K374" i="6"/>
  <c r="O374" i="6" s="1"/>
  <c r="J374" i="6"/>
  <c r="N374" i="6" s="1"/>
  <c r="S373" i="6"/>
  <c r="R373" i="6"/>
  <c r="Q373" i="6"/>
  <c r="P373" i="6"/>
  <c r="L373" i="6"/>
  <c r="K373" i="6"/>
  <c r="O373" i="6" s="1"/>
  <c r="J373" i="6"/>
  <c r="N373" i="6" s="1"/>
  <c r="S372" i="6"/>
  <c r="R372" i="6"/>
  <c r="Q372" i="6"/>
  <c r="P372" i="6"/>
  <c r="L372" i="6"/>
  <c r="K372" i="6"/>
  <c r="O372" i="6" s="1"/>
  <c r="J372" i="6"/>
  <c r="N372" i="6" s="1"/>
  <c r="S371" i="6"/>
  <c r="R371" i="6"/>
  <c r="Q371" i="6"/>
  <c r="P371" i="6"/>
  <c r="L371" i="6"/>
  <c r="K371" i="6"/>
  <c r="O371" i="6" s="1"/>
  <c r="J371" i="6"/>
  <c r="N371" i="6" s="1"/>
  <c r="S370" i="6"/>
  <c r="R370" i="6"/>
  <c r="Q370" i="6"/>
  <c r="P370" i="6"/>
  <c r="N370" i="6"/>
  <c r="L370" i="6"/>
  <c r="K370" i="6"/>
  <c r="O370" i="6" s="1"/>
  <c r="J370" i="6"/>
  <c r="S369" i="6"/>
  <c r="R369" i="6"/>
  <c r="Q369" i="6"/>
  <c r="P369" i="6"/>
  <c r="N369" i="6"/>
  <c r="L369" i="6"/>
  <c r="K369" i="6"/>
  <c r="O369" i="6" s="1"/>
  <c r="J369" i="6"/>
  <c r="S368" i="6"/>
  <c r="R368" i="6"/>
  <c r="Q368" i="6"/>
  <c r="P368" i="6"/>
  <c r="L368" i="6"/>
  <c r="K368" i="6"/>
  <c r="O368" i="6" s="1"/>
  <c r="J368" i="6"/>
  <c r="N368" i="6" s="1"/>
  <c r="S367" i="6"/>
  <c r="R367" i="6"/>
  <c r="Q367" i="6"/>
  <c r="P367" i="6"/>
  <c r="L367" i="6"/>
  <c r="K367" i="6"/>
  <c r="O367" i="6" s="1"/>
  <c r="J367" i="6"/>
  <c r="N367" i="6" s="1"/>
  <c r="S366" i="6"/>
  <c r="R366" i="6"/>
  <c r="Q366" i="6"/>
  <c r="P366" i="6"/>
  <c r="O366" i="6"/>
  <c r="N366" i="6"/>
  <c r="L366" i="6"/>
  <c r="K366" i="6"/>
  <c r="J366" i="6"/>
  <c r="S365" i="6"/>
  <c r="R365" i="6"/>
  <c r="Q365" i="6"/>
  <c r="P365" i="6"/>
  <c r="N365" i="6"/>
  <c r="L365" i="6"/>
  <c r="K365" i="6"/>
  <c r="O365" i="6" s="1"/>
  <c r="J365" i="6"/>
  <c r="S364" i="6"/>
  <c r="R364" i="6"/>
  <c r="Q364" i="6"/>
  <c r="P364" i="6"/>
  <c r="L364" i="6"/>
  <c r="K364" i="6"/>
  <c r="O364" i="6" s="1"/>
  <c r="J364" i="6"/>
  <c r="N364" i="6" s="1"/>
  <c r="S363" i="6"/>
  <c r="R363" i="6"/>
  <c r="Q363" i="6"/>
  <c r="P363" i="6"/>
  <c r="N363" i="6"/>
  <c r="L363" i="6"/>
  <c r="K363" i="6"/>
  <c r="O363" i="6" s="1"/>
  <c r="J363" i="6"/>
  <c r="S362" i="6"/>
  <c r="R362" i="6"/>
  <c r="Q362" i="6"/>
  <c r="P362" i="6"/>
  <c r="L362" i="6"/>
  <c r="K362" i="6"/>
  <c r="O362" i="6" s="1"/>
  <c r="J362" i="6"/>
  <c r="N362" i="6" s="1"/>
  <c r="S361" i="6"/>
  <c r="R361" i="6"/>
  <c r="Q361" i="6"/>
  <c r="P361" i="6"/>
  <c r="L361" i="6"/>
  <c r="K361" i="6"/>
  <c r="O361" i="6" s="1"/>
  <c r="J361" i="6"/>
  <c r="N361" i="6" s="1"/>
  <c r="S360" i="6"/>
  <c r="R360" i="6"/>
  <c r="Q360" i="6"/>
  <c r="P360" i="6"/>
  <c r="L360" i="6"/>
  <c r="K360" i="6"/>
  <c r="O360" i="6" s="1"/>
  <c r="J360" i="6"/>
  <c r="N360" i="6" s="1"/>
  <c r="S359" i="6"/>
  <c r="R359" i="6"/>
  <c r="Q359" i="6"/>
  <c r="P359" i="6"/>
  <c r="L359" i="6"/>
  <c r="K359" i="6"/>
  <c r="O359" i="6" s="1"/>
  <c r="J359" i="6"/>
  <c r="N359" i="6" s="1"/>
  <c r="S358" i="6"/>
  <c r="R358" i="6"/>
  <c r="Q358" i="6"/>
  <c r="P358" i="6"/>
  <c r="L358" i="6"/>
  <c r="K358" i="6"/>
  <c r="O358" i="6" s="1"/>
  <c r="J358" i="6"/>
  <c r="N358" i="6" s="1"/>
  <c r="S357" i="6"/>
  <c r="R357" i="6"/>
  <c r="Q357" i="6"/>
  <c r="P357" i="6"/>
  <c r="L357" i="6"/>
  <c r="K357" i="6"/>
  <c r="O357" i="6" s="1"/>
  <c r="J357" i="6"/>
  <c r="N357" i="6" s="1"/>
  <c r="S356" i="6"/>
  <c r="R356" i="6"/>
  <c r="Q356" i="6"/>
  <c r="P356" i="6"/>
  <c r="L356" i="6"/>
  <c r="K356" i="6"/>
  <c r="O356" i="6" s="1"/>
  <c r="J356" i="6"/>
  <c r="N356" i="6" s="1"/>
  <c r="S355" i="6"/>
  <c r="R355" i="6"/>
  <c r="Q355" i="6"/>
  <c r="P355" i="6"/>
  <c r="L355" i="6"/>
  <c r="K355" i="6"/>
  <c r="O355" i="6" s="1"/>
  <c r="J355" i="6"/>
  <c r="N355" i="6" s="1"/>
  <c r="S354" i="6"/>
  <c r="R354" i="6"/>
  <c r="Q354" i="6"/>
  <c r="P354" i="6"/>
  <c r="O354" i="6"/>
  <c r="N354" i="6"/>
  <c r="L354" i="6"/>
  <c r="K354" i="6"/>
  <c r="J354" i="6"/>
  <c r="S353" i="6"/>
  <c r="R353" i="6"/>
  <c r="Q353" i="6"/>
  <c r="P353" i="6"/>
  <c r="N353" i="6"/>
  <c r="L353" i="6"/>
  <c r="K353" i="6"/>
  <c r="O353" i="6" s="1"/>
  <c r="J353" i="6"/>
  <c r="S352" i="6"/>
  <c r="R352" i="6"/>
  <c r="Q352" i="6"/>
  <c r="P352" i="6"/>
  <c r="L352" i="6"/>
  <c r="K352" i="6"/>
  <c r="O352" i="6" s="1"/>
  <c r="J352" i="6"/>
  <c r="N352" i="6" s="1"/>
  <c r="S351" i="6"/>
  <c r="R351" i="6"/>
  <c r="Q351" i="6"/>
  <c r="P351" i="6"/>
  <c r="L351" i="6"/>
  <c r="K351" i="6"/>
  <c r="O351" i="6" s="1"/>
  <c r="J351" i="6"/>
  <c r="N351" i="6" s="1"/>
  <c r="S350" i="6"/>
  <c r="R350" i="6"/>
  <c r="Q350" i="6"/>
  <c r="P350" i="6"/>
  <c r="N350" i="6"/>
  <c r="L350" i="6"/>
  <c r="K350" i="6"/>
  <c r="O350" i="6" s="1"/>
  <c r="J350" i="6"/>
  <c r="S349" i="6"/>
  <c r="R349" i="6"/>
  <c r="Q349" i="6"/>
  <c r="P349" i="6"/>
  <c r="N349" i="6"/>
  <c r="L349" i="6"/>
  <c r="K349" i="6"/>
  <c r="O349" i="6" s="1"/>
  <c r="J349" i="6"/>
  <c r="S348" i="6"/>
  <c r="R348" i="6"/>
  <c r="Q348" i="6"/>
  <c r="P348" i="6"/>
  <c r="O348" i="6"/>
  <c r="L348" i="6"/>
  <c r="K348" i="6"/>
  <c r="J348" i="6"/>
  <c r="N348" i="6" s="1"/>
  <c r="S347" i="6"/>
  <c r="R347" i="6"/>
  <c r="Q347" i="6"/>
  <c r="P347" i="6"/>
  <c r="N347" i="6"/>
  <c r="L347" i="6"/>
  <c r="K347" i="6"/>
  <c r="O347" i="6" s="1"/>
  <c r="J347" i="6"/>
  <c r="S346" i="6"/>
  <c r="R346" i="6"/>
  <c r="Q346" i="6"/>
  <c r="P346" i="6"/>
  <c r="O346" i="6"/>
  <c r="L346" i="6"/>
  <c r="K346" i="6"/>
  <c r="J346" i="6"/>
  <c r="N346" i="6" s="1"/>
  <c r="S345" i="6"/>
  <c r="R345" i="6"/>
  <c r="Q345" i="6"/>
  <c r="P345" i="6"/>
  <c r="L345" i="6"/>
  <c r="K345" i="6"/>
  <c r="O345" i="6" s="1"/>
  <c r="J345" i="6"/>
  <c r="N345" i="6" s="1"/>
  <c r="S344" i="6"/>
  <c r="R344" i="6"/>
  <c r="Q344" i="6"/>
  <c r="P344" i="6"/>
  <c r="L344" i="6"/>
  <c r="K344" i="6"/>
  <c r="O344" i="6" s="1"/>
  <c r="J344" i="6"/>
  <c r="N344" i="6" s="1"/>
  <c r="S343" i="6"/>
  <c r="R343" i="6"/>
  <c r="Q343" i="6"/>
  <c r="P343" i="6"/>
  <c r="L343" i="6"/>
  <c r="K343" i="6"/>
  <c r="O343" i="6" s="1"/>
  <c r="J343" i="6"/>
  <c r="N343" i="6" s="1"/>
  <c r="S342" i="6"/>
  <c r="R342" i="6"/>
  <c r="Q342" i="6"/>
  <c r="P342" i="6"/>
  <c r="L342" i="6"/>
  <c r="K342" i="6"/>
  <c r="O342" i="6" s="1"/>
  <c r="J342" i="6"/>
  <c r="N342" i="6" s="1"/>
  <c r="S341" i="6"/>
  <c r="R341" i="6"/>
  <c r="Q341" i="6"/>
  <c r="P341" i="6"/>
  <c r="L341" i="6"/>
  <c r="K341" i="6"/>
  <c r="O341" i="6" s="1"/>
  <c r="J341" i="6"/>
  <c r="N341" i="6" s="1"/>
  <c r="S340" i="6"/>
  <c r="R340" i="6"/>
  <c r="Q340" i="6"/>
  <c r="P340" i="6"/>
  <c r="O340" i="6"/>
  <c r="L340" i="6"/>
  <c r="K340" i="6"/>
  <c r="J340" i="6"/>
  <c r="N340" i="6" s="1"/>
  <c r="S339" i="6"/>
  <c r="R339" i="6"/>
  <c r="Q339" i="6"/>
  <c r="P339" i="6"/>
  <c r="L339" i="6"/>
  <c r="K339" i="6"/>
  <c r="O339" i="6" s="1"/>
  <c r="J339" i="6"/>
  <c r="N339" i="6" s="1"/>
  <c r="S338" i="6"/>
  <c r="R338" i="6"/>
  <c r="Q338" i="6"/>
  <c r="P338" i="6"/>
  <c r="N338" i="6"/>
  <c r="L338" i="6"/>
  <c r="K338" i="6"/>
  <c r="O338" i="6" s="1"/>
  <c r="J338" i="6"/>
  <c r="S337" i="6"/>
  <c r="R337" i="6"/>
  <c r="Q337" i="6"/>
  <c r="P337" i="6"/>
  <c r="N337" i="6"/>
  <c r="L337" i="6"/>
  <c r="K337" i="6"/>
  <c r="O337" i="6" s="1"/>
  <c r="J337" i="6"/>
  <c r="S336" i="6"/>
  <c r="R336" i="6"/>
  <c r="Q336" i="6"/>
  <c r="P336" i="6"/>
  <c r="L336" i="6"/>
  <c r="K336" i="6"/>
  <c r="O336" i="6" s="1"/>
  <c r="J336" i="6"/>
  <c r="N336" i="6" s="1"/>
  <c r="S335" i="6"/>
  <c r="R335" i="6"/>
  <c r="Q335" i="6"/>
  <c r="P335" i="6"/>
  <c r="L335" i="6"/>
  <c r="K335" i="6"/>
  <c r="O335" i="6" s="1"/>
  <c r="J335" i="6"/>
  <c r="N335" i="6" s="1"/>
  <c r="S334" i="6"/>
  <c r="R334" i="6"/>
  <c r="Q334" i="6"/>
  <c r="P334" i="6"/>
  <c r="O334" i="6"/>
  <c r="N334" i="6"/>
  <c r="L334" i="6"/>
  <c r="K334" i="6"/>
  <c r="J334" i="6"/>
  <c r="S333" i="6"/>
  <c r="R333" i="6"/>
  <c r="Q333" i="6"/>
  <c r="P333" i="6"/>
  <c r="N333" i="6"/>
  <c r="L333" i="6"/>
  <c r="K333" i="6"/>
  <c r="O333" i="6" s="1"/>
  <c r="J333" i="6"/>
  <c r="S332" i="6"/>
  <c r="R332" i="6"/>
  <c r="Q332" i="6"/>
  <c r="P332" i="6"/>
  <c r="O332" i="6"/>
  <c r="L332" i="6"/>
  <c r="K332" i="6"/>
  <c r="J332" i="6"/>
  <c r="N332" i="6" s="1"/>
  <c r="S331" i="6"/>
  <c r="R331" i="6"/>
  <c r="Q331" i="6"/>
  <c r="P331" i="6"/>
  <c r="N331" i="6"/>
  <c r="L331" i="6"/>
  <c r="K331" i="6"/>
  <c r="O331" i="6" s="1"/>
  <c r="J331" i="6"/>
  <c r="S330" i="6"/>
  <c r="R330" i="6"/>
  <c r="Q330" i="6"/>
  <c r="P330" i="6"/>
  <c r="O330" i="6"/>
  <c r="L330" i="6"/>
  <c r="K330" i="6"/>
  <c r="J330" i="6"/>
  <c r="N330" i="6" s="1"/>
  <c r="S329" i="6"/>
  <c r="R329" i="6"/>
  <c r="Q329" i="6"/>
  <c r="P329" i="6"/>
  <c r="L329" i="6"/>
  <c r="K329" i="6"/>
  <c r="O329" i="6" s="1"/>
  <c r="J329" i="6"/>
  <c r="N329" i="6" s="1"/>
  <c r="S328" i="6"/>
  <c r="R328" i="6"/>
  <c r="Q328" i="6"/>
  <c r="P328" i="6"/>
  <c r="L328" i="6"/>
  <c r="K328" i="6"/>
  <c r="O328" i="6" s="1"/>
  <c r="J328" i="6"/>
  <c r="N328" i="6" s="1"/>
  <c r="S327" i="6"/>
  <c r="R327" i="6"/>
  <c r="Q327" i="6"/>
  <c r="P327" i="6"/>
  <c r="L327" i="6"/>
  <c r="K327" i="6"/>
  <c r="O327" i="6" s="1"/>
  <c r="J327" i="6"/>
  <c r="N327" i="6" s="1"/>
  <c r="S326" i="6"/>
  <c r="R326" i="6"/>
  <c r="Q326" i="6"/>
  <c r="P326" i="6"/>
  <c r="O326" i="6"/>
  <c r="L326" i="6"/>
  <c r="K326" i="6"/>
  <c r="J326" i="6"/>
  <c r="N326" i="6" s="1"/>
  <c r="S325" i="6"/>
  <c r="R325" i="6"/>
  <c r="Q325" i="6"/>
  <c r="P325" i="6"/>
  <c r="L325" i="6"/>
  <c r="K325" i="6"/>
  <c r="O325" i="6" s="1"/>
  <c r="J325" i="6"/>
  <c r="N325" i="6" s="1"/>
  <c r="S324" i="6"/>
  <c r="R324" i="6"/>
  <c r="Q324" i="6"/>
  <c r="P324" i="6"/>
  <c r="L324" i="6"/>
  <c r="K324" i="6"/>
  <c r="O324" i="6" s="1"/>
  <c r="J324" i="6"/>
  <c r="N324" i="6" s="1"/>
  <c r="S323" i="6"/>
  <c r="R323" i="6"/>
  <c r="Q323" i="6"/>
  <c r="P323" i="6"/>
  <c r="L323" i="6"/>
  <c r="K323" i="6"/>
  <c r="O323" i="6" s="1"/>
  <c r="J323" i="6"/>
  <c r="N323" i="6" s="1"/>
  <c r="S322" i="6"/>
  <c r="R322" i="6"/>
  <c r="Q322" i="6"/>
  <c r="P322" i="6"/>
  <c r="O322" i="6"/>
  <c r="N322" i="6"/>
  <c r="L322" i="6"/>
  <c r="K322" i="6"/>
  <c r="J322" i="6"/>
  <c r="S321" i="6"/>
  <c r="R321" i="6"/>
  <c r="Q321" i="6"/>
  <c r="P321" i="6"/>
  <c r="N321" i="6"/>
  <c r="L321" i="6"/>
  <c r="K321" i="6"/>
  <c r="O321" i="6" s="1"/>
  <c r="J321" i="6"/>
  <c r="S320" i="6"/>
  <c r="R320" i="6"/>
  <c r="Q320" i="6"/>
  <c r="P320" i="6"/>
  <c r="L320" i="6"/>
  <c r="K320" i="6"/>
  <c r="O320" i="6" s="1"/>
  <c r="J320" i="6"/>
  <c r="N320" i="6" s="1"/>
  <c r="S319" i="6"/>
  <c r="R319" i="6"/>
  <c r="Q319" i="6"/>
  <c r="P319" i="6"/>
  <c r="L319" i="6"/>
  <c r="K319" i="6"/>
  <c r="O319" i="6" s="1"/>
  <c r="J319" i="6"/>
  <c r="N319" i="6" s="1"/>
  <c r="S318" i="6"/>
  <c r="R318" i="6"/>
  <c r="Q318" i="6"/>
  <c r="P318" i="6"/>
  <c r="N318" i="6"/>
  <c r="L318" i="6"/>
  <c r="K318" i="6"/>
  <c r="O318" i="6" s="1"/>
  <c r="J318" i="6"/>
  <c r="S317" i="6"/>
  <c r="R317" i="6"/>
  <c r="Q317" i="6"/>
  <c r="P317" i="6"/>
  <c r="N317" i="6"/>
  <c r="L317" i="6"/>
  <c r="K317" i="6"/>
  <c r="O317" i="6" s="1"/>
  <c r="J317" i="6"/>
  <c r="S316" i="6"/>
  <c r="R316" i="6"/>
  <c r="Q316" i="6"/>
  <c r="P316" i="6"/>
  <c r="L316" i="6"/>
  <c r="K316" i="6"/>
  <c r="O316" i="6" s="1"/>
  <c r="J316" i="6"/>
  <c r="N316" i="6" s="1"/>
  <c r="S315" i="6"/>
  <c r="R315" i="6"/>
  <c r="Q315" i="6"/>
  <c r="P315" i="6"/>
  <c r="N315" i="6"/>
  <c r="L315" i="6"/>
  <c r="K315" i="6"/>
  <c r="O315" i="6" s="1"/>
  <c r="J315" i="6"/>
  <c r="S314" i="6"/>
  <c r="R314" i="6"/>
  <c r="Q314" i="6"/>
  <c r="P314" i="6"/>
  <c r="L314" i="6"/>
  <c r="K314" i="6"/>
  <c r="O314" i="6" s="1"/>
  <c r="J314" i="6"/>
  <c r="N314" i="6" s="1"/>
  <c r="S313" i="6"/>
  <c r="R313" i="6"/>
  <c r="Q313" i="6"/>
  <c r="P313" i="6"/>
  <c r="L313" i="6"/>
  <c r="K313" i="6"/>
  <c r="O313" i="6" s="1"/>
  <c r="J313" i="6"/>
  <c r="N313" i="6" s="1"/>
  <c r="S312" i="6"/>
  <c r="R312" i="6"/>
  <c r="Q312" i="6"/>
  <c r="P312" i="6"/>
  <c r="L312" i="6"/>
  <c r="K312" i="6"/>
  <c r="O312" i="6" s="1"/>
  <c r="J312" i="6"/>
  <c r="N312" i="6" s="1"/>
  <c r="S311" i="6"/>
  <c r="R311" i="6"/>
  <c r="Q311" i="6"/>
  <c r="P311" i="6"/>
  <c r="L311" i="6"/>
  <c r="K311" i="6"/>
  <c r="O311" i="6" s="1"/>
  <c r="J311" i="6"/>
  <c r="N311" i="6" s="1"/>
  <c r="S310" i="6"/>
  <c r="R310" i="6"/>
  <c r="Q310" i="6"/>
  <c r="P310" i="6"/>
  <c r="L310" i="6"/>
  <c r="K310" i="6"/>
  <c r="O310" i="6" s="1"/>
  <c r="J310" i="6"/>
  <c r="N310" i="6" s="1"/>
  <c r="S309" i="6"/>
  <c r="R309" i="6"/>
  <c r="Q309" i="6"/>
  <c r="P309" i="6"/>
  <c r="L309" i="6"/>
  <c r="K309" i="6"/>
  <c r="O309" i="6" s="1"/>
  <c r="J309" i="6"/>
  <c r="N309" i="6" s="1"/>
  <c r="S308" i="6"/>
  <c r="R308" i="6"/>
  <c r="Q308" i="6"/>
  <c r="P308" i="6"/>
  <c r="L308" i="6"/>
  <c r="K308" i="6"/>
  <c r="O308" i="6" s="1"/>
  <c r="J308" i="6"/>
  <c r="N308" i="6" s="1"/>
  <c r="S307" i="6"/>
  <c r="R307" i="6"/>
  <c r="Q307" i="6"/>
  <c r="P307" i="6"/>
  <c r="L307" i="6"/>
  <c r="K307" i="6"/>
  <c r="O307" i="6" s="1"/>
  <c r="J307" i="6"/>
  <c r="N307" i="6" s="1"/>
  <c r="S306" i="6"/>
  <c r="R306" i="6"/>
  <c r="Q306" i="6"/>
  <c r="P306" i="6"/>
  <c r="N306" i="6"/>
  <c r="L306" i="6"/>
  <c r="K306" i="6"/>
  <c r="O306" i="6" s="1"/>
  <c r="J306" i="6"/>
  <c r="S305" i="6"/>
  <c r="R305" i="6"/>
  <c r="Q305" i="6"/>
  <c r="P305" i="6"/>
  <c r="N305" i="6"/>
  <c r="L305" i="6"/>
  <c r="K305" i="6"/>
  <c r="O305" i="6" s="1"/>
  <c r="J305" i="6"/>
  <c r="S304" i="6"/>
  <c r="R304" i="6"/>
  <c r="Q304" i="6"/>
  <c r="P304" i="6"/>
  <c r="L304" i="6"/>
  <c r="K304" i="6"/>
  <c r="O304" i="6" s="1"/>
  <c r="J304" i="6"/>
  <c r="N304" i="6" s="1"/>
  <c r="S303" i="6"/>
  <c r="R303" i="6"/>
  <c r="Q303" i="6"/>
  <c r="P303" i="6"/>
  <c r="L303" i="6"/>
  <c r="K303" i="6"/>
  <c r="O303" i="6" s="1"/>
  <c r="J303" i="6"/>
  <c r="N303" i="6" s="1"/>
  <c r="S302" i="6"/>
  <c r="R302" i="6"/>
  <c r="Q302" i="6"/>
  <c r="P302" i="6"/>
  <c r="O302" i="6"/>
  <c r="N302" i="6"/>
  <c r="L302" i="6"/>
  <c r="K302" i="6"/>
  <c r="J302" i="6"/>
  <c r="S301" i="6"/>
  <c r="R301" i="6"/>
  <c r="Q301" i="6"/>
  <c r="P301" i="6"/>
  <c r="N301" i="6"/>
  <c r="L301" i="6"/>
  <c r="K301" i="6"/>
  <c r="O301" i="6" s="1"/>
  <c r="J301" i="6"/>
  <c r="S300" i="6"/>
  <c r="R300" i="6"/>
  <c r="Q300" i="6"/>
  <c r="P300" i="6"/>
  <c r="L300" i="6"/>
  <c r="K300" i="6"/>
  <c r="O300" i="6" s="1"/>
  <c r="J300" i="6"/>
  <c r="N300" i="6" s="1"/>
  <c r="S299" i="6"/>
  <c r="R299" i="6"/>
  <c r="Q299" i="6"/>
  <c r="P299" i="6"/>
  <c r="N299" i="6"/>
  <c r="L299" i="6"/>
  <c r="K299" i="6"/>
  <c r="O299" i="6" s="1"/>
  <c r="J299" i="6"/>
  <c r="S298" i="6"/>
  <c r="R298" i="6"/>
  <c r="Q298" i="6"/>
  <c r="P298" i="6"/>
  <c r="L298" i="6"/>
  <c r="K298" i="6"/>
  <c r="O298" i="6" s="1"/>
  <c r="J298" i="6"/>
  <c r="N298" i="6" s="1"/>
  <c r="S297" i="6"/>
  <c r="R297" i="6"/>
  <c r="Q297" i="6"/>
  <c r="P297" i="6"/>
  <c r="L297" i="6"/>
  <c r="K297" i="6"/>
  <c r="O297" i="6" s="1"/>
  <c r="J297" i="6"/>
  <c r="N297" i="6" s="1"/>
  <c r="S296" i="6"/>
  <c r="R296" i="6"/>
  <c r="Q296" i="6"/>
  <c r="P296" i="6"/>
  <c r="L296" i="6"/>
  <c r="K296" i="6"/>
  <c r="O296" i="6" s="1"/>
  <c r="J296" i="6"/>
  <c r="N296" i="6" s="1"/>
  <c r="S295" i="6"/>
  <c r="R295" i="6"/>
  <c r="Q295" i="6"/>
  <c r="P295" i="6"/>
  <c r="L295" i="6"/>
  <c r="K295" i="6"/>
  <c r="O295" i="6" s="1"/>
  <c r="J295" i="6"/>
  <c r="N295" i="6" s="1"/>
  <c r="S294" i="6"/>
  <c r="R294" i="6"/>
  <c r="Q294" i="6"/>
  <c r="P294" i="6"/>
  <c r="L294" i="6"/>
  <c r="K294" i="6"/>
  <c r="O294" i="6" s="1"/>
  <c r="J294" i="6"/>
  <c r="N294" i="6" s="1"/>
  <c r="S293" i="6"/>
  <c r="R293" i="6"/>
  <c r="Q293" i="6"/>
  <c r="P293" i="6"/>
  <c r="L293" i="6"/>
  <c r="K293" i="6"/>
  <c r="O293" i="6" s="1"/>
  <c r="J293" i="6"/>
  <c r="N293" i="6" s="1"/>
  <c r="S292" i="6"/>
  <c r="R292" i="6"/>
  <c r="Q292" i="6"/>
  <c r="P292" i="6"/>
  <c r="L292" i="6"/>
  <c r="K292" i="6"/>
  <c r="O292" i="6" s="1"/>
  <c r="J292" i="6"/>
  <c r="N292" i="6" s="1"/>
  <c r="S291" i="6"/>
  <c r="R291" i="6"/>
  <c r="Q291" i="6"/>
  <c r="P291" i="6"/>
  <c r="L291" i="6"/>
  <c r="K291" i="6"/>
  <c r="O291" i="6" s="1"/>
  <c r="J291" i="6"/>
  <c r="N291" i="6" s="1"/>
  <c r="S290" i="6"/>
  <c r="R290" i="6"/>
  <c r="Q290" i="6"/>
  <c r="P290" i="6"/>
  <c r="O290" i="6"/>
  <c r="N290" i="6"/>
  <c r="L290" i="6"/>
  <c r="K290" i="6"/>
  <c r="J290" i="6"/>
  <c r="S289" i="6"/>
  <c r="R289" i="6"/>
  <c r="Q289" i="6"/>
  <c r="P289" i="6"/>
  <c r="N289" i="6"/>
  <c r="L289" i="6"/>
  <c r="K289" i="6"/>
  <c r="O289" i="6" s="1"/>
  <c r="J289" i="6"/>
  <c r="S288" i="6"/>
  <c r="R288" i="6"/>
  <c r="Q288" i="6"/>
  <c r="P288" i="6"/>
  <c r="L288" i="6"/>
  <c r="K288" i="6"/>
  <c r="O288" i="6" s="1"/>
  <c r="J288" i="6"/>
  <c r="N288" i="6" s="1"/>
  <c r="S287" i="6"/>
  <c r="R287" i="6"/>
  <c r="Q287" i="6"/>
  <c r="P287" i="6"/>
  <c r="L287" i="6"/>
  <c r="K287" i="6"/>
  <c r="O287" i="6" s="1"/>
  <c r="J287" i="6"/>
  <c r="N287" i="6" s="1"/>
  <c r="S286" i="6"/>
  <c r="R286" i="6"/>
  <c r="Q286" i="6"/>
  <c r="P286" i="6"/>
  <c r="N286" i="6"/>
  <c r="L286" i="6"/>
  <c r="K286" i="6"/>
  <c r="O286" i="6" s="1"/>
  <c r="J286" i="6"/>
  <c r="S285" i="6"/>
  <c r="R285" i="6"/>
  <c r="Q285" i="6"/>
  <c r="P285" i="6"/>
  <c r="N285" i="6"/>
  <c r="L285" i="6"/>
  <c r="K285" i="6"/>
  <c r="O285" i="6" s="1"/>
  <c r="J285" i="6"/>
  <c r="S284" i="6"/>
  <c r="R284" i="6"/>
  <c r="Q284" i="6"/>
  <c r="P284" i="6"/>
  <c r="O284" i="6"/>
  <c r="L284" i="6"/>
  <c r="K284" i="6"/>
  <c r="J284" i="6"/>
  <c r="N284" i="6" s="1"/>
  <c r="S283" i="6"/>
  <c r="R283" i="6"/>
  <c r="Q283" i="6"/>
  <c r="P283" i="6"/>
  <c r="N283" i="6"/>
  <c r="L283" i="6"/>
  <c r="K283" i="6"/>
  <c r="O283" i="6" s="1"/>
  <c r="J283" i="6"/>
  <c r="S282" i="6"/>
  <c r="R282" i="6"/>
  <c r="Q282" i="6"/>
  <c r="P282" i="6"/>
  <c r="O282" i="6"/>
  <c r="L282" i="6"/>
  <c r="K282" i="6"/>
  <c r="J282" i="6"/>
  <c r="N282" i="6" s="1"/>
  <c r="S281" i="6"/>
  <c r="R281" i="6"/>
  <c r="Q281" i="6"/>
  <c r="P281" i="6"/>
  <c r="L281" i="6"/>
  <c r="K281" i="6"/>
  <c r="O281" i="6" s="1"/>
  <c r="J281" i="6"/>
  <c r="N281" i="6" s="1"/>
  <c r="S280" i="6"/>
  <c r="R280" i="6"/>
  <c r="Q280" i="6"/>
  <c r="P280" i="6"/>
  <c r="L280" i="6"/>
  <c r="K280" i="6"/>
  <c r="O280" i="6" s="1"/>
  <c r="J280" i="6"/>
  <c r="N280" i="6" s="1"/>
  <c r="S279" i="6"/>
  <c r="R279" i="6"/>
  <c r="Q279" i="6"/>
  <c r="P279" i="6"/>
  <c r="L279" i="6"/>
  <c r="K279" i="6"/>
  <c r="O279" i="6" s="1"/>
  <c r="J279" i="6"/>
  <c r="N279" i="6" s="1"/>
  <c r="S278" i="6"/>
  <c r="R278" i="6"/>
  <c r="Q278" i="6"/>
  <c r="P278" i="6"/>
  <c r="L278" i="6"/>
  <c r="K278" i="6"/>
  <c r="O278" i="6" s="1"/>
  <c r="J278" i="6"/>
  <c r="N278" i="6" s="1"/>
  <c r="S277" i="6"/>
  <c r="R277" i="6"/>
  <c r="Q277" i="6"/>
  <c r="P277" i="6"/>
  <c r="L277" i="6"/>
  <c r="K277" i="6"/>
  <c r="O277" i="6" s="1"/>
  <c r="J277" i="6"/>
  <c r="N277" i="6" s="1"/>
  <c r="S276" i="6"/>
  <c r="R276" i="6"/>
  <c r="Q276" i="6"/>
  <c r="P276" i="6"/>
  <c r="O276" i="6"/>
  <c r="L276" i="6"/>
  <c r="K276" i="6"/>
  <c r="J276" i="6"/>
  <c r="N276" i="6" s="1"/>
  <c r="S275" i="6"/>
  <c r="R275" i="6"/>
  <c r="Q275" i="6"/>
  <c r="P275" i="6"/>
  <c r="L275" i="6"/>
  <c r="K275" i="6"/>
  <c r="O275" i="6" s="1"/>
  <c r="J275" i="6"/>
  <c r="N275" i="6" s="1"/>
  <c r="S274" i="6"/>
  <c r="R274" i="6"/>
  <c r="Q274" i="6"/>
  <c r="P274" i="6"/>
  <c r="N274" i="6"/>
  <c r="L274" i="6"/>
  <c r="K274" i="6"/>
  <c r="O274" i="6" s="1"/>
  <c r="J274" i="6"/>
  <c r="S273" i="6"/>
  <c r="R273" i="6"/>
  <c r="Q273" i="6"/>
  <c r="P273" i="6"/>
  <c r="N273" i="6"/>
  <c r="L273" i="6"/>
  <c r="K273" i="6"/>
  <c r="O273" i="6" s="1"/>
  <c r="J273" i="6"/>
  <c r="S272" i="6"/>
  <c r="R272" i="6"/>
  <c r="Q272" i="6"/>
  <c r="P272" i="6"/>
  <c r="L272" i="6"/>
  <c r="K272" i="6"/>
  <c r="O272" i="6" s="1"/>
  <c r="J272" i="6"/>
  <c r="N272" i="6" s="1"/>
  <c r="S271" i="6"/>
  <c r="R271" i="6"/>
  <c r="Q271" i="6"/>
  <c r="P271" i="6"/>
  <c r="L271" i="6"/>
  <c r="K271" i="6"/>
  <c r="O271" i="6" s="1"/>
  <c r="J271" i="6"/>
  <c r="N271" i="6" s="1"/>
  <c r="S270" i="6"/>
  <c r="R270" i="6"/>
  <c r="Q270" i="6"/>
  <c r="P270" i="6"/>
  <c r="O270" i="6"/>
  <c r="N270" i="6"/>
  <c r="L270" i="6"/>
  <c r="K270" i="6"/>
  <c r="J270" i="6"/>
  <c r="S269" i="6"/>
  <c r="R269" i="6"/>
  <c r="Q269" i="6"/>
  <c r="P269" i="6"/>
  <c r="N269" i="6"/>
  <c r="L269" i="6"/>
  <c r="K269" i="6"/>
  <c r="O269" i="6" s="1"/>
  <c r="J269" i="6"/>
  <c r="S268" i="6"/>
  <c r="R268" i="6"/>
  <c r="Q268" i="6"/>
  <c r="P268" i="6"/>
  <c r="O268" i="6"/>
  <c r="L268" i="6"/>
  <c r="K268" i="6"/>
  <c r="J268" i="6"/>
  <c r="N268" i="6" s="1"/>
  <c r="S267" i="6"/>
  <c r="R267" i="6"/>
  <c r="Q267" i="6"/>
  <c r="P267" i="6"/>
  <c r="N267" i="6"/>
  <c r="L267" i="6"/>
  <c r="K267" i="6"/>
  <c r="O267" i="6" s="1"/>
  <c r="J267" i="6"/>
  <c r="S266" i="6"/>
  <c r="R266" i="6"/>
  <c r="Q266" i="6"/>
  <c r="P266" i="6"/>
  <c r="L266" i="6"/>
  <c r="K266" i="6"/>
  <c r="O266" i="6" s="1"/>
  <c r="J266" i="6"/>
  <c r="N266" i="6" s="1"/>
  <c r="S265" i="6"/>
  <c r="R265" i="6"/>
  <c r="Q265" i="6"/>
  <c r="P265" i="6"/>
  <c r="L265" i="6"/>
  <c r="K265" i="6"/>
  <c r="O265" i="6" s="1"/>
  <c r="J265" i="6"/>
  <c r="N265" i="6" s="1"/>
  <c r="S264" i="6"/>
  <c r="R264" i="6"/>
  <c r="Q264" i="6"/>
  <c r="P264" i="6"/>
  <c r="L264" i="6"/>
  <c r="K264" i="6"/>
  <c r="O264" i="6" s="1"/>
  <c r="J264" i="6"/>
  <c r="N264" i="6" s="1"/>
  <c r="S263" i="6"/>
  <c r="R263" i="6"/>
  <c r="Q263" i="6"/>
  <c r="P263" i="6"/>
  <c r="L263" i="6"/>
  <c r="K263" i="6"/>
  <c r="O263" i="6" s="1"/>
  <c r="J263" i="6"/>
  <c r="N263" i="6" s="1"/>
  <c r="S262" i="6"/>
  <c r="R262" i="6"/>
  <c r="Q262" i="6"/>
  <c r="P262" i="6"/>
  <c r="O262" i="6"/>
  <c r="L262" i="6"/>
  <c r="K262" i="6"/>
  <c r="J262" i="6"/>
  <c r="N262" i="6" s="1"/>
  <c r="S261" i="6"/>
  <c r="R261" i="6"/>
  <c r="Q261" i="6"/>
  <c r="P261" i="6"/>
  <c r="L261" i="6"/>
  <c r="K261" i="6"/>
  <c r="O261" i="6" s="1"/>
  <c r="J261" i="6"/>
  <c r="N261" i="6" s="1"/>
  <c r="S260" i="6"/>
  <c r="R260" i="6"/>
  <c r="Q260" i="6"/>
  <c r="P260" i="6"/>
  <c r="L260" i="6"/>
  <c r="K260" i="6"/>
  <c r="O260" i="6" s="1"/>
  <c r="J260" i="6"/>
  <c r="N260" i="6" s="1"/>
  <c r="S259" i="6"/>
  <c r="R259" i="6"/>
  <c r="Q259" i="6"/>
  <c r="P259" i="6"/>
  <c r="L259" i="6"/>
  <c r="K259" i="6"/>
  <c r="O259" i="6" s="1"/>
  <c r="J259" i="6"/>
  <c r="N259" i="6" s="1"/>
  <c r="S258" i="6"/>
  <c r="R258" i="6"/>
  <c r="Q258" i="6"/>
  <c r="P258" i="6"/>
  <c r="O258" i="6"/>
  <c r="N258" i="6"/>
  <c r="L258" i="6"/>
  <c r="K258" i="6"/>
  <c r="J258" i="6"/>
  <c r="S257" i="6"/>
  <c r="R257" i="6"/>
  <c r="Q257" i="6"/>
  <c r="P257" i="6"/>
  <c r="N257" i="6"/>
  <c r="L257" i="6"/>
  <c r="K257" i="6"/>
  <c r="O257" i="6" s="1"/>
  <c r="J257" i="6"/>
  <c r="S256" i="6"/>
  <c r="R256" i="6"/>
  <c r="Q256" i="6"/>
  <c r="P256" i="6"/>
  <c r="L256" i="6"/>
  <c r="K256" i="6"/>
  <c r="O256" i="6" s="1"/>
  <c r="J256" i="6"/>
  <c r="N256" i="6" s="1"/>
  <c r="S255" i="6"/>
  <c r="R255" i="6"/>
  <c r="Q255" i="6"/>
  <c r="P255" i="6"/>
  <c r="L255" i="6"/>
  <c r="K255" i="6"/>
  <c r="O255" i="6" s="1"/>
  <c r="J255" i="6"/>
  <c r="N255" i="6" s="1"/>
  <c r="S254" i="6"/>
  <c r="R254" i="6"/>
  <c r="Q254" i="6"/>
  <c r="P254" i="6"/>
  <c r="N254" i="6"/>
  <c r="L254" i="6"/>
  <c r="K254" i="6"/>
  <c r="O254" i="6" s="1"/>
  <c r="J254" i="6"/>
  <c r="S253" i="6"/>
  <c r="R253" i="6"/>
  <c r="Q253" i="6"/>
  <c r="P253" i="6"/>
  <c r="N253" i="6"/>
  <c r="L253" i="6"/>
  <c r="K253" i="6"/>
  <c r="O253" i="6" s="1"/>
  <c r="J253" i="6"/>
  <c r="S252" i="6"/>
  <c r="R252" i="6"/>
  <c r="Q252" i="6"/>
  <c r="P252" i="6"/>
  <c r="L252" i="6"/>
  <c r="K252" i="6"/>
  <c r="O252" i="6" s="1"/>
  <c r="J252" i="6"/>
  <c r="N252" i="6" s="1"/>
  <c r="S251" i="6"/>
  <c r="R251" i="6"/>
  <c r="Q251" i="6"/>
  <c r="P251" i="6"/>
  <c r="N251" i="6"/>
  <c r="L251" i="6"/>
  <c r="K251" i="6"/>
  <c r="O251" i="6" s="1"/>
  <c r="J251" i="6"/>
  <c r="S250" i="6"/>
  <c r="R250" i="6"/>
  <c r="Q250" i="6"/>
  <c r="P250" i="6"/>
  <c r="L250" i="6"/>
  <c r="K250" i="6"/>
  <c r="O250" i="6" s="1"/>
  <c r="J250" i="6"/>
  <c r="N250" i="6" s="1"/>
  <c r="S249" i="6"/>
  <c r="R249" i="6"/>
  <c r="Q249" i="6"/>
  <c r="P249" i="6"/>
  <c r="L249" i="6"/>
  <c r="K249" i="6"/>
  <c r="O249" i="6" s="1"/>
  <c r="J249" i="6"/>
  <c r="N249" i="6" s="1"/>
  <c r="S248" i="6"/>
  <c r="R248" i="6"/>
  <c r="Q248" i="6"/>
  <c r="P248" i="6"/>
  <c r="L248" i="6"/>
  <c r="K248" i="6"/>
  <c r="O248" i="6" s="1"/>
  <c r="J248" i="6"/>
  <c r="N248" i="6" s="1"/>
  <c r="S247" i="6"/>
  <c r="R247" i="6"/>
  <c r="Q247" i="6"/>
  <c r="P247" i="6"/>
  <c r="L247" i="6"/>
  <c r="K247" i="6"/>
  <c r="O247" i="6" s="1"/>
  <c r="J247" i="6"/>
  <c r="N247" i="6" s="1"/>
  <c r="S246" i="6"/>
  <c r="R246" i="6"/>
  <c r="Q246" i="6"/>
  <c r="P246" i="6"/>
  <c r="L246" i="6"/>
  <c r="K246" i="6"/>
  <c r="O246" i="6" s="1"/>
  <c r="J246" i="6"/>
  <c r="N246" i="6" s="1"/>
  <c r="S245" i="6"/>
  <c r="R245" i="6"/>
  <c r="Q245" i="6"/>
  <c r="P245" i="6"/>
  <c r="L245" i="6"/>
  <c r="K245" i="6"/>
  <c r="O245" i="6" s="1"/>
  <c r="J245" i="6"/>
  <c r="N245" i="6" s="1"/>
  <c r="S244" i="6"/>
  <c r="R244" i="6"/>
  <c r="Q244" i="6"/>
  <c r="P244" i="6"/>
  <c r="L244" i="6"/>
  <c r="K244" i="6"/>
  <c r="O244" i="6" s="1"/>
  <c r="J244" i="6"/>
  <c r="N244" i="6" s="1"/>
  <c r="S243" i="6"/>
  <c r="R243" i="6"/>
  <c r="Q243" i="6"/>
  <c r="P243" i="6"/>
  <c r="L243" i="6"/>
  <c r="K243" i="6"/>
  <c r="O243" i="6" s="1"/>
  <c r="J243" i="6"/>
  <c r="N243" i="6" s="1"/>
  <c r="S242" i="6"/>
  <c r="R242" i="6"/>
  <c r="Q242" i="6"/>
  <c r="P242" i="6"/>
  <c r="N242" i="6"/>
  <c r="L242" i="6"/>
  <c r="K242" i="6"/>
  <c r="O242" i="6" s="1"/>
  <c r="J242" i="6"/>
  <c r="S241" i="6"/>
  <c r="R241" i="6"/>
  <c r="Q241" i="6"/>
  <c r="P241" i="6"/>
  <c r="N241" i="6"/>
  <c r="L241" i="6"/>
  <c r="K241" i="6"/>
  <c r="O241" i="6" s="1"/>
  <c r="J241" i="6"/>
  <c r="S240" i="6"/>
  <c r="R240" i="6"/>
  <c r="Q240" i="6"/>
  <c r="P240" i="6"/>
  <c r="L240" i="6"/>
  <c r="K240" i="6"/>
  <c r="O240" i="6" s="1"/>
  <c r="J240" i="6"/>
  <c r="N240" i="6" s="1"/>
  <c r="S239" i="6"/>
  <c r="R239" i="6"/>
  <c r="Q239" i="6"/>
  <c r="P239" i="6"/>
  <c r="L239" i="6"/>
  <c r="K239" i="6"/>
  <c r="O239" i="6" s="1"/>
  <c r="J239" i="6"/>
  <c r="N239" i="6" s="1"/>
  <c r="S238" i="6"/>
  <c r="R238" i="6"/>
  <c r="Q238" i="6"/>
  <c r="P238" i="6"/>
  <c r="O238" i="6"/>
  <c r="N238" i="6"/>
  <c r="L238" i="6"/>
  <c r="K238" i="6"/>
  <c r="J238" i="6"/>
  <c r="S237" i="6"/>
  <c r="R237" i="6"/>
  <c r="Q237" i="6"/>
  <c r="P237" i="6"/>
  <c r="N237" i="6"/>
  <c r="L237" i="6"/>
  <c r="K237" i="6"/>
  <c r="O237" i="6" s="1"/>
  <c r="J237" i="6"/>
  <c r="S236" i="6"/>
  <c r="R236" i="6"/>
  <c r="Q236" i="6"/>
  <c r="P236" i="6"/>
  <c r="L236" i="6"/>
  <c r="K236" i="6"/>
  <c r="O236" i="6" s="1"/>
  <c r="J236" i="6"/>
  <c r="N236" i="6" s="1"/>
  <c r="S235" i="6"/>
  <c r="R235" i="6"/>
  <c r="Q235" i="6"/>
  <c r="P235" i="6"/>
  <c r="N235" i="6"/>
  <c r="L235" i="6"/>
  <c r="K235" i="6"/>
  <c r="O235" i="6" s="1"/>
  <c r="J235" i="6"/>
  <c r="S234" i="6"/>
  <c r="R234" i="6"/>
  <c r="Q234" i="6"/>
  <c r="P234" i="6"/>
  <c r="L234" i="6"/>
  <c r="K234" i="6"/>
  <c r="O234" i="6" s="1"/>
  <c r="J234" i="6"/>
  <c r="N234" i="6" s="1"/>
  <c r="S233" i="6"/>
  <c r="R233" i="6"/>
  <c r="Q233" i="6"/>
  <c r="P233" i="6"/>
  <c r="L233" i="6"/>
  <c r="K233" i="6"/>
  <c r="O233" i="6" s="1"/>
  <c r="J233" i="6"/>
  <c r="N233" i="6" s="1"/>
  <c r="S232" i="6"/>
  <c r="R232" i="6"/>
  <c r="Q232" i="6"/>
  <c r="P232" i="6"/>
  <c r="L232" i="6"/>
  <c r="K232" i="6"/>
  <c r="O232" i="6" s="1"/>
  <c r="J232" i="6"/>
  <c r="N232" i="6" s="1"/>
  <c r="S231" i="6"/>
  <c r="R231" i="6"/>
  <c r="Q231" i="6"/>
  <c r="P231" i="6"/>
  <c r="L231" i="6"/>
  <c r="K231" i="6"/>
  <c r="O231" i="6" s="1"/>
  <c r="J231" i="6"/>
  <c r="N231" i="6" s="1"/>
  <c r="S230" i="6"/>
  <c r="R230" i="6"/>
  <c r="Q230" i="6"/>
  <c r="P230" i="6"/>
  <c r="L230" i="6"/>
  <c r="K230" i="6"/>
  <c r="O230" i="6" s="1"/>
  <c r="J230" i="6"/>
  <c r="N230" i="6" s="1"/>
  <c r="S229" i="6"/>
  <c r="R229" i="6"/>
  <c r="Q229" i="6"/>
  <c r="P229" i="6"/>
  <c r="L229" i="6"/>
  <c r="K229" i="6"/>
  <c r="O229" i="6" s="1"/>
  <c r="J229" i="6"/>
  <c r="N229" i="6" s="1"/>
  <c r="S228" i="6"/>
  <c r="R228" i="6"/>
  <c r="Q228" i="6"/>
  <c r="P228" i="6"/>
  <c r="L228" i="6"/>
  <c r="K228" i="6"/>
  <c r="O228" i="6" s="1"/>
  <c r="J228" i="6"/>
  <c r="N228" i="6" s="1"/>
  <c r="S227" i="6"/>
  <c r="R227" i="6"/>
  <c r="Q227" i="6"/>
  <c r="P227" i="6"/>
  <c r="L227" i="6"/>
  <c r="K227" i="6"/>
  <c r="O227" i="6" s="1"/>
  <c r="J227" i="6"/>
  <c r="N227" i="6" s="1"/>
  <c r="S226" i="6"/>
  <c r="R226" i="6"/>
  <c r="Q226" i="6"/>
  <c r="P226" i="6"/>
  <c r="O226" i="6"/>
  <c r="N226" i="6"/>
  <c r="L226" i="6"/>
  <c r="K226" i="6"/>
  <c r="J226" i="6"/>
  <c r="S225" i="6"/>
  <c r="R225" i="6"/>
  <c r="Q225" i="6"/>
  <c r="P225" i="6"/>
  <c r="N225" i="6"/>
  <c r="L225" i="6"/>
  <c r="K225" i="6"/>
  <c r="O225" i="6" s="1"/>
  <c r="J225" i="6"/>
  <c r="S224" i="6"/>
  <c r="R224" i="6"/>
  <c r="Q224" i="6"/>
  <c r="P224" i="6"/>
  <c r="L224" i="6"/>
  <c r="K224" i="6"/>
  <c r="O224" i="6" s="1"/>
  <c r="J224" i="6"/>
  <c r="N224" i="6" s="1"/>
  <c r="S223" i="6"/>
  <c r="R223" i="6"/>
  <c r="Q223" i="6"/>
  <c r="P223" i="6"/>
  <c r="L223" i="6"/>
  <c r="K223" i="6"/>
  <c r="O223" i="6" s="1"/>
  <c r="J223" i="6"/>
  <c r="N223" i="6" s="1"/>
  <c r="S222" i="6"/>
  <c r="R222" i="6"/>
  <c r="Q222" i="6"/>
  <c r="P222" i="6"/>
  <c r="N222" i="6"/>
  <c r="L222" i="6"/>
  <c r="K222" i="6"/>
  <c r="O222" i="6" s="1"/>
  <c r="J222" i="6"/>
  <c r="S221" i="6"/>
  <c r="R221" i="6"/>
  <c r="Q221" i="6"/>
  <c r="P221" i="6"/>
  <c r="N221" i="6"/>
  <c r="L221" i="6"/>
  <c r="K221" i="6"/>
  <c r="O221" i="6" s="1"/>
  <c r="J221" i="6"/>
  <c r="S220" i="6"/>
  <c r="R220" i="6"/>
  <c r="Q220" i="6"/>
  <c r="P220" i="6"/>
  <c r="O220" i="6"/>
  <c r="L220" i="6"/>
  <c r="K220" i="6"/>
  <c r="J220" i="6"/>
  <c r="N220" i="6" s="1"/>
  <c r="S219" i="6"/>
  <c r="R219" i="6"/>
  <c r="Q219" i="6"/>
  <c r="P219" i="6"/>
  <c r="N219" i="6"/>
  <c r="L219" i="6"/>
  <c r="K219" i="6"/>
  <c r="O219" i="6" s="1"/>
  <c r="J219" i="6"/>
  <c r="S218" i="6"/>
  <c r="R218" i="6"/>
  <c r="Q218" i="6"/>
  <c r="P218" i="6"/>
  <c r="O218" i="6"/>
  <c r="L218" i="6"/>
  <c r="K218" i="6"/>
  <c r="J218" i="6"/>
  <c r="N218" i="6" s="1"/>
  <c r="S217" i="6"/>
  <c r="R217" i="6"/>
  <c r="Q217" i="6"/>
  <c r="P217" i="6"/>
  <c r="L217" i="6"/>
  <c r="K217" i="6"/>
  <c r="O217" i="6" s="1"/>
  <c r="J217" i="6"/>
  <c r="N217" i="6" s="1"/>
  <c r="S216" i="6"/>
  <c r="R216" i="6"/>
  <c r="Q216" i="6"/>
  <c r="P216" i="6"/>
  <c r="L216" i="6"/>
  <c r="K216" i="6"/>
  <c r="O216" i="6" s="1"/>
  <c r="J216" i="6"/>
  <c r="N216" i="6" s="1"/>
  <c r="S215" i="6"/>
  <c r="R215" i="6"/>
  <c r="Q215" i="6"/>
  <c r="P215" i="6"/>
  <c r="L215" i="6"/>
  <c r="K215" i="6"/>
  <c r="O215" i="6" s="1"/>
  <c r="J215" i="6"/>
  <c r="N215" i="6" s="1"/>
  <c r="S214" i="6"/>
  <c r="R214" i="6"/>
  <c r="Q214" i="6"/>
  <c r="P214" i="6"/>
  <c r="L214" i="6"/>
  <c r="K214" i="6"/>
  <c r="O214" i="6" s="1"/>
  <c r="J214" i="6"/>
  <c r="N214" i="6" s="1"/>
  <c r="S213" i="6"/>
  <c r="R213" i="6"/>
  <c r="Q213" i="6"/>
  <c r="P213" i="6"/>
  <c r="L213" i="6"/>
  <c r="K213" i="6"/>
  <c r="O213" i="6" s="1"/>
  <c r="J213" i="6"/>
  <c r="N213" i="6" s="1"/>
  <c r="S212" i="6"/>
  <c r="R212" i="6"/>
  <c r="Q212" i="6"/>
  <c r="P212" i="6"/>
  <c r="O212" i="6"/>
  <c r="L212" i="6"/>
  <c r="K212" i="6"/>
  <c r="J212" i="6"/>
  <c r="N212" i="6" s="1"/>
  <c r="S211" i="6"/>
  <c r="R211" i="6"/>
  <c r="Q211" i="6"/>
  <c r="P211" i="6"/>
  <c r="L211" i="6"/>
  <c r="K211" i="6"/>
  <c r="O211" i="6" s="1"/>
  <c r="J211" i="6"/>
  <c r="N211" i="6" s="1"/>
  <c r="S210" i="6"/>
  <c r="R210" i="6"/>
  <c r="Q210" i="6"/>
  <c r="P210" i="6"/>
  <c r="N210" i="6"/>
  <c r="L210" i="6"/>
  <c r="K210" i="6"/>
  <c r="O210" i="6" s="1"/>
  <c r="J210" i="6"/>
  <c r="S209" i="6"/>
  <c r="R209" i="6"/>
  <c r="Q209" i="6"/>
  <c r="P209" i="6"/>
  <c r="N209" i="6"/>
  <c r="L209" i="6"/>
  <c r="K209" i="6"/>
  <c r="O209" i="6" s="1"/>
  <c r="J209" i="6"/>
  <c r="S208" i="6"/>
  <c r="R208" i="6"/>
  <c r="Q208" i="6"/>
  <c r="P208" i="6"/>
  <c r="L208" i="6"/>
  <c r="K208" i="6"/>
  <c r="O208" i="6" s="1"/>
  <c r="J208" i="6"/>
  <c r="N208" i="6" s="1"/>
  <c r="S207" i="6"/>
  <c r="R207" i="6"/>
  <c r="Q207" i="6"/>
  <c r="P207" i="6"/>
  <c r="L207" i="6"/>
  <c r="K207" i="6"/>
  <c r="O207" i="6" s="1"/>
  <c r="J207" i="6"/>
  <c r="N207" i="6" s="1"/>
  <c r="S206" i="6"/>
  <c r="R206" i="6"/>
  <c r="Q206" i="6"/>
  <c r="P206" i="6"/>
  <c r="O206" i="6"/>
  <c r="N206" i="6"/>
  <c r="L206" i="6"/>
  <c r="K206" i="6"/>
  <c r="J206" i="6"/>
  <c r="S205" i="6"/>
  <c r="R205" i="6"/>
  <c r="Q205" i="6"/>
  <c r="P205" i="6"/>
  <c r="N205" i="6"/>
  <c r="L205" i="6"/>
  <c r="K205" i="6"/>
  <c r="O205" i="6" s="1"/>
  <c r="J205" i="6"/>
  <c r="S204" i="6"/>
  <c r="R204" i="6"/>
  <c r="Q204" i="6"/>
  <c r="P204" i="6"/>
  <c r="L204" i="6"/>
  <c r="K204" i="6"/>
  <c r="O204" i="6" s="1"/>
  <c r="J204" i="6"/>
  <c r="N204" i="6" s="1"/>
  <c r="S203" i="6"/>
  <c r="R203" i="6"/>
  <c r="Q203" i="6"/>
  <c r="P203" i="6"/>
  <c r="N203" i="6"/>
  <c r="L203" i="6"/>
  <c r="K203" i="6"/>
  <c r="O203" i="6" s="1"/>
  <c r="J203" i="6"/>
  <c r="S202" i="6"/>
  <c r="R202" i="6"/>
  <c r="Q202" i="6"/>
  <c r="P202" i="6"/>
  <c r="L202" i="6"/>
  <c r="K202" i="6"/>
  <c r="O202" i="6" s="1"/>
  <c r="J202" i="6"/>
  <c r="N202" i="6" s="1"/>
  <c r="S201" i="6"/>
  <c r="R201" i="6"/>
  <c r="Q201" i="6"/>
  <c r="P201" i="6"/>
  <c r="L201" i="6"/>
  <c r="K201" i="6"/>
  <c r="O201" i="6" s="1"/>
  <c r="J201" i="6"/>
  <c r="N201" i="6" s="1"/>
  <c r="S200" i="6"/>
  <c r="R200" i="6"/>
  <c r="Q200" i="6"/>
  <c r="P200" i="6"/>
  <c r="L200" i="6"/>
  <c r="K200" i="6"/>
  <c r="O200" i="6" s="1"/>
  <c r="J200" i="6"/>
  <c r="N200" i="6" s="1"/>
  <c r="S199" i="6"/>
  <c r="R199" i="6"/>
  <c r="Q199" i="6"/>
  <c r="P199" i="6"/>
  <c r="L199" i="6"/>
  <c r="K199" i="6"/>
  <c r="O199" i="6" s="1"/>
  <c r="J199" i="6"/>
  <c r="N199" i="6" s="1"/>
  <c r="S198" i="6"/>
  <c r="R198" i="6"/>
  <c r="Q198" i="6"/>
  <c r="P198" i="6"/>
  <c r="O198" i="6"/>
  <c r="L198" i="6"/>
  <c r="K198" i="6"/>
  <c r="J198" i="6"/>
  <c r="N198" i="6" s="1"/>
  <c r="S197" i="6"/>
  <c r="R197" i="6"/>
  <c r="Q197" i="6"/>
  <c r="P197" i="6"/>
  <c r="L197" i="6"/>
  <c r="K197" i="6"/>
  <c r="O197" i="6" s="1"/>
  <c r="J197" i="6"/>
  <c r="N197" i="6" s="1"/>
  <c r="S196" i="6"/>
  <c r="R196" i="6"/>
  <c r="Q196" i="6"/>
  <c r="P196" i="6"/>
  <c r="L196" i="6"/>
  <c r="K196" i="6"/>
  <c r="O196" i="6" s="1"/>
  <c r="J196" i="6"/>
  <c r="N196" i="6" s="1"/>
  <c r="S195" i="6"/>
  <c r="R195" i="6"/>
  <c r="Q195" i="6"/>
  <c r="P195" i="6"/>
  <c r="L195" i="6"/>
  <c r="K195" i="6"/>
  <c r="O195" i="6" s="1"/>
  <c r="J195" i="6"/>
  <c r="N195" i="6" s="1"/>
  <c r="S194" i="6"/>
  <c r="R194" i="6"/>
  <c r="Q194" i="6"/>
  <c r="P194" i="6"/>
  <c r="O194" i="6"/>
  <c r="N194" i="6"/>
  <c r="L194" i="6"/>
  <c r="K194" i="6"/>
  <c r="J194" i="6"/>
  <c r="S193" i="6"/>
  <c r="R193" i="6"/>
  <c r="Q193" i="6"/>
  <c r="P193" i="6"/>
  <c r="N193" i="6"/>
  <c r="L193" i="6"/>
  <c r="K193" i="6"/>
  <c r="O193" i="6" s="1"/>
  <c r="J193" i="6"/>
  <c r="S192" i="6"/>
  <c r="R192" i="6"/>
  <c r="Q192" i="6"/>
  <c r="P192" i="6"/>
  <c r="L192" i="6"/>
  <c r="K192" i="6"/>
  <c r="O192" i="6" s="1"/>
  <c r="J192" i="6"/>
  <c r="N192" i="6" s="1"/>
  <c r="S191" i="6"/>
  <c r="R191" i="6"/>
  <c r="Q191" i="6"/>
  <c r="P191" i="6"/>
  <c r="L191" i="6"/>
  <c r="K191" i="6"/>
  <c r="O191" i="6" s="1"/>
  <c r="J191" i="6"/>
  <c r="N191" i="6" s="1"/>
  <c r="S190" i="6"/>
  <c r="R190" i="6"/>
  <c r="Q190" i="6"/>
  <c r="P190" i="6"/>
  <c r="N190" i="6"/>
  <c r="L190" i="6"/>
  <c r="K190" i="6"/>
  <c r="O190" i="6" s="1"/>
  <c r="J190" i="6"/>
  <c r="S189" i="6"/>
  <c r="R189" i="6"/>
  <c r="Q189" i="6"/>
  <c r="P189" i="6"/>
  <c r="L189" i="6"/>
  <c r="K189" i="6"/>
  <c r="O189" i="6" s="1"/>
  <c r="J189" i="6"/>
  <c r="N189" i="6" s="1"/>
  <c r="S188" i="6"/>
  <c r="R188" i="6"/>
  <c r="Q188" i="6"/>
  <c r="P188" i="6"/>
  <c r="L188" i="6"/>
  <c r="K188" i="6"/>
  <c r="O188" i="6" s="1"/>
  <c r="J188" i="6"/>
  <c r="N188" i="6" s="1"/>
  <c r="S187" i="6"/>
  <c r="R187" i="6"/>
  <c r="Q187" i="6"/>
  <c r="P187" i="6"/>
  <c r="L187" i="6"/>
  <c r="K187" i="6"/>
  <c r="O187" i="6" s="1"/>
  <c r="J187" i="6"/>
  <c r="N187" i="6" s="1"/>
  <c r="S186" i="6"/>
  <c r="R186" i="6"/>
  <c r="Q186" i="6"/>
  <c r="P186" i="6"/>
  <c r="L186" i="6"/>
  <c r="K186" i="6"/>
  <c r="O186" i="6" s="1"/>
  <c r="J186" i="6"/>
  <c r="N186" i="6" s="1"/>
  <c r="S185" i="6"/>
  <c r="R185" i="6"/>
  <c r="Q185" i="6"/>
  <c r="P185" i="6"/>
  <c r="L185" i="6"/>
  <c r="K185" i="6"/>
  <c r="O185" i="6" s="1"/>
  <c r="J185" i="6"/>
  <c r="N185" i="6" s="1"/>
  <c r="S184" i="6"/>
  <c r="R184" i="6"/>
  <c r="Q184" i="6"/>
  <c r="P184" i="6"/>
  <c r="L184" i="6"/>
  <c r="K184" i="6"/>
  <c r="O184" i="6" s="1"/>
  <c r="J184" i="6"/>
  <c r="N184" i="6" s="1"/>
  <c r="S183" i="6"/>
  <c r="R183" i="6"/>
  <c r="Q183" i="6"/>
  <c r="P183" i="6"/>
  <c r="L183" i="6"/>
  <c r="K183" i="6"/>
  <c r="O183" i="6" s="1"/>
  <c r="J183" i="6"/>
  <c r="N183" i="6" s="1"/>
  <c r="S182" i="6"/>
  <c r="R182" i="6"/>
  <c r="Q182" i="6"/>
  <c r="P182" i="6"/>
  <c r="N182" i="6"/>
  <c r="L182" i="6"/>
  <c r="K182" i="6"/>
  <c r="O182" i="6" s="1"/>
  <c r="J182" i="6"/>
  <c r="S181" i="6"/>
  <c r="R181" i="6"/>
  <c r="Q181" i="6"/>
  <c r="P181" i="6"/>
  <c r="L181" i="6"/>
  <c r="K181" i="6"/>
  <c r="O181" i="6" s="1"/>
  <c r="J181" i="6"/>
  <c r="N181" i="6" s="1"/>
  <c r="S180" i="6"/>
  <c r="R180" i="6"/>
  <c r="Q180" i="6"/>
  <c r="P180" i="6"/>
  <c r="L180" i="6"/>
  <c r="K180" i="6"/>
  <c r="O180" i="6" s="1"/>
  <c r="J180" i="6"/>
  <c r="N180" i="6" s="1"/>
  <c r="S179" i="6"/>
  <c r="R179" i="6"/>
  <c r="Q179" i="6"/>
  <c r="P179" i="6"/>
  <c r="N179" i="6"/>
  <c r="L179" i="6"/>
  <c r="K179" i="6"/>
  <c r="O179" i="6" s="1"/>
  <c r="J179" i="6"/>
  <c r="S178" i="6"/>
  <c r="R178" i="6"/>
  <c r="Q178" i="6"/>
  <c r="P178" i="6"/>
  <c r="O178" i="6"/>
  <c r="L178" i="6"/>
  <c r="K178" i="6"/>
  <c r="J178" i="6"/>
  <c r="N178" i="6" s="1"/>
  <c r="S177" i="6"/>
  <c r="R177" i="6"/>
  <c r="Q177" i="6"/>
  <c r="P177" i="6"/>
  <c r="L177" i="6"/>
  <c r="K177" i="6"/>
  <c r="O177" i="6" s="1"/>
  <c r="J177" i="6"/>
  <c r="N177" i="6" s="1"/>
  <c r="S176" i="6"/>
  <c r="R176" i="6"/>
  <c r="Q176" i="6"/>
  <c r="P176" i="6"/>
  <c r="L176" i="6"/>
  <c r="K176" i="6"/>
  <c r="O176" i="6" s="1"/>
  <c r="J176" i="6"/>
  <c r="N176" i="6" s="1"/>
  <c r="S175" i="6"/>
  <c r="R175" i="6"/>
  <c r="Q175" i="6"/>
  <c r="P175" i="6"/>
  <c r="N175" i="6"/>
  <c r="L175" i="6"/>
  <c r="K175" i="6"/>
  <c r="O175" i="6" s="1"/>
  <c r="J175" i="6"/>
  <c r="S174" i="6"/>
  <c r="R174" i="6"/>
  <c r="Q174" i="6"/>
  <c r="P174" i="6"/>
  <c r="L174" i="6"/>
  <c r="K174" i="6"/>
  <c r="O174" i="6" s="1"/>
  <c r="J174" i="6"/>
  <c r="N174" i="6" s="1"/>
  <c r="S173" i="6"/>
  <c r="R173" i="6"/>
  <c r="Q173" i="6"/>
  <c r="P173" i="6"/>
  <c r="L173" i="6"/>
  <c r="K173" i="6"/>
  <c r="O173" i="6" s="1"/>
  <c r="J173" i="6"/>
  <c r="N173" i="6" s="1"/>
  <c r="S172" i="6"/>
  <c r="R172" i="6"/>
  <c r="Q172" i="6"/>
  <c r="P172" i="6"/>
  <c r="L172" i="6"/>
  <c r="K172" i="6"/>
  <c r="O172" i="6" s="1"/>
  <c r="J172" i="6"/>
  <c r="N172" i="6" s="1"/>
  <c r="S171" i="6"/>
  <c r="R171" i="6"/>
  <c r="Q171" i="6"/>
  <c r="P171" i="6"/>
  <c r="L171" i="6"/>
  <c r="K171" i="6"/>
  <c r="O171" i="6" s="1"/>
  <c r="J171" i="6"/>
  <c r="N171" i="6" s="1"/>
  <c r="S170" i="6"/>
  <c r="R170" i="6"/>
  <c r="Q170" i="6"/>
  <c r="P170" i="6"/>
  <c r="O170" i="6"/>
  <c r="L170" i="6"/>
  <c r="K170" i="6"/>
  <c r="J170" i="6"/>
  <c r="N170" i="6" s="1"/>
  <c r="S169" i="6"/>
  <c r="R169" i="6"/>
  <c r="Q169" i="6"/>
  <c r="P169" i="6"/>
  <c r="L169" i="6"/>
  <c r="K169" i="6"/>
  <c r="O169" i="6" s="1"/>
  <c r="J169" i="6"/>
  <c r="N169" i="6" s="1"/>
  <c r="S168" i="6"/>
  <c r="R168" i="6"/>
  <c r="Q168" i="6"/>
  <c r="P168" i="6"/>
  <c r="L168" i="6"/>
  <c r="K168" i="6"/>
  <c r="O168" i="6" s="1"/>
  <c r="J168" i="6"/>
  <c r="N168" i="6" s="1"/>
  <c r="S167" i="6"/>
  <c r="R167" i="6"/>
  <c r="Q167" i="6"/>
  <c r="P167" i="6"/>
  <c r="N167" i="6"/>
  <c r="L167" i="6"/>
  <c r="K167" i="6"/>
  <c r="O167" i="6" s="1"/>
  <c r="J167" i="6"/>
  <c r="S166" i="6"/>
  <c r="R166" i="6"/>
  <c r="Q166" i="6"/>
  <c r="P166" i="6"/>
  <c r="N166" i="6"/>
  <c r="L166" i="6"/>
  <c r="K166" i="6"/>
  <c r="O166" i="6" s="1"/>
  <c r="J166" i="6"/>
  <c r="S165" i="6"/>
  <c r="R165" i="6"/>
  <c r="Q165" i="6"/>
  <c r="P165" i="6"/>
  <c r="L165" i="6"/>
  <c r="K165" i="6"/>
  <c r="O165" i="6" s="1"/>
  <c r="J165" i="6"/>
  <c r="N165" i="6" s="1"/>
  <c r="S164" i="6"/>
  <c r="R164" i="6"/>
  <c r="Q164" i="6"/>
  <c r="P164" i="6"/>
  <c r="L164" i="6"/>
  <c r="K164" i="6"/>
  <c r="O164" i="6" s="1"/>
  <c r="J164" i="6"/>
  <c r="N164" i="6" s="1"/>
  <c r="S163" i="6"/>
  <c r="R163" i="6"/>
  <c r="Q163" i="6"/>
  <c r="P163" i="6"/>
  <c r="L163" i="6"/>
  <c r="K163" i="6"/>
  <c r="O163" i="6" s="1"/>
  <c r="J163" i="6"/>
  <c r="N163" i="6" s="1"/>
  <c r="S162" i="6"/>
  <c r="R162" i="6"/>
  <c r="Q162" i="6"/>
  <c r="P162" i="6"/>
  <c r="L162" i="6"/>
  <c r="K162" i="6"/>
  <c r="O162" i="6" s="1"/>
  <c r="J162" i="6"/>
  <c r="N162" i="6" s="1"/>
  <c r="S161" i="6"/>
  <c r="R161" i="6"/>
  <c r="Q161" i="6"/>
  <c r="P161" i="6"/>
  <c r="N161" i="6"/>
  <c r="L161" i="6"/>
  <c r="K161" i="6"/>
  <c r="O161" i="6" s="1"/>
  <c r="J161" i="6"/>
  <c r="S160" i="6"/>
  <c r="R160" i="6"/>
  <c r="Q160" i="6"/>
  <c r="P160" i="6"/>
  <c r="L160" i="6"/>
  <c r="K160" i="6"/>
  <c r="O160" i="6" s="1"/>
  <c r="J160" i="6"/>
  <c r="N160" i="6" s="1"/>
  <c r="S159" i="6"/>
  <c r="R159" i="6"/>
  <c r="Q159" i="6"/>
  <c r="P159" i="6"/>
  <c r="L159" i="6"/>
  <c r="K159" i="6"/>
  <c r="O159" i="6" s="1"/>
  <c r="J159" i="6"/>
  <c r="N159" i="6" s="1"/>
  <c r="S158" i="6"/>
  <c r="R158" i="6"/>
  <c r="Q158" i="6"/>
  <c r="P158" i="6"/>
  <c r="L158" i="6"/>
  <c r="K158" i="6"/>
  <c r="O158" i="6" s="1"/>
  <c r="J158" i="6"/>
  <c r="N158" i="6" s="1"/>
  <c r="S157" i="6"/>
  <c r="R157" i="6"/>
  <c r="Q157" i="6"/>
  <c r="P157" i="6"/>
  <c r="L157" i="6"/>
  <c r="K157" i="6"/>
  <c r="O157" i="6" s="1"/>
  <c r="J157" i="6"/>
  <c r="N157" i="6" s="1"/>
  <c r="S156" i="6"/>
  <c r="R156" i="6"/>
  <c r="Q156" i="6"/>
  <c r="P156" i="6"/>
  <c r="L156" i="6"/>
  <c r="K156" i="6"/>
  <c r="O156" i="6" s="1"/>
  <c r="J156" i="6"/>
  <c r="N156" i="6" s="1"/>
  <c r="S155" i="6"/>
  <c r="R155" i="6"/>
  <c r="Q155" i="6"/>
  <c r="P155" i="6"/>
  <c r="L155" i="6"/>
  <c r="K155" i="6"/>
  <c r="O155" i="6" s="1"/>
  <c r="J155" i="6"/>
  <c r="N155" i="6" s="1"/>
  <c r="S154" i="6"/>
  <c r="R154" i="6"/>
  <c r="Q154" i="6"/>
  <c r="P154" i="6"/>
  <c r="L154" i="6"/>
  <c r="K154" i="6"/>
  <c r="O154" i="6" s="1"/>
  <c r="J154" i="6"/>
  <c r="N154" i="6" s="1"/>
  <c r="S153" i="6"/>
  <c r="R153" i="6"/>
  <c r="Q153" i="6"/>
  <c r="P153" i="6"/>
  <c r="N153" i="6"/>
  <c r="L153" i="6"/>
  <c r="K153" i="6"/>
  <c r="O153" i="6" s="1"/>
  <c r="J153" i="6"/>
  <c r="S152" i="6"/>
  <c r="R152" i="6"/>
  <c r="Q152" i="6"/>
  <c r="P152" i="6"/>
  <c r="L152" i="6"/>
  <c r="K152" i="6"/>
  <c r="O152" i="6" s="1"/>
  <c r="J152" i="6"/>
  <c r="N152" i="6" s="1"/>
  <c r="S151" i="6"/>
  <c r="R151" i="6"/>
  <c r="Q151" i="6"/>
  <c r="P151" i="6"/>
  <c r="L151" i="6"/>
  <c r="K151" i="6"/>
  <c r="O151" i="6" s="1"/>
  <c r="J151" i="6"/>
  <c r="N151" i="6" s="1"/>
  <c r="S150" i="6"/>
  <c r="R150" i="6"/>
  <c r="Q150" i="6"/>
  <c r="P150" i="6"/>
  <c r="L150" i="6"/>
  <c r="K150" i="6"/>
  <c r="O150" i="6" s="1"/>
  <c r="J150" i="6"/>
  <c r="N150" i="6" s="1"/>
  <c r="S149" i="6"/>
  <c r="R149" i="6"/>
  <c r="Q149" i="6"/>
  <c r="P149" i="6"/>
  <c r="N149" i="6"/>
  <c r="L149" i="6"/>
  <c r="K149" i="6"/>
  <c r="O149" i="6" s="1"/>
  <c r="J149" i="6"/>
  <c r="S148" i="6"/>
  <c r="R148" i="6"/>
  <c r="Q148" i="6"/>
  <c r="P148" i="6"/>
  <c r="O148" i="6"/>
  <c r="L148" i="6"/>
  <c r="K148" i="6"/>
  <c r="J148" i="6"/>
  <c r="N148" i="6" s="1"/>
  <c r="S147" i="6"/>
  <c r="R147" i="6"/>
  <c r="Q147" i="6"/>
  <c r="P147" i="6"/>
  <c r="N147" i="6"/>
  <c r="L147" i="6"/>
  <c r="K147" i="6"/>
  <c r="O147" i="6" s="1"/>
  <c r="J147" i="6"/>
  <c r="S146" i="6"/>
  <c r="R146" i="6"/>
  <c r="Q146" i="6"/>
  <c r="P146" i="6"/>
  <c r="O146" i="6"/>
  <c r="L146" i="6"/>
  <c r="K146" i="6"/>
  <c r="J146" i="6"/>
  <c r="N146" i="6" s="1"/>
  <c r="S145" i="6"/>
  <c r="R145" i="6"/>
  <c r="Q145" i="6"/>
  <c r="P145" i="6"/>
  <c r="N145" i="6"/>
  <c r="L145" i="6"/>
  <c r="K145" i="6"/>
  <c r="O145" i="6" s="1"/>
  <c r="J145" i="6"/>
  <c r="S144" i="6"/>
  <c r="R144" i="6"/>
  <c r="Q144" i="6"/>
  <c r="P144" i="6"/>
  <c r="L144" i="6"/>
  <c r="K144" i="6"/>
  <c r="O144" i="6" s="1"/>
  <c r="J144" i="6"/>
  <c r="N144" i="6" s="1"/>
  <c r="S143" i="6"/>
  <c r="R143" i="6"/>
  <c r="Q143" i="6"/>
  <c r="P143" i="6"/>
  <c r="L143" i="6"/>
  <c r="K143" i="6"/>
  <c r="O143" i="6" s="1"/>
  <c r="J143" i="6"/>
  <c r="N143" i="6" s="1"/>
  <c r="S142" i="6"/>
  <c r="R142" i="6"/>
  <c r="Q142" i="6"/>
  <c r="P142" i="6"/>
  <c r="O142" i="6"/>
  <c r="N142" i="6"/>
  <c r="L142" i="6"/>
  <c r="K142" i="6"/>
  <c r="J142" i="6"/>
  <c r="S141" i="6"/>
  <c r="R141" i="6"/>
  <c r="Q141" i="6"/>
  <c r="P141" i="6"/>
  <c r="N141" i="6"/>
  <c r="L141" i="6"/>
  <c r="K141" i="6"/>
  <c r="O141" i="6" s="1"/>
  <c r="J141" i="6"/>
  <c r="S140" i="6"/>
  <c r="R140" i="6"/>
  <c r="Q140" i="6"/>
  <c r="P140" i="6"/>
  <c r="L140" i="6"/>
  <c r="K140" i="6"/>
  <c r="O140" i="6" s="1"/>
  <c r="J140" i="6"/>
  <c r="N140" i="6" s="1"/>
  <c r="S139" i="6"/>
  <c r="R139" i="6"/>
  <c r="Q139" i="6"/>
  <c r="P139" i="6"/>
  <c r="N139" i="6"/>
  <c r="L139" i="6"/>
  <c r="K139" i="6"/>
  <c r="O139" i="6" s="1"/>
  <c r="J139" i="6"/>
  <c r="S138" i="6"/>
  <c r="R138" i="6"/>
  <c r="Q138" i="6"/>
  <c r="P138" i="6"/>
  <c r="L138" i="6"/>
  <c r="K138" i="6"/>
  <c r="O138" i="6" s="1"/>
  <c r="J138" i="6"/>
  <c r="N138" i="6" s="1"/>
  <c r="S137" i="6"/>
  <c r="R137" i="6"/>
  <c r="Q137" i="6"/>
  <c r="P137" i="6"/>
  <c r="N137" i="6"/>
  <c r="L137" i="6"/>
  <c r="K137" i="6"/>
  <c r="O137" i="6" s="1"/>
  <c r="J137" i="6"/>
  <c r="S136" i="6"/>
  <c r="R136" i="6"/>
  <c r="Q136" i="6"/>
  <c r="P136" i="6"/>
  <c r="L136" i="6"/>
  <c r="K136" i="6"/>
  <c r="O136" i="6" s="1"/>
  <c r="J136" i="6"/>
  <c r="N136" i="6" s="1"/>
  <c r="S135" i="6"/>
  <c r="R135" i="6"/>
  <c r="Q135" i="6"/>
  <c r="P135" i="6"/>
  <c r="L135" i="6"/>
  <c r="K135" i="6"/>
  <c r="O135" i="6" s="1"/>
  <c r="J135" i="6"/>
  <c r="N135" i="6" s="1"/>
  <c r="S134" i="6"/>
  <c r="R134" i="6"/>
  <c r="Q134" i="6"/>
  <c r="P134" i="6"/>
  <c r="L134" i="6"/>
  <c r="K134" i="6"/>
  <c r="O134" i="6" s="1"/>
  <c r="J134" i="6"/>
  <c r="N134" i="6" s="1"/>
  <c r="S133" i="6"/>
  <c r="R133" i="6"/>
  <c r="Q133" i="6"/>
  <c r="P133" i="6"/>
  <c r="O133" i="6"/>
  <c r="L133" i="6"/>
  <c r="K133" i="6"/>
  <c r="J133" i="6"/>
  <c r="N133" i="6" s="1"/>
  <c r="S132" i="6"/>
  <c r="R132" i="6"/>
  <c r="Q132" i="6"/>
  <c r="P132" i="6"/>
  <c r="O132" i="6"/>
  <c r="L132" i="6"/>
  <c r="K132" i="6"/>
  <c r="J132" i="6"/>
  <c r="N132" i="6" s="1"/>
  <c r="S131" i="6"/>
  <c r="R131" i="6"/>
  <c r="Q131" i="6"/>
  <c r="P131" i="6"/>
  <c r="L131" i="6"/>
  <c r="K131" i="6"/>
  <c r="O131" i="6" s="1"/>
  <c r="J131" i="6"/>
  <c r="N131" i="6" s="1"/>
  <c r="S130" i="6"/>
  <c r="R130" i="6"/>
  <c r="Q130" i="6"/>
  <c r="P130" i="6"/>
  <c r="L130" i="6"/>
  <c r="K130" i="6"/>
  <c r="O130" i="6" s="1"/>
  <c r="J130" i="6"/>
  <c r="N130" i="6" s="1"/>
  <c r="S129" i="6"/>
  <c r="R129" i="6"/>
  <c r="Q129" i="6"/>
  <c r="P129" i="6"/>
  <c r="L129" i="6"/>
  <c r="K129" i="6"/>
  <c r="O129" i="6" s="1"/>
  <c r="J129" i="6"/>
  <c r="N129" i="6" s="1"/>
  <c r="S128" i="6"/>
  <c r="R128" i="6"/>
  <c r="Q128" i="6"/>
  <c r="P128" i="6"/>
  <c r="L128" i="6"/>
  <c r="K128" i="6"/>
  <c r="O128" i="6" s="1"/>
  <c r="J128" i="6"/>
  <c r="N128" i="6" s="1"/>
  <c r="S127" i="6"/>
  <c r="R127" i="6"/>
  <c r="Q127" i="6"/>
  <c r="P127" i="6"/>
  <c r="L127" i="6"/>
  <c r="K127" i="6"/>
  <c r="O127" i="6" s="1"/>
  <c r="J127" i="6"/>
  <c r="N127" i="6" s="1"/>
  <c r="S126" i="6"/>
  <c r="R126" i="6"/>
  <c r="Q126" i="6"/>
  <c r="P126" i="6"/>
  <c r="L126" i="6"/>
  <c r="K126" i="6"/>
  <c r="O126" i="6" s="1"/>
  <c r="J126" i="6"/>
  <c r="N126" i="6" s="1"/>
  <c r="S125" i="6"/>
  <c r="R125" i="6"/>
  <c r="Q125" i="6"/>
  <c r="P125" i="6"/>
  <c r="L125" i="6"/>
  <c r="K125" i="6"/>
  <c r="O125" i="6" s="1"/>
  <c r="J125" i="6"/>
  <c r="N125" i="6" s="1"/>
  <c r="S124" i="6"/>
  <c r="R124" i="6"/>
  <c r="Q124" i="6"/>
  <c r="P124" i="6"/>
  <c r="L124" i="6"/>
  <c r="K124" i="6"/>
  <c r="O124" i="6" s="1"/>
  <c r="J124" i="6"/>
  <c r="N124" i="6" s="1"/>
  <c r="S123" i="6"/>
  <c r="R123" i="6"/>
  <c r="Q123" i="6"/>
  <c r="P123" i="6"/>
  <c r="L123" i="6"/>
  <c r="K123" i="6"/>
  <c r="O123" i="6" s="1"/>
  <c r="J123" i="6"/>
  <c r="N123" i="6" s="1"/>
  <c r="S122" i="6"/>
  <c r="R122" i="6"/>
  <c r="Q122" i="6"/>
  <c r="P122" i="6"/>
  <c r="L122" i="6"/>
  <c r="K122" i="6"/>
  <c r="O122" i="6" s="1"/>
  <c r="J122" i="6"/>
  <c r="N122" i="6" s="1"/>
  <c r="S121" i="6"/>
  <c r="R121" i="6"/>
  <c r="Q121" i="6"/>
  <c r="P121" i="6"/>
  <c r="L121" i="6"/>
  <c r="K121" i="6"/>
  <c r="O121" i="6" s="1"/>
  <c r="J121" i="6"/>
  <c r="N121" i="6" s="1"/>
  <c r="S120" i="6"/>
  <c r="R120" i="6"/>
  <c r="Q120" i="6"/>
  <c r="P120" i="6"/>
  <c r="L120" i="6"/>
  <c r="K120" i="6"/>
  <c r="O120" i="6" s="1"/>
  <c r="J120" i="6"/>
  <c r="N120" i="6" s="1"/>
  <c r="S119" i="6"/>
  <c r="R119" i="6"/>
  <c r="Q119" i="6"/>
  <c r="P119" i="6"/>
  <c r="L119" i="6"/>
  <c r="K119" i="6"/>
  <c r="O119" i="6" s="1"/>
  <c r="J119" i="6"/>
  <c r="N119" i="6" s="1"/>
  <c r="S118" i="6"/>
  <c r="R118" i="6"/>
  <c r="Q118" i="6"/>
  <c r="P118" i="6"/>
  <c r="L118" i="6"/>
  <c r="K118" i="6"/>
  <c r="O118" i="6" s="1"/>
  <c r="J118" i="6"/>
  <c r="N118" i="6" s="1"/>
  <c r="S117" i="6"/>
  <c r="R117" i="6"/>
  <c r="Q117" i="6"/>
  <c r="P117" i="6"/>
  <c r="O117" i="6"/>
  <c r="L117" i="6"/>
  <c r="K117" i="6"/>
  <c r="J117" i="6"/>
  <c r="N117" i="6" s="1"/>
  <c r="S116" i="6"/>
  <c r="R116" i="6"/>
  <c r="Q116" i="6"/>
  <c r="P116" i="6"/>
  <c r="L116" i="6"/>
  <c r="K116" i="6"/>
  <c r="O116" i="6" s="1"/>
  <c r="J116" i="6"/>
  <c r="N116" i="6" s="1"/>
  <c r="S115" i="6"/>
  <c r="R115" i="6"/>
  <c r="Q115" i="6"/>
  <c r="P115" i="6"/>
  <c r="L115" i="6"/>
  <c r="K115" i="6"/>
  <c r="O115" i="6" s="1"/>
  <c r="J115" i="6"/>
  <c r="N115" i="6" s="1"/>
  <c r="S114" i="6"/>
  <c r="R114" i="6"/>
  <c r="Q114" i="6"/>
  <c r="P114" i="6"/>
  <c r="L114" i="6"/>
  <c r="K114" i="6"/>
  <c r="O114" i="6" s="1"/>
  <c r="J114" i="6"/>
  <c r="N114" i="6" s="1"/>
  <c r="S113" i="6"/>
  <c r="R113" i="6"/>
  <c r="Q113" i="6"/>
  <c r="P113" i="6"/>
  <c r="L113" i="6"/>
  <c r="K113" i="6"/>
  <c r="O113" i="6" s="1"/>
  <c r="J113" i="6"/>
  <c r="N113" i="6" s="1"/>
  <c r="S112" i="6"/>
  <c r="R112" i="6"/>
  <c r="Q112" i="6"/>
  <c r="P112" i="6"/>
  <c r="L112" i="6"/>
  <c r="K112" i="6"/>
  <c r="O112" i="6" s="1"/>
  <c r="J112" i="6"/>
  <c r="N112" i="6" s="1"/>
  <c r="S111" i="6"/>
  <c r="R111" i="6"/>
  <c r="Q111" i="6"/>
  <c r="P111" i="6"/>
  <c r="N111" i="6"/>
  <c r="L111" i="6"/>
  <c r="K111" i="6"/>
  <c r="O111" i="6" s="1"/>
  <c r="J111" i="6"/>
  <c r="S110" i="6"/>
  <c r="R110" i="6"/>
  <c r="Q110" i="6"/>
  <c r="P110" i="6"/>
  <c r="N110" i="6"/>
  <c r="L110" i="6"/>
  <c r="K110" i="6"/>
  <c r="O110" i="6" s="1"/>
  <c r="J110" i="6"/>
  <c r="S109" i="6"/>
  <c r="R109" i="6"/>
  <c r="Q109" i="6"/>
  <c r="P109" i="6"/>
  <c r="L109" i="6"/>
  <c r="K109" i="6"/>
  <c r="O109" i="6" s="1"/>
  <c r="J109" i="6"/>
  <c r="N109" i="6" s="1"/>
  <c r="S108" i="6"/>
  <c r="R108" i="6"/>
  <c r="Q108" i="6"/>
  <c r="P108" i="6"/>
  <c r="L108" i="6"/>
  <c r="K108" i="6"/>
  <c r="O108" i="6" s="1"/>
  <c r="J108" i="6"/>
  <c r="N108" i="6" s="1"/>
  <c r="S107" i="6"/>
  <c r="R107" i="6"/>
  <c r="Q107" i="6"/>
  <c r="P107" i="6"/>
  <c r="N107" i="6"/>
  <c r="L107" i="6"/>
  <c r="K107" i="6"/>
  <c r="O107" i="6" s="1"/>
  <c r="J107" i="6"/>
  <c r="S106" i="6"/>
  <c r="R106" i="6"/>
  <c r="Q106" i="6"/>
  <c r="P106" i="6"/>
  <c r="L106" i="6"/>
  <c r="K106" i="6"/>
  <c r="O106" i="6" s="1"/>
  <c r="J106" i="6"/>
  <c r="N106" i="6" s="1"/>
  <c r="S105" i="6"/>
  <c r="R105" i="6"/>
  <c r="Q105" i="6"/>
  <c r="P105" i="6"/>
  <c r="L105" i="6"/>
  <c r="K105" i="6"/>
  <c r="O105" i="6" s="1"/>
  <c r="J105" i="6"/>
  <c r="N105" i="6" s="1"/>
  <c r="S104" i="6"/>
  <c r="R104" i="6"/>
  <c r="Q104" i="6"/>
  <c r="P104" i="6"/>
  <c r="L104" i="6"/>
  <c r="K104" i="6"/>
  <c r="O104" i="6" s="1"/>
  <c r="J104" i="6"/>
  <c r="N104" i="6" s="1"/>
  <c r="S103" i="6"/>
  <c r="R103" i="6"/>
  <c r="Q103" i="6"/>
  <c r="P103" i="6"/>
  <c r="L103" i="6"/>
  <c r="K103" i="6"/>
  <c r="O103" i="6" s="1"/>
  <c r="J103" i="6"/>
  <c r="N103" i="6" s="1"/>
  <c r="S102" i="6"/>
  <c r="R102" i="6"/>
  <c r="Q102" i="6"/>
  <c r="P102" i="6"/>
  <c r="L102" i="6"/>
  <c r="K102" i="6"/>
  <c r="O102" i="6" s="1"/>
  <c r="J102" i="6"/>
  <c r="N102" i="6" s="1"/>
  <c r="S101" i="6"/>
  <c r="R101" i="6"/>
  <c r="Q101" i="6"/>
  <c r="P101" i="6"/>
  <c r="N101" i="6"/>
  <c r="L101" i="6"/>
  <c r="K101" i="6"/>
  <c r="O101" i="6" s="1"/>
  <c r="J101" i="6"/>
  <c r="S100" i="6"/>
  <c r="R100" i="6"/>
  <c r="Q100" i="6"/>
  <c r="P100" i="6"/>
  <c r="L100" i="6"/>
  <c r="K100" i="6"/>
  <c r="O100" i="6" s="1"/>
  <c r="J100" i="6"/>
  <c r="N100" i="6" s="1"/>
  <c r="S99" i="6"/>
  <c r="R99" i="6"/>
  <c r="Q99" i="6"/>
  <c r="P99" i="6"/>
  <c r="L99" i="6"/>
  <c r="K99" i="6"/>
  <c r="O99" i="6" s="1"/>
  <c r="J99" i="6"/>
  <c r="N99" i="6" s="1"/>
  <c r="S98" i="6"/>
  <c r="R98" i="6"/>
  <c r="Q98" i="6"/>
  <c r="P98" i="6"/>
  <c r="L98" i="6"/>
  <c r="K98" i="6"/>
  <c r="O98" i="6" s="1"/>
  <c r="J98" i="6"/>
  <c r="N98" i="6" s="1"/>
  <c r="S97" i="6"/>
  <c r="R97" i="6"/>
  <c r="Q97" i="6"/>
  <c r="P97" i="6"/>
  <c r="L97" i="6"/>
  <c r="K97" i="6"/>
  <c r="O97" i="6" s="1"/>
  <c r="J97" i="6"/>
  <c r="N97" i="6" s="1"/>
  <c r="S96" i="6"/>
  <c r="R96" i="6"/>
  <c r="Q96" i="6"/>
  <c r="P96" i="6"/>
  <c r="L96" i="6"/>
  <c r="K96" i="6"/>
  <c r="O96" i="6" s="1"/>
  <c r="J96" i="6"/>
  <c r="N96" i="6" s="1"/>
  <c r="S95" i="6"/>
  <c r="R95" i="6"/>
  <c r="Q95" i="6"/>
  <c r="P95" i="6"/>
  <c r="N95" i="6"/>
  <c r="L95" i="6"/>
  <c r="K95" i="6"/>
  <c r="O95" i="6" s="1"/>
  <c r="J95" i="6"/>
  <c r="S94" i="6"/>
  <c r="R94" i="6"/>
  <c r="Q94" i="6"/>
  <c r="P94" i="6"/>
  <c r="N94" i="6"/>
  <c r="L94" i="6"/>
  <c r="K94" i="6"/>
  <c r="O94" i="6" s="1"/>
  <c r="J94" i="6"/>
  <c r="S93" i="6"/>
  <c r="R93" i="6"/>
  <c r="Q93" i="6"/>
  <c r="P93" i="6"/>
  <c r="O93" i="6"/>
  <c r="L93" i="6"/>
  <c r="K93" i="6"/>
  <c r="J93" i="6"/>
  <c r="N93" i="6" s="1"/>
  <c r="S92" i="6"/>
  <c r="R92" i="6"/>
  <c r="Q92" i="6"/>
  <c r="P92" i="6"/>
  <c r="L92" i="6"/>
  <c r="K92" i="6"/>
  <c r="O92" i="6" s="1"/>
  <c r="J92" i="6"/>
  <c r="N92" i="6" s="1"/>
  <c r="S91" i="6"/>
  <c r="R91" i="6"/>
  <c r="Q91" i="6"/>
  <c r="P91" i="6"/>
  <c r="L91" i="6"/>
  <c r="K91" i="6"/>
  <c r="O91" i="6" s="1"/>
  <c r="J91" i="6"/>
  <c r="N91" i="6" s="1"/>
  <c r="S90" i="6"/>
  <c r="R90" i="6"/>
  <c r="Q90" i="6"/>
  <c r="P90" i="6"/>
  <c r="L90" i="6"/>
  <c r="K90" i="6"/>
  <c r="O90" i="6" s="1"/>
  <c r="J90" i="6"/>
  <c r="N90" i="6" s="1"/>
  <c r="S89" i="6"/>
  <c r="R89" i="6"/>
  <c r="Q89" i="6"/>
  <c r="P89" i="6"/>
  <c r="L89" i="6"/>
  <c r="K89" i="6"/>
  <c r="O89" i="6" s="1"/>
  <c r="J89" i="6"/>
  <c r="N89" i="6" s="1"/>
  <c r="S88" i="6"/>
  <c r="R88" i="6"/>
  <c r="Q88" i="6"/>
  <c r="P88" i="6"/>
  <c r="L88" i="6"/>
  <c r="K88" i="6"/>
  <c r="O88" i="6" s="1"/>
  <c r="J88" i="6"/>
  <c r="N88" i="6" s="1"/>
  <c r="S87" i="6"/>
  <c r="R87" i="6"/>
  <c r="Q87" i="6"/>
  <c r="P87" i="6"/>
  <c r="L87" i="6"/>
  <c r="K87" i="6"/>
  <c r="O87" i="6" s="1"/>
  <c r="J87" i="6"/>
  <c r="N87" i="6" s="1"/>
  <c r="S86" i="6"/>
  <c r="R86" i="6"/>
  <c r="Q86" i="6"/>
  <c r="P86" i="6"/>
  <c r="L86" i="6"/>
  <c r="K86" i="6"/>
  <c r="O86" i="6" s="1"/>
  <c r="J86" i="6"/>
  <c r="N86" i="6" s="1"/>
  <c r="S85" i="6"/>
  <c r="R85" i="6"/>
  <c r="Q85" i="6"/>
  <c r="P85" i="6"/>
  <c r="L85" i="6"/>
  <c r="K85" i="6"/>
  <c r="O85" i="6" s="1"/>
  <c r="J85" i="6"/>
  <c r="N85" i="6" s="1"/>
  <c r="S84" i="6"/>
  <c r="R84" i="6"/>
  <c r="Q84" i="6"/>
  <c r="P84" i="6"/>
  <c r="L84" i="6"/>
  <c r="K84" i="6"/>
  <c r="O84" i="6" s="1"/>
  <c r="J84" i="6"/>
  <c r="N84" i="6" s="1"/>
  <c r="S83" i="6"/>
  <c r="R83" i="6"/>
  <c r="Q83" i="6"/>
  <c r="P83" i="6"/>
  <c r="L83" i="6"/>
  <c r="K83" i="6"/>
  <c r="O83" i="6" s="1"/>
  <c r="J83" i="6"/>
  <c r="N83" i="6" s="1"/>
  <c r="S82" i="6"/>
  <c r="R82" i="6"/>
  <c r="Q82" i="6"/>
  <c r="P82" i="6"/>
  <c r="L82" i="6"/>
  <c r="K82" i="6"/>
  <c r="O82" i="6" s="1"/>
  <c r="J82" i="6"/>
  <c r="N82" i="6" s="1"/>
  <c r="S81" i="6"/>
  <c r="R81" i="6"/>
  <c r="Q81" i="6"/>
  <c r="P81" i="6"/>
  <c r="L81" i="6"/>
  <c r="K81" i="6"/>
  <c r="O81" i="6" s="1"/>
  <c r="J81" i="6"/>
  <c r="N81" i="6" s="1"/>
  <c r="S80" i="6"/>
  <c r="R80" i="6"/>
  <c r="Q80" i="6"/>
  <c r="P80" i="6"/>
  <c r="L80" i="6"/>
  <c r="K80" i="6"/>
  <c r="O80" i="6" s="1"/>
  <c r="J80" i="6"/>
  <c r="N80" i="6" s="1"/>
  <c r="S79" i="6"/>
  <c r="R79" i="6"/>
  <c r="Q79" i="6"/>
  <c r="P79" i="6"/>
  <c r="N79" i="6"/>
  <c r="L79" i="6"/>
  <c r="K79" i="6"/>
  <c r="O79" i="6" s="1"/>
  <c r="J79" i="6"/>
  <c r="S78" i="6"/>
  <c r="R78" i="6"/>
  <c r="Q78" i="6"/>
  <c r="P78" i="6"/>
  <c r="N78" i="6"/>
  <c r="L78" i="6"/>
  <c r="K78" i="6"/>
  <c r="O78" i="6" s="1"/>
  <c r="J78" i="6"/>
  <c r="S77" i="6"/>
  <c r="R77" i="6"/>
  <c r="Q77" i="6"/>
  <c r="P77" i="6"/>
  <c r="L77" i="6"/>
  <c r="K77" i="6"/>
  <c r="O77" i="6" s="1"/>
  <c r="J77" i="6"/>
  <c r="N77" i="6" s="1"/>
  <c r="S76" i="6"/>
  <c r="R76" i="6"/>
  <c r="Q76" i="6"/>
  <c r="P76" i="6"/>
  <c r="L76" i="6"/>
  <c r="K76" i="6"/>
  <c r="O76" i="6" s="1"/>
  <c r="J76" i="6"/>
  <c r="N76" i="6" s="1"/>
  <c r="S75" i="6"/>
  <c r="R75" i="6"/>
  <c r="Q75" i="6"/>
  <c r="P75" i="6"/>
  <c r="N75" i="6"/>
  <c r="L75" i="6"/>
  <c r="K75" i="6"/>
  <c r="O75" i="6" s="1"/>
  <c r="J75" i="6"/>
  <c r="S74" i="6"/>
  <c r="R74" i="6"/>
  <c r="Q74" i="6"/>
  <c r="P74" i="6"/>
  <c r="L74" i="6"/>
  <c r="K74" i="6"/>
  <c r="O74" i="6" s="1"/>
  <c r="J74" i="6"/>
  <c r="N74" i="6" s="1"/>
  <c r="S73" i="6"/>
  <c r="R73" i="6"/>
  <c r="Q73" i="6"/>
  <c r="P73" i="6"/>
  <c r="L73" i="6"/>
  <c r="K73" i="6"/>
  <c r="O73" i="6" s="1"/>
  <c r="J73" i="6"/>
  <c r="N73" i="6" s="1"/>
  <c r="S72" i="6"/>
  <c r="R72" i="6"/>
  <c r="Q72" i="6"/>
  <c r="P72" i="6"/>
  <c r="L72" i="6"/>
  <c r="K72" i="6"/>
  <c r="O72" i="6" s="1"/>
  <c r="J72" i="6"/>
  <c r="N72" i="6" s="1"/>
  <c r="S71" i="6"/>
  <c r="R71" i="6"/>
  <c r="Q71" i="6"/>
  <c r="P71" i="6"/>
  <c r="L71" i="6"/>
  <c r="K71" i="6"/>
  <c r="O71" i="6" s="1"/>
  <c r="J71" i="6"/>
  <c r="N71" i="6" s="1"/>
  <c r="S70" i="6"/>
  <c r="R70" i="6"/>
  <c r="Q70" i="6"/>
  <c r="P70" i="6"/>
  <c r="L70" i="6"/>
  <c r="K70" i="6"/>
  <c r="O70" i="6" s="1"/>
  <c r="J70" i="6"/>
  <c r="N70" i="6" s="1"/>
  <c r="S69" i="6"/>
  <c r="R69" i="6"/>
  <c r="Q69" i="6"/>
  <c r="P69" i="6"/>
  <c r="N69" i="6"/>
  <c r="L69" i="6"/>
  <c r="K69" i="6"/>
  <c r="O69" i="6" s="1"/>
  <c r="J69" i="6"/>
  <c r="S68" i="6"/>
  <c r="R68" i="6"/>
  <c r="Q68" i="6"/>
  <c r="P68" i="6"/>
  <c r="L68" i="6"/>
  <c r="K68" i="6"/>
  <c r="O68" i="6" s="1"/>
  <c r="J68" i="6"/>
  <c r="N68" i="6" s="1"/>
  <c r="S67" i="6"/>
  <c r="R67" i="6"/>
  <c r="Q67" i="6"/>
  <c r="P67" i="6"/>
  <c r="L67" i="6"/>
  <c r="K67" i="6"/>
  <c r="O67" i="6" s="1"/>
  <c r="J67" i="6"/>
  <c r="N67" i="6" s="1"/>
  <c r="S66" i="6"/>
  <c r="R66" i="6"/>
  <c r="Q66" i="6"/>
  <c r="P66" i="6"/>
  <c r="L66" i="6"/>
  <c r="K66" i="6"/>
  <c r="O66" i="6" s="1"/>
  <c r="J66" i="6"/>
  <c r="N66" i="6" s="1"/>
  <c r="S65" i="6"/>
  <c r="R65" i="6"/>
  <c r="Q65" i="6"/>
  <c r="P65" i="6"/>
  <c r="L65" i="6"/>
  <c r="K65" i="6"/>
  <c r="O65" i="6" s="1"/>
  <c r="J65" i="6"/>
  <c r="N65" i="6" s="1"/>
  <c r="S64" i="6"/>
  <c r="R64" i="6"/>
  <c r="Q64" i="6"/>
  <c r="P64" i="6"/>
  <c r="L64" i="6"/>
  <c r="K64" i="6"/>
  <c r="O64" i="6" s="1"/>
  <c r="J64" i="6"/>
  <c r="N64" i="6" s="1"/>
  <c r="S63" i="6"/>
  <c r="R63" i="6"/>
  <c r="Q63" i="6"/>
  <c r="P63" i="6"/>
  <c r="N63" i="6"/>
  <c r="L63" i="6"/>
  <c r="K63" i="6"/>
  <c r="O63" i="6" s="1"/>
  <c r="J63" i="6"/>
  <c r="S62" i="6"/>
  <c r="R62" i="6"/>
  <c r="Q62" i="6"/>
  <c r="P62" i="6"/>
  <c r="N62" i="6"/>
  <c r="L62" i="6"/>
  <c r="K62" i="6"/>
  <c r="O62" i="6" s="1"/>
  <c r="J62" i="6"/>
  <c r="S61" i="6"/>
  <c r="R61" i="6"/>
  <c r="Q61" i="6"/>
  <c r="P61" i="6"/>
  <c r="L61" i="6"/>
  <c r="K61" i="6"/>
  <c r="O61" i="6" s="1"/>
  <c r="J61" i="6"/>
  <c r="N61" i="6" s="1"/>
  <c r="S60" i="6"/>
  <c r="R60" i="6"/>
  <c r="Q60" i="6"/>
  <c r="P60" i="6"/>
  <c r="L60" i="6"/>
  <c r="K60" i="6"/>
  <c r="O60" i="6" s="1"/>
  <c r="J60" i="6"/>
  <c r="N60" i="6" s="1"/>
  <c r="S59" i="6"/>
  <c r="R59" i="6"/>
  <c r="Q59" i="6"/>
  <c r="P59" i="6"/>
  <c r="L59" i="6"/>
  <c r="K59" i="6"/>
  <c r="O59" i="6" s="1"/>
  <c r="J59" i="6"/>
  <c r="N59" i="6" s="1"/>
  <c r="S58" i="6"/>
  <c r="R58" i="6"/>
  <c r="Q58" i="6"/>
  <c r="P58" i="6"/>
  <c r="L58" i="6"/>
  <c r="K58" i="6"/>
  <c r="O58" i="6" s="1"/>
  <c r="J58" i="6"/>
  <c r="N58" i="6" s="1"/>
  <c r="S57" i="6"/>
  <c r="R57" i="6"/>
  <c r="Q57" i="6"/>
  <c r="P57" i="6"/>
  <c r="O57" i="6"/>
  <c r="L57" i="6"/>
  <c r="K57" i="6"/>
  <c r="J57" i="6"/>
  <c r="N57" i="6" s="1"/>
  <c r="S56" i="6"/>
  <c r="R56" i="6"/>
  <c r="Q56" i="6"/>
  <c r="P56" i="6"/>
  <c r="L56" i="6"/>
  <c r="K56" i="6"/>
  <c r="O56" i="6" s="1"/>
  <c r="J56" i="6"/>
  <c r="N56" i="6" s="1"/>
  <c r="S55" i="6"/>
  <c r="R55" i="6"/>
  <c r="Q55" i="6"/>
  <c r="P55" i="6"/>
  <c r="N55" i="6"/>
  <c r="L55" i="6"/>
  <c r="K55" i="6"/>
  <c r="O55" i="6" s="1"/>
  <c r="J55" i="6"/>
  <c r="S54" i="6"/>
  <c r="R54" i="6"/>
  <c r="Q54" i="6"/>
  <c r="P54" i="6"/>
  <c r="N54" i="6"/>
  <c r="L54" i="6"/>
  <c r="K54" i="6"/>
  <c r="O54" i="6" s="1"/>
  <c r="J54" i="6"/>
  <c r="S53" i="6"/>
  <c r="R53" i="6"/>
  <c r="Q53" i="6"/>
  <c r="P53" i="6"/>
  <c r="L53" i="6"/>
  <c r="K53" i="6"/>
  <c r="O53" i="6" s="1"/>
  <c r="J53" i="6"/>
  <c r="N53" i="6" s="1"/>
  <c r="S52" i="6"/>
  <c r="R52" i="6"/>
  <c r="Q52" i="6"/>
  <c r="P52" i="6"/>
  <c r="L52" i="6"/>
  <c r="K52" i="6"/>
  <c r="O52" i="6" s="1"/>
  <c r="J52" i="6"/>
  <c r="N52" i="6" s="1"/>
  <c r="S51" i="6"/>
  <c r="R51" i="6"/>
  <c r="Q51" i="6"/>
  <c r="P51" i="6"/>
  <c r="L51" i="6"/>
  <c r="K51" i="6"/>
  <c r="O51" i="6" s="1"/>
  <c r="J51" i="6"/>
  <c r="N51" i="6" s="1"/>
  <c r="S50" i="6"/>
  <c r="R50" i="6"/>
  <c r="Q50" i="6"/>
  <c r="P50" i="6"/>
  <c r="L50" i="6"/>
  <c r="K50" i="6"/>
  <c r="O50" i="6" s="1"/>
  <c r="J50" i="6"/>
  <c r="N50" i="6" s="1"/>
  <c r="S49" i="6"/>
  <c r="R49" i="6"/>
  <c r="Q49" i="6"/>
  <c r="P49" i="6"/>
  <c r="O49" i="6"/>
  <c r="L49" i="6"/>
  <c r="K49" i="6"/>
  <c r="J49" i="6"/>
  <c r="N49" i="6" s="1"/>
  <c r="S48" i="6"/>
  <c r="R48" i="6"/>
  <c r="Q48" i="6"/>
  <c r="P48" i="6"/>
  <c r="L48" i="6"/>
  <c r="K48" i="6"/>
  <c r="O48" i="6" s="1"/>
  <c r="J48" i="6"/>
  <c r="N48" i="6" s="1"/>
  <c r="S47" i="6"/>
  <c r="R47" i="6"/>
  <c r="Q47" i="6"/>
  <c r="P47" i="6"/>
  <c r="N47" i="6"/>
  <c r="L47" i="6"/>
  <c r="K47" i="6"/>
  <c r="O47" i="6" s="1"/>
  <c r="J47" i="6"/>
  <c r="S46" i="6"/>
  <c r="R46" i="6"/>
  <c r="Q46" i="6"/>
  <c r="P46" i="6"/>
  <c r="N46" i="6"/>
  <c r="L46" i="6"/>
  <c r="K46" i="6"/>
  <c r="O46" i="6" s="1"/>
  <c r="J46" i="6"/>
  <c r="S45" i="6"/>
  <c r="R45" i="6"/>
  <c r="Q45" i="6"/>
  <c r="P45" i="6"/>
  <c r="L45" i="6"/>
  <c r="K45" i="6"/>
  <c r="O45" i="6" s="1"/>
  <c r="J45" i="6"/>
  <c r="N45" i="6" s="1"/>
  <c r="S44" i="6"/>
  <c r="R44" i="6"/>
  <c r="Q44" i="6"/>
  <c r="P44" i="6"/>
  <c r="L44" i="6"/>
  <c r="K44" i="6"/>
  <c r="O44" i="6" s="1"/>
  <c r="J44" i="6"/>
  <c r="N44" i="6" s="1"/>
  <c r="S43" i="6"/>
  <c r="R43" i="6"/>
  <c r="Q43" i="6"/>
  <c r="P43" i="6"/>
  <c r="L43" i="6"/>
  <c r="K43" i="6"/>
  <c r="O43" i="6" s="1"/>
  <c r="J43" i="6"/>
  <c r="N43" i="6" s="1"/>
  <c r="S42" i="6"/>
  <c r="R42" i="6"/>
  <c r="Q42" i="6"/>
  <c r="P42" i="6"/>
  <c r="L42" i="6"/>
  <c r="K42" i="6"/>
  <c r="O42" i="6" s="1"/>
  <c r="J42" i="6"/>
  <c r="N42" i="6" s="1"/>
  <c r="S41" i="6"/>
  <c r="R41" i="6"/>
  <c r="Q41" i="6"/>
  <c r="P41" i="6"/>
  <c r="O41" i="6"/>
  <c r="L41" i="6"/>
  <c r="K41" i="6"/>
  <c r="J41" i="6"/>
  <c r="N41" i="6" s="1"/>
  <c r="S40" i="6"/>
  <c r="R40" i="6"/>
  <c r="Q40" i="6"/>
  <c r="P40" i="6"/>
  <c r="L40" i="6"/>
  <c r="K40" i="6"/>
  <c r="O40" i="6" s="1"/>
  <c r="J40" i="6"/>
  <c r="N40" i="6" s="1"/>
  <c r="S39" i="6"/>
  <c r="R39" i="6"/>
  <c r="Q39" i="6"/>
  <c r="P39" i="6"/>
  <c r="L39" i="6"/>
  <c r="K39" i="6"/>
  <c r="O39" i="6" s="1"/>
  <c r="J39" i="6"/>
  <c r="N39" i="6" s="1"/>
  <c r="S38" i="6"/>
  <c r="R38" i="6"/>
  <c r="Q38" i="6"/>
  <c r="P38" i="6"/>
  <c r="L38" i="6"/>
  <c r="K38" i="6"/>
  <c r="O38" i="6" s="1"/>
  <c r="J38" i="6"/>
  <c r="N38" i="6" s="1"/>
  <c r="S37" i="6"/>
  <c r="R37" i="6"/>
  <c r="Q37" i="6"/>
  <c r="P37" i="6"/>
  <c r="O37" i="6"/>
  <c r="L37" i="6"/>
  <c r="K37" i="6"/>
  <c r="J37" i="6"/>
  <c r="N37" i="6" s="1"/>
  <c r="S36" i="6"/>
  <c r="R36" i="6"/>
  <c r="Q36" i="6"/>
  <c r="P36" i="6"/>
  <c r="L36" i="6"/>
  <c r="K36" i="6"/>
  <c r="O36" i="6" s="1"/>
  <c r="J36" i="6"/>
  <c r="N36" i="6" s="1"/>
  <c r="S35" i="6"/>
  <c r="R35" i="6"/>
  <c r="Q35" i="6"/>
  <c r="P35" i="6"/>
  <c r="N35" i="6"/>
  <c r="L35" i="6"/>
  <c r="K35" i="6"/>
  <c r="O35" i="6" s="1"/>
  <c r="J35" i="6"/>
  <c r="S34" i="6"/>
  <c r="R34" i="6"/>
  <c r="Q34" i="6"/>
  <c r="P34" i="6"/>
  <c r="N34" i="6"/>
  <c r="L34" i="6"/>
  <c r="K34" i="6"/>
  <c r="O34" i="6" s="1"/>
  <c r="J34" i="6"/>
  <c r="S33" i="6"/>
  <c r="R33" i="6"/>
  <c r="Q33" i="6"/>
  <c r="P33" i="6"/>
  <c r="O33" i="6"/>
  <c r="L33" i="6"/>
  <c r="K33" i="6"/>
  <c r="J33" i="6"/>
  <c r="N33" i="6" s="1"/>
  <c r="S32" i="6"/>
  <c r="R32" i="6"/>
  <c r="Q32" i="6"/>
  <c r="P32" i="6"/>
  <c r="L32" i="6"/>
  <c r="K32" i="6"/>
  <c r="O32" i="6" s="1"/>
  <c r="J32" i="6"/>
  <c r="N32" i="6" s="1"/>
  <c r="S31" i="6"/>
  <c r="R31" i="6"/>
  <c r="Q31" i="6"/>
  <c r="P31" i="6"/>
  <c r="N31" i="6"/>
  <c r="L31" i="6"/>
  <c r="K31" i="6"/>
  <c r="O31" i="6" s="1"/>
  <c r="J31" i="6"/>
  <c r="S30" i="6"/>
  <c r="R30" i="6"/>
  <c r="Q30" i="6"/>
  <c r="P30" i="6"/>
  <c r="N30" i="6"/>
  <c r="L30" i="6"/>
  <c r="K30" i="6"/>
  <c r="O30" i="6" s="1"/>
  <c r="J30" i="6"/>
  <c r="S29" i="6"/>
  <c r="R29" i="6"/>
  <c r="Q29" i="6"/>
  <c r="P29" i="6"/>
  <c r="L29" i="6"/>
  <c r="K29" i="6"/>
  <c r="O29" i="6" s="1"/>
  <c r="J29" i="6"/>
  <c r="N29" i="6" s="1"/>
  <c r="S28" i="6"/>
  <c r="R28" i="6"/>
  <c r="Q28" i="6"/>
  <c r="P28" i="6"/>
  <c r="L28" i="6"/>
  <c r="K28" i="6"/>
  <c r="O28" i="6" s="1"/>
  <c r="J28" i="6"/>
  <c r="N28" i="6" s="1"/>
  <c r="S27" i="6"/>
  <c r="R27" i="6"/>
  <c r="Q27" i="6"/>
  <c r="P27" i="6"/>
  <c r="L27" i="6"/>
  <c r="K27" i="6"/>
  <c r="O27" i="6" s="1"/>
  <c r="J27" i="6"/>
  <c r="N27" i="6" s="1"/>
  <c r="S26" i="6"/>
  <c r="R26" i="6"/>
  <c r="Q26" i="6"/>
  <c r="P26" i="6"/>
  <c r="L26" i="6"/>
  <c r="K26" i="6"/>
  <c r="O26" i="6" s="1"/>
  <c r="J26" i="6"/>
  <c r="N26" i="6" s="1"/>
  <c r="S25" i="6"/>
  <c r="R25" i="6"/>
  <c r="Q25" i="6"/>
  <c r="P25" i="6"/>
  <c r="O25" i="6"/>
  <c r="L25" i="6"/>
  <c r="K25" i="6"/>
  <c r="J25" i="6"/>
  <c r="N25" i="6" s="1"/>
  <c r="S24" i="6"/>
  <c r="R24" i="6"/>
  <c r="Q24" i="6"/>
  <c r="P24" i="6"/>
  <c r="L24" i="6"/>
  <c r="K24" i="6"/>
  <c r="O24" i="6" s="1"/>
  <c r="J24" i="6"/>
  <c r="N24" i="6" s="1"/>
  <c r="S23" i="6"/>
  <c r="R23" i="6"/>
  <c r="Q23" i="6"/>
  <c r="P23" i="6"/>
  <c r="L23" i="6"/>
  <c r="K23" i="6"/>
  <c r="O23" i="6" s="1"/>
  <c r="J23" i="6"/>
  <c r="N23" i="6" s="1"/>
  <c r="S22" i="6"/>
  <c r="R22" i="6"/>
  <c r="Q22" i="6"/>
  <c r="P22" i="6"/>
  <c r="L22" i="6"/>
  <c r="K22" i="6"/>
  <c r="O22" i="6" s="1"/>
  <c r="J22" i="6"/>
  <c r="N22" i="6" s="1"/>
  <c r="S21" i="6"/>
  <c r="R21" i="6"/>
  <c r="Q21" i="6"/>
  <c r="P21" i="6"/>
  <c r="O21" i="6"/>
  <c r="L21" i="6"/>
  <c r="K21" i="6"/>
  <c r="J21" i="6"/>
  <c r="N21" i="6" s="1"/>
  <c r="S20" i="6"/>
  <c r="R20" i="6"/>
  <c r="Q20" i="6"/>
  <c r="P20" i="6"/>
  <c r="L20" i="6"/>
  <c r="K20" i="6"/>
  <c r="O20" i="6" s="1"/>
  <c r="J20" i="6"/>
  <c r="N20" i="6" s="1"/>
  <c r="S19" i="6"/>
  <c r="R19" i="6"/>
  <c r="Q19" i="6"/>
  <c r="P19" i="6"/>
  <c r="L19" i="6"/>
  <c r="K19" i="6"/>
  <c r="O19" i="6" s="1"/>
  <c r="J19" i="6"/>
  <c r="N19" i="6" s="1"/>
  <c r="S18" i="6"/>
  <c r="R18" i="6"/>
  <c r="Q18" i="6"/>
  <c r="P18" i="6"/>
  <c r="L18" i="6"/>
  <c r="K18" i="6"/>
  <c r="O18" i="6" s="1"/>
  <c r="J18" i="6"/>
  <c r="N18" i="6" s="1"/>
  <c r="S17" i="6"/>
  <c r="R17" i="6"/>
  <c r="Q17" i="6"/>
  <c r="P17" i="6"/>
  <c r="L17" i="6"/>
  <c r="K17" i="6"/>
  <c r="O17" i="6" s="1"/>
  <c r="J17" i="6"/>
  <c r="N17" i="6" s="1"/>
  <c r="S16" i="6"/>
  <c r="R16" i="6"/>
  <c r="Q16" i="6"/>
  <c r="P16" i="6"/>
  <c r="L16" i="6"/>
  <c r="K16" i="6"/>
  <c r="O16" i="6" s="1"/>
  <c r="J16" i="6"/>
  <c r="N16" i="6" s="1"/>
  <c r="S15" i="6"/>
  <c r="R15" i="6"/>
  <c r="Q15" i="6"/>
  <c r="P15" i="6"/>
  <c r="N15" i="6"/>
  <c r="L15" i="6"/>
  <c r="K15" i="6"/>
  <c r="O15" i="6" s="1"/>
  <c r="J15" i="6"/>
  <c r="S14" i="6"/>
  <c r="R14" i="6"/>
  <c r="Q14" i="6"/>
  <c r="P14" i="6"/>
  <c r="N14" i="6"/>
  <c r="L14" i="6"/>
  <c r="K14" i="6"/>
  <c r="O14" i="6" s="1"/>
  <c r="J14" i="6"/>
  <c r="S13" i="6"/>
  <c r="R13" i="6"/>
  <c r="Q13" i="6"/>
  <c r="P13" i="6"/>
  <c r="O13" i="6"/>
  <c r="L13" i="6"/>
  <c r="K13" i="6"/>
  <c r="J13" i="6"/>
  <c r="N13" i="6" s="1"/>
  <c r="S12" i="6"/>
  <c r="R12" i="6"/>
  <c r="Q12" i="6"/>
  <c r="P12" i="6"/>
  <c r="L12" i="6"/>
  <c r="K12" i="6"/>
  <c r="O12" i="6" s="1"/>
  <c r="J12" i="6"/>
  <c r="N12" i="6" s="1"/>
  <c r="S11" i="6"/>
  <c r="R11" i="6"/>
  <c r="Q11" i="6"/>
  <c r="P11" i="6"/>
  <c r="N11" i="6"/>
  <c r="L11" i="6"/>
  <c r="K11" i="6"/>
  <c r="O11" i="6" s="1"/>
  <c r="J11" i="6"/>
  <c r="S10" i="6"/>
  <c r="R10" i="6"/>
  <c r="Q10" i="6"/>
  <c r="P10" i="6"/>
  <c r="N10" i="6"/>
  <c r="L10" i="6"/>
  <c r="K10" i="6"/>
  <c r="O10" i="6" s="1"/>
  <c r="J10" i="6"/>
  <c r="S9" i="6"/>
  <c r="R9" i="6"/>
  <c r="Q9" i="6"/>
  <c r="P9" i="6"/>
  <c r="O9" i="6"/>
  <c r="L9" i="6"/>
  <c r="K9" i="6"/>
  <c r="J9" i="6"/>
  <c r="N9" i="6" s="1"/>
  <c r="S8" i="6"/>
  <c r="R8" i="6"/>
  <c r="Q8" i="6"/>
  <c r="P8" i="6"/>
  <c r="L8" i="6"/>
  <c r="K8" i="6"/>
  <c r="O8" i="6" s="1"/>
  <c r="J8" i="6"/>
  <c r="N8" i="6" s="1"/>
  <c r="S7" i="6"/>
  <c r="R7" i="6"/>
  <c r="Q7" i="6"/>
  <c r="P7" i="6"/>
  <c r="L7" i="6"/>
  <c r="K7" i="6"/>
  <c r="O7" i="6" s="1"/>
  <c r="J7" i="6"/>
  <c r="N7" i="6" s="1"/>
  <c r="B19" i="5"/>
  <c r="C19" i="5" s="1"/>
  <c r="B18" i="5"/>
  <c r="C18" i="5" s="1"/>
  <c r="B17" i="5"/>
  <c r="C17" i="5" s="1"/>
  <c r="B13" i="5"/>
  <c r="C13" i="5" s="1"/>
  <c r="C12" i="5"/>
  <c r="B12" i="5"/>
  <c r="B11" i="5"/>
  <c r="C11" i="5" s="1"/>
  <c r="C10" i="5"/>
  <c r="B10" i="5"/>
  <c r="B8" i="5"/>
  <c r="C8" i="5" s="1"/>
  <c r="B7" i="5"/>
  <c r="C7" i="5" s="1"/>
  <c r="C6" i="5"/>
  <c r="B6" i="5"/>
  <c r="A2" i="5"/>
  <c r="Y15" i="4"/>
  <c r="X15" i="4"/>
  <c r="W15" i="4"/>
  <c r="V15" i="4"/>
  <c r="U15" i="4"/>
  <c r="T15" i="4"/>
  <c r="S15" i="4"/>
  <c r="R15" i="4"/>
  <c r="Q15" i="4"/>
  <c r="Y14" i="4"/>
  <c r="X14" i="4"/>
  <c r="W14" i="4"/>
  <c r="V14" i="4"/>
  <c r="U14" i="4"/>
  <c r="T14" i="4"/>
  <c r="S14" i="4"/>
  <c r="R14" i="4"/>
  <c r="Q14" i="4"/>
  <c r="Y13" i="4"/>
  <c r="X13" i="4"/>
  <c r="W13" i="4"/>
  <c r="V13" i="4"/>
  <c r="U13" i="4"/>
  <c r="T13" i="4"/>
  <c r="S13" i="4"/>
  <c r="R13" i="4"/>
  <c r="Q13" i="4"/>
  <c r="Y12" i="4"/>
  <c r="X12" i="4"/>
  <c r="W12" i="4"/>
  <c r="V12" i="4"/>
  <c r="U12" i="4"/>
  <c r="T12" i="4"/>
  <c r="S12" i="4"/>
  <c r="R12" i="4"/>
  <c r="Q12" i="4"/>
  <c r="Y11" i="4"/>
  <c r="X11" i="4"/>
  <c r="W11" i="4"/>
  <c r="V11" i="4"/>
  <c r="U11" i="4"/>
  <c r="T11" i="4"/>
  <c r="S11" i="4"/>
  <c r="R11" i="4"/>
  <c r="Q11" i="4"/>
  <c r="Y10" i="4"/>
  <c r="X10" i="4"/>
  <c r="W10" i="4"/>
  <c r="V10" i="4"/>
  <c r="U10" i="4"/>
  <c r="T10" i="4"/>
  <c r="S10" i="4"/>
  <c r="R10" i="4"/>
  <c r="Q10" i="4"/>
  <c r="Y9" i="4"/>
  <c r="X9" i="4"/>
  <c r="W9" i="4"/>
  <c r="V9" i="4"/>
  <c r="U9" i="4"/>
  <c r="T9" i="4"/>
  <c r="S9" i="4"/>
  <c r="R9" i="4"/>
  <c r="Q9" i="4"/>
  <c r="Y8" i="4"/>
  <c r="X8" i="4"/>
  <c r="W8" i="4"/>
  <c r="V8" i="4"/>
  <c r="U8" i="4"/>
  <c r="T8" i="4"/>
  <c r="S8" i="4"/>
  <c r="R8" i="4"/>
  <c r="Q8" i="4"/>
  <c r="Y7" i="4"/>
  <c r="X7" i="4"/>
  <c r="W7" i="4"/>
  <c r="V7" i="4"/>
  <c r="U7" i="4"/>
  <c r="T7" i="4"/>
  <c r="S7" i="4"/>
  <c r="R7" i="4"/>
  <c r="Q7" i="4"/>
  <c r="Y6" i="4"/>
  <c r="X6" i="4"/>
  <c r="W6" i="4"/>
  <c r="V6" i="4"/>
  <c r="U6" i="4"/>
  <c r="T6" i="4"/>
  <c r="S6" i="4"/>
  <c r="R6" i="4"/>
  <c r="Q6" i="4"/>
  <c r="Y5" i="4"/>
  <c r="X5" i="4"/>
  <c r="W5" i="4"/>
  <c r="V5" i="4"/>
  <c r="U5" i="4"/>
  <c r="T5" i="4"/>
  <c r="S5" i="4"/>
  <c r="R5" i="4"/>
  <c r="Q5" i="4"/>
  <c r="Y4" i="4"/>
  <c r="X4" i="4"/>
  <c r="W4" i="4"/>
  <c r="V4" i="4"/>
  <c r="U4" i="4"/>
  <c r="T4" i="4"/>
  <c r="S4" i="4"/>
  <c r="R4" i="4"/>
  <c r="Q4" i="4"/>
  <c r="C26" i="3"/>
  <c r="B26" i="3"/>
  <c r="C25" i="3"/>
  <c r="B25" i="3"/>
  <c r="B21" i="3"/>
  <c r="B20" i="3"/>
  <c r="C11" i="3"/>
  <c r="B11" i="3"/>
  <c r="C5" i="3"/>
  <c r="B5" i="3"/>
  <c r="D5" i="3" s="1"/>
  <c r="A2" i="3"/>
  <c r="E15" i="1"/>
  <c r="E14" i="1"/>
  <c r="E13" i="1"/>
  <c r="E12" i="1"/>
  <c r="E11" i="1"/>
  <c r="E10" i="1"/>
  <c r="E9" i="1"/>
  <c r="E8" i="1"/>
  <c r="E7" i="1"/>
  <c r="E6" i="1"/>
  <c r="E5" i="1"/>
  <c r="E4" i="1"/>
  <c r="K14" i="2"/>
  <c r="L14" i="2" s="1"/>
  <c r="I14" i="2"/>
  <c r="H14" i="2"/>
  <c r="G14" i="2"/>
  <c r="F14" i="2"/>
  <c r="E14" i="2"/>
  <c r="D14" i="2"/>
  <c r="C14" i="2"/>
  <c r="B14" i="2"/>
  <c r="J14" i="2" s="1"/>
  <c r="A14" i="2"/>
  <c r="M13" i="2"/>
  <c r="AA14" i="4" s="1"/>
  <c r="L13" i="2"/>
  <c r="Z14" i="4" s="1"/>
  <c r="K13" i="2"/>
  <c r="I13" i="2"/>
  <c r="H13" i="2"/>
  <c r="G13" i="2"/>
  <c r="F13" i="2"/>
  <c r="E13" i="2"/>
  <c r="D13" i="2"/>
  <c r="C13" i="2"/>
  <c r="B13" i="2"/>
  <c r="J13" i="2" s="1"/>
  <c r="A13" i="2"/>
  <c r="K12" i="2"/>
  <c r="L12" i="2" s="1"/>
  <c r="I12" i="2"/>
  <c r="H12" i="2"/>
  <c r="G12" i="2"/>
  <c r="F12" i="2"/>
  <c r="E12" i="2"/>
  <c r="D12" i="2"/>
  <c r="C12" i="2"/>
  <c r="B12" i="2"/>
  <c r="J12" i="2" s="1"/>
  <c r="A12" i="2"/>
  <c r="M11" i="2"/>
  <c r="AA12" i="4" s="1"/>
  <c r="L11" i="2"/>
  <c r="Z12" i="4" s="1"/>
  <c r="K11" i="2"/>
  <c r="I11" i="2"/>
  <c r="H11" i="2"/>
  <c r="G11" i="2"/>
  <c r="F11" i="2"/>
  <c r="E11" i="2"/>
  <c r="D11" i="2"/>
  <c r="C11" i="2"/>
  <c r="B11" i="2"/>
  <c r="J11" i="2" s="1"/>
  <c r="A11" i="2"/>
  <c r="K10" i="2"/>
  <c r="L10" i="2" s="1"/>
  <c r="I10" i="2"/>
  <c r="H10" i="2"/>
  <c r="G10" i="2"/>
  <c r="F10" i="2"/>
  <c r="E10" i="2"/>
  <c r="D10" i="2"/>
  <c r="C10" i="2"/>
  <c r="B10" i="2"/>
  <c r="J10" i="2" s="1"/>
  <c r="A10" i="2"/>
  <c r="K9" i="2"/>
  <c r="I9" i="2"/>
  <c r="C27" i="3" s="1"/>
  <c r="H9" i="2"/>
  <c r="B14" i="3" s="1"/>
  <c r="G9" i="2"/>
  <c r="F9" i="2"/>
  <c r="E9" i="2"/>
  <c r="D9" i="2"/>
  <c r="B9" i="2"/>
  <c r="J9" i="2" s="1"/>
  <c r="A9" i="2"/>
  <c r="K8" i="2"/>
  <c r="I8" i="2"/>
  <c r="C17" i="3" s="1"/>
  <c r="H8" i="2"/>
  <c r="C14" i="3" s="1"/>
  <c r="G8" i="2"/>
  <c r="F8" i="2"/>
  <c r="E8" i="2"/>
  <c r="D8" i="2"/>
  <c r="C8" i="2"/>
  <c r="B8" i="2"/>
  <c r="C8" i="3" s="1"/>
  <c r="A8" i="2"/>
  <c r="L7" i="2"/>
  <c r="Z8" i="4" s="1"/>
  <c r="K7" i="2"/>
  <c r="I7" i="2"/>
  <c r="H7" i="2"/>
  <c r="G7" i="2"/>
  <c r="F7" i="2"/>
  <c r="E7" i="2"/>
  <c r="D7" i="2"/>
  <c r="B7" i="2"/>
  <c r="C7" i="2" s="1"/>
  <c r="A7" i="2"/>
  <c r="K6" i="2"/>
  <c r="I6" i="2"/>
  <c r="H6" i="2"/>
  <c r="G6" i="2"/>
  <c r="F6" i="2"/>
  <c r="E6" i="2"/>
  <c r="D6" i="2"/>
  <c r="C6" i="2"/>
  <c r="B6" i="2"/>
  <c r="J6" i="2" s="1"/>
  <c r="A6" i="2"/>
  <c r="M5" i="2"/>
  <c r="N5" i="2" s="1"/>
  <c r="K5" i="2"/>
  <c r="I5" i="2"/>
  <c r="H5" i="2"/>
  <c r="G5" i="2"/>
  <c r="F5" i="2"/>
  <c r="E5" i="2"/>
  <c r="D5" i="2"/>
  <c r="B5" i="2"/>
  <c r="C5" i="2" s="1"/>
  <c r="A5" i="2"/>
  <c r="K4" i="2"/>
  <c r="I4" i="2"/>
  <c r="H4" i="2"/>
  <c r="G4" i="2"/>
  <c r="F4" i="2"/>
  <c r="E4" i="2"/>
  <c r="D4" i="2"/>
  <c r="C4" i="2"/>
  <c r="B4" i="2"/>
  <c r="J4" i="2" s="1"/>
  <c r="A4" i="2"/>
  <c r="K3" i="2"/>
  <c r="J3" i="2"/>
  <c r="I3" i="2"/>
  <c r="H3" i="2"/>
  <c r="G3" i="2"/>
  <c r="F3" i="2"/>
  <c r="E3" i="2"/>
  <c r="B3" i="2"/>
  <c r="C3" i="2" s="1"/>
  <c r="A3" i="2"/>
  <c r="N27" i="7" l="1"/>
  <c r="O32" i="7"/>
  <c r="N35" i="7"/>
  <c r="N51" i="7"/>
  <c r="N372" i="7"/>
  <c r="N378" i="7"/>
  <c r="N402" i="7"/>
  <c r="N408" i="7"/>
  <c r="O8" i="7"/>
  <c r="N11" i="7"/>
  <c r="O28" i="7"/>
  <c r="N43" i="7"/>
  <c r="N103" i="7"/>
  <c r="N405" i="7"/>
  <c r="N407" i="7"/>
  <c r="N417" i="7"/>
  <c r="N443" i="7"/>
  <c r="O474" i="7"/>
  <c r="N63" i="7"/>
  <c r="O22" i="7"/>
  <c r="O42" i="7"/>
  <c r="O63" i="7"/>
  <c r="N79" i="7"/>
  <c r="O91" i="7"/>
  <c r="N319" i="7"/>
  <c r="N421" i="7"/>
  <c r="N439" i="7"/>
  <c r="N449" i="7"/>
  <c r="N457" i="7"/>
  <c r="N465" i="7"/>
  <c r="N475" i="7"/>
  <c r="B27" i="3"/>
  <c r="B9" i="5"/>
  <c r="C9" i="5" s="1"/>
  <c r="D11" i="3"/>
  <c r="D14" i="3"/>
  <c r="E14" i="3" s="1"/>
  <c r="O418" i="7"/>
  <c r="O412" i="7"/>
  <c r="N347" i="7"/>
  <c r="N355" i="7"/>
  <c r="N363" i="7"/>
  <c r="N371" i="7"/>
  <c r="N409" i="7"/>
  <c r="N419" i="7"/>
  <c r="N466" i="7"/>
  <c r="L341" i="7"/>
  <c r="N412" i="7"/>
  <c r="N479" i="7"/>
  <c r="O269" i="7"/>
  <c r="O275" i="7"/>
  <c r="N300" i="7"/>
  <c r="O327" i="7"/>
  <c r="O347" i="7"/>
  <c r="O363" i="7"/>
  <c r="N368" i="7"/>
  <c r="O371" i="7"/>
  <c r="N418" i="7"/>
  <c r="O421" i="7"/>
  <c r="N432" i="7"/>
  <c r="N454" i="7"/>
  <c r="O457" i="7"/>
  <c r="N462" i="7"/>
  <c r="N470" i="7"/>
  <c r="N474" i="7"/>
  <c r="O379" i="7"/>
  <c r="N406" i="7"/>
  <c r="L378" i="7"/>
  <c r="O422" i="7"/>
  <c r="O454" i="7"/>
  <c r="O462" i="7"/>
  <c r="O479" i="7"/>
  <c r="N270" i="7"/>
  <c r="O287" i="7"/>
  <c r="O337" i="7"/>
  <c r="O345" i="7"/>
  <c r="O353" i="7"/>
  <c r="N374" i="7"/>
  <c r="N396" i="7"/>
  <c r="N404" i="7"/>
  <c r="N410" i="7"/>
  <c r="N416" i="7"/>
  <c r="N422" i="7"/>
  <c r="O433" i="7"/>
  <c r="N438" i="7"/>
  <c r="N452" i="7"/>
  <c r="N277" i="7"/>
  <c r="N305" i="7"/>
  <c r="N341" i="7"/>
  <c r="N377" i="7"/>
  <c r="N379" i="7"/>
  <c r="N387" i="7"/>
  <c r="L398" i="7"/>
  <c r="N401" i="7"/>
  <c r="O406" i="7"/>
  <c r="N411" i="7"/>
  <c r="N415" i="7"/>
  <c r="L422" i="7"/>
  <c r="L434" i="7"/>
  <c r="L479" i="7"/>
  <c r="L481" i="7"/>
  <c r="N252" i="7"/>
  <c r="O271" i="7"/>
  <c r="N414" i="7"/>
  <c r="O417" i="7"/>
  <c r="N444" i="7"/>
  <c r="N450" i="7"/>
  <c r="N478" i="7"/>
  <c r="H471" i="7"/>
  <c r="L4" i="2"/>
  <c r="Z5" i="4" s="1"/>
  <c r="M7" i="2"/>
  <c r="N7" i="2" s="1"/>
  <c r="AB8" i="4" s="1"/>
  <c r="H7" i="7"/>
  <c r="I7" i="7" s="1"/>
  <c r="J7" i="7" s="1"/>
  <c r="K7" i="7" s="1"/>
  <c r="H12" i="7"/>
  <c r="I12" i="7" s="1"/>
  <c r="J12" i="7" s="1"/>
  <c r="K12" i="7" s="1"/>
  <c r="O12" i="7" s="1"/>
  <c r="H16" i="7"/>
  <c r="I16" i="7" s="1"/>
  <c r="J16" i="7" s="1"/>
  <c r="K16" i="7" s="1"/>
  <c r="O16" i="7" s="1"/>
  <c r="H17" i="7"/>
  <c r="L17" i="7" s="1"/>
  <c r="H21" i="7"/>
  <c r="L21" i="7" s="1"/>
  <c r="H27" i="7"/>
  <c r="I27" i="7" s="1"/>
  <c r="J27" i="7" s="1"/>
  <c r="K27" i="7" s="1"/>
  <c r="O27" i="7" s="1"/>
  <c r="H31" i="7"/>
  <c r="I31" i="7" s="1"/>
  <c r="J31" i="7" s="1"/>
  <c r="K31" i="7" s="1"/>
  <c r="H36" i="7"/>
  <c r="I36" i="7" s="1"/>
  <c r="J36" i="7" s="1"/>
  <c r="K36" i="7" s="1"/>
  <c r="O36" i="7" s="1"/>
  <c r="H40" i="7"/>
  <c r="I40" i="7" s="1"/>
  <c r="J40" i="7" s="1"/>
  <c r="K40" i="7" s="1"/>
  <c r="O40" i="7" s="1"/>
  <c r="H41" i="7"/>
  <c r="L41" i="7" s="1"/>
  <c r="H45" i="7"/>
  <c r="L45" i="7" s="1"/>
  <c r="H50" i="7"/>
  <c r="I50" i="7" s="1"/>
  <c r="J50" i="7" s="1"/>
  <c r="K50" i="7" s="1"/>
  <c r="O50" i="7" s="1"/>
  <c r="H54" i="7"/>
  <c r="I54" i="7" s="1"/>
  <c r="J54" i="7" s="1"/>
  <c r="K54" i="7" s="1"/>
  <c r="O54" i="7" s="1"/>
  <c r="H58" i="7"/>
  <c r="I58" i="7" s="1"/>
  <c r="J58" i="7" s="1"/>
  <c r="K58" i="7" s="1"/>
  <c r="O58" i="7" s="1"/>
  <c r="H62" i="7"/>
  <c r="I62" i="7" s="1"/>
  <c r="J62" i="7" s="1"/>
  <c r="K62" i="7" s="1"/>
  <c r="H66" i="7"/>
  <c r="I66" i="7" s="1"/>
  <c r="J66" i="7" s="1"/>
  <c r="K66" i="7" s="1"/>
  <c r="H71" i="7"/>
  <c r="I71" i="7" s="1"/>
  <c r="J71" i="7" s="1"/>
  <c r="K71" i="7" s="1"/>
  <c r="O71" i="7" s="1"/>
  <c r="H76" i="7"/>
  <c r="I76" i="7" s="1"/>
  <c r="J76" i="7" s="1"/>
  <c r="K76" i="7" s="1"/>
  <c r="O76" i="7" s="1"/>
  <c r="H80" i="7"/>
  <c r="I80" i="7" s="1"/>
  <c r="J80" i="7" s="1"/>
  <c r="K80" i="7" s="1"/>
  <c r="H84" i="7"/>
  <c r="I84" i="7" s="1"/>
  <c r="J84" i="7" s="1"/>
  <c r="K84" i="7" s="1"/>
  <c r="H85" i="7"/>
  <c r="L85" i="7" s="1"/>
  <c r="H89" i="7"/>
  <c r="H90" i="7"/>
  <c r="I90" i="7" s="1"/>
  <c r="J90" i="7" s="1"/>
  <c r="K90" i="7" s="1"/>
  <c r="H94" i="7"/>
  <c r="I94" i="7" s="1"/>
  <c r="J94" i="7" s="1"/>
  <c r="K94" i="7" s="1"/>
  <c r="H98" i="7"/>
  <c r="I98" i="7" s="1"/>
  <c r="J98" i="7" s="1"/>
  <c r="K98" i="7" s="1"/>
  <c r="O98" i="7" s="1"/>
  <c r="H102" i="7"/>
  <c r="I102" i="7" s="1"/>
  <c r="J102" i="7" s="1"/>
  <c r="K102" i="7" s="1"/>
  <c r="O102" i="7" s="1"/>
  <c r="H107" i="7"/>
  <c r="I107" i="7" s="1"/>
  <c r="J107" i="7" s="1"/>
  <c r="K107" i="7" s="1"/>
  <c r="H111" i="7"/>
  <c r="I111" i="7" s="1"/>
  <c r="J111" i="7" s="1"/>
  <c r="K111" i="7" s="1"/>
  <c r="O111" i="7" s="1"/>
  <c r="H115" i="7"/>
  <c r="I115" i="7" s="1"/>
  <c r="J115" i="7" s="1"/>
  <c r="K115" i="7" s="1"/>
  <c r="O115" i="7" s="1"/>
  <c r="H119" i="7"/>
  <c r="I119" i="7" s="1"/>
  <c r="J119" i="7" s="1"/>
  <c r="K119" i="7" s="1"/>
  <c r="O119" i="7" s="1"/>
  <c r="H123" i="7"/>
  <c r="I123" i="7" s="1"/>
  <c r="J123" i="7" s="1"/>
  <c r="K123" i="7" s="1"/>
  <c r="O123" i="7" s="1"/>
  <c r="H132" i="7"/>
  <c r="I132" i="7" s="1"/>
  <c r="J132" i="7" s="1"/>
  <c r="K132" i="7" s="1"/>
  <c r="O132" i="7" s="1"/>
  <c r="H133" i="7"/>
  <c r="L133" i="7" s="1"/>
  <c r="H134" i="7"/>
  <c r="I134" i="7" s="1"/>
  <c r="J134" i="7" s="1"/>
  <c r="K134" i="7" s="1"/>
  <c r="O134" i="7" s="1"/>
  <c r="H135" i="7"/>
  <c r="I135" i="7" s="1"/>
  <c r="J135" i="7" s="1"/>
  <c r="K135" i="7" s="1"/>
  <c r="O135" i="7" s="1"/>
  <c r="H148" i="7"/>
  <c r="I148" i="7" s="1"/>
  <c r="J148" i="7" s="1"/>
  <c r="K148" i="7" s="1"/>
  <c r="O148" i="7" s="1"/>
  <c r="H149" i="7"/>
  <c r="L149" i="7" s="1"/>
  <c r="H150" i="7"/>
  <c r="I150" i="7" s="1"/>
  <c r="J150" i="7" s="1"/>
  <c r="K150" i="7" s="1"/>
  <c r="O150" i="7" s="1"/>
  <c r="H151" i="7"/>
  <c r="I151" i="7" s="1"/>
  <c r="J151" i="7" s="1"/>
  <c r="K151" i="7" s="1"/>
  <c r="O151" i="7" s="1"/>
  <c r="H164" i="7"/>
  <c r="I164" i="7" s="1"/>
  <c r="J164" i="7" s="1"/>
  <c r="K164" i="7" s="1"/>
  <c r="O164" i="7" s="1"/>
  <c r="H165" i="7"/>
  <c r="L165" i="7" s="1"/>
  <c r="H166" i="7"/>
  <c r="I166" i="7" s="1"/>
  <c r="J166" i="7" s="1"/>
  <c r="K166" i="7" s="1"/>
  <c r="O166" i="7" s="1"/>
  <c r="M242" i="7"/>
  <c r="H241" i="7"/>
  <c r="L241" i="7" s="1"/>
  <c r="H240" i="7"/>
  <c r="I240" i="7" s="1"/>
  <c r="J240" i="7" s="1"/>
  <c r="K240" i="7" s="1"/>
  <c r="O240" i="7" s="1"/>
  <c r="H227" i="7"/>
  <c r="I227" i="7" s="1"/>
  <c r="J227" i="7" s="1"/>
  <c r="K227" i="7" s="1"/>
  <c r="O227" i="7" s="1"/>
  <c r="H226" i="7"/>
  <c r="I226" i="7" s="1"/>
  <c r="J226" i="7" s="1"/>
  <c r="K226" i="7" s="1"/>
  <c r="O226" i="7" s="1"/>
  <c r="H225" i="7"/>
  <c r="L225" i="7" s="1"/>
  <c r="H224" i="7"/>
  <c r="I224" i="7" s="1"/>
  <c r="J224" i="7" s="1"/>
  <c r="K224" i="7" s="1"/>
  <c r="O224" i="7" s="1"/>
  <c r="H211" i="7"/>
  <c r="I211" i="7" s="1"/>
  <c r="J211" i="7" s="1"/>
  <c r="K211" i="7" s="1"/>
  <c r="O211" i="7" s="1"/>
  <c r="H210" i="7"/>
  <c r="I210" i="7" s="1"/>
  <c r="J210" i="7" s="1"/>
  <c r="K210" i="7" s="1"/>
  <c r="O210" i="7" s="1"/>
  <c r="H209" i="7"/>
  <c r="L209" i="7" s="1"/>
  <c r="H208" i="7"/>
  <c r="I208" i="7" s="1"/>
  <c r="J208" i="7" s="1"/>
  <c r="K208" i="7" s="1"/>
  <c r="O208" i="7" s="1"/>
  <c r="H195" i="7"/>
  <c r="I195" i="7" s="1"/>
  <c r="J195" i="7" s="1"/>
  <c r="K195" i="7" s="1"/>
  <c r="O195" i="7" s="1"/>
  <c r="H194" i="7"/>
  <c r="I194" i="7" s="1"/>
  <c r="J194" i="7" s="1"/>
  <c r="K194" i="7" s="1"/>
  <c r="O194" i="7" s="1"/>
  <c r="H193" i="7"/>
  <c r="L193" i="7" s="1"/>
  <c r="H192" i="7"/>
  <c r="I192" i="7" s="1"/>
  <c r="J192" i="7" s="1"/>
  <c r="K192" i="7" s="1"/>
  <c r="O192" i="7" s="1"/>
  <c r="H179" i="7"/>
  <c r="I179" i="7" s="1"/>
  <c r="J179" i="7" s="1"/>
  <c r="K179" i="7" s="1"/>
  <c r="O179" i="7" s="1"/>
  <c r="H243" i="7"/>
  <c r="I243" i="7" s="1"/>
  <c r="J243" i="7" s="1"/>
  <c r="K243" i="7" s="1"/>
  <c r="H231" i="7"/>
  <c r="I231" i="7" s="1"/>
  <c r="J231" i="7" s="1"/>
  <c r="K231" i="7" s="1"/>
  <c r="O231" i="7" s="1"/>
  <c r="H230" i="7"/>
  <c r="I230" i="7" s="1"/>
  <c r="J230" i="7" s="1"/>
  <c r="K230" i="7" s="1"/>
  <c r="O230" i="7" s="1"/>
  <c r="H229" i="7"/>
  <c r="L229" i="7" s="1"/>
  <c r="H228" i="7"/>
  <c r="I228" i="7" s="1"/>
  <c r="J228" i="7" s="1"/>
  <c r="K228" i="7" s="1"/>
  <c r="O228" i="7" s="1"/>
  <c r="H215" i="7"/>
  <c r="I215" i="7" s="1"/>
  <c r="J215" i="7" s="1"/>
  <c r="K215" i="7" s="1"/>
  <c r="O215" i="7" s="1"/>
  <c r="H214" i="7"/>
  <c r="I214" i="7" s="1"/>
  <c r="J214" i="7" s="1"/>
  <c r="K214" i="7" s="1"/>
  <c r="O214" i="7" s="1"/>
  <c r="H213" i="7"/>
  <c r="L213" i="7" s="1"/>
  <c r="H212" i="7"/>
  <c r="I212" i="7" s="1"/>
  <c r="J212" i="7" s="1"/>
  <c r="K212" i="7" s="1"/>
  <c r="O212" i="7" s="1"/>
  <c r="H199" i="7"/>
  <c r="I199" i="7" s="1"/>
  <c r="J199" i="7" s="1"/>
  <c r="K199" i="7" s="1"/>
  <c r="O199" i="7" s="1"/>
  <c r="H198" i="7"/>
  <c r="I198" i="7" s="1"/>
  <c r="J198" i="7" s="1"/>
  <c r="K198" i="7" s="1"/>
  <c r="O198" i="7" s="1"/>
  <c r="H197" i="7"/>
  <c r="L197" i="7" s="1"/>
  <c r="H196" i="7"/>
  <c r="I196" i="7" s="1"/>
  <c r="J196" i="7" s="1"/>
  <c r="K196" i="7" s="1"/>
  <c r="O196" i="7" s="1"/>
  <c r="H183" i="7"/>
  <c r="I183" i="7" s="1"/>
  <c r="J183" i="7" s="1"/>
  <c r="K183" i="7" s="1"/>
  <c r="O183" i="7" s="1"/>
  <c r="H182" i="7"/>
  <c r="I182" i="7" s="1"/>
  <c r="J182" i="7" s="1"/>
  <c r="K182" i="7" s="1"/>
  <c r="O182" i="7" s="1"/>
  <c r="H181" i="7"/>
  <c r="L181" i="7" s="1"/>
  <c r="H235" i="7"/>
  <c r="I235" i="7" s="1"/>
  <c r="J235" i="7" s="1"/>
  <c r="K235" i="7" s="1"/>
  <c r="O235" i="7" s="1"/>
  <c r="H234" i="7"/>
  <c r="I234" i="7" s="1"/>
  <c r="J234" i="7" s="1"/>
  <c r="K234" i="7" s="1"/>
  <c r="O234" i="7" s="1"/>
  <c r="H233" i="7"/>
  <c r="L233" i="7" s="1"/>
  <c r="H232" i="7"/>
  <c r="I232" i="7" s="1"/>
  <c r="J232" i="7" s="1"/>
  <c r="K232" i="7" s="1"/>
  <c r="O232" i="7" s="1"/>
  <c r="H219" i="7"/>
  <c r="I219" i="7" s="1"/>
  <c r="J219" i="7" s="1"/>
  <c r="K219" i="7" s="1"/>
  <c r="O219" i="7" s="1"/>
  <c r="H218" i="7"/>
  <c r="I218" i="7" s="1"/>
  <c r="J218" i="7" s="1"/>
  <c r="K218" i="7" s="1"/>
  <c r="O218" i="7" s="1"/>
  <c r="H217" i="7"/>
  <c r="L217" i="7" s="1"/>
  <c r="H216" i="7"/>
  <c r="I216" i="7" s="1"/>
  <c r="J216" i="7" s="1"/>
  <c r="K216" i="7" s="1"/>
  <c r="O216" i="7" s="1"/>
  <c r="H203" i="7"/>
  <c r="I203" i="7" s="1"/>
  <c r="J203" i="7" s="1"/>
  <c r="K203" i="7" s="1"/>
  <c r="O203" i="7" s="1"/>
  <c r="H202" i="7"/>
  <c r="I202" i="7" s="1"/>
  <c r="J202" i="7" s="1"/>
  <c r="K202" i="7" s="1"/>
  <c r="O202" i="7" s="1"/>
  <c r="H201" i="7"/>
  <c r="L201" i="7" s="1"/>
  <c r="H200" i="7"/>
  <c r="I200" i="7" s="1"/>
  <c r="J200" i="7" s="1"/>
  <c r="K200" i="7" s="1"/>
  <c r="O200" i="7" s="1"/>
  <c r="H187" i="7"/>
  <c r="I187" i="7" s="1"/>
  <c r="J187" i="7" s="1"/>
  <c r="K187" i="7" s="1"/>
  <c r="O187" i="7" s="1"/>
  <c r="H186" i="7"/>
  <c r="I186" i="7" s="1"/>
  <c r="J186" i="7" s="1"/>
  <c r="K186" i="7" s="1"/>
  <c r="O186" i="7" s="1"/>
  <c r="H185" i="7"/>
  <c r="L185" i="7" s="1"/>
  <c r="J307" i="7"/>
  <c r="K307" i="7" s="1"/>
  <c r="O307" i="7" s="1"/>
  <c r="H307" i="7"/>
  <c r="I307" i="7" s="1"/>
  <c r="N340" i="7"/>
  <c r="H6" i="7"/>
  <c r="I6" i="7" s="1"/>
  <c r="J6" i="7" s="1"/>
  <c r="K6" i="7" s="1"/>
  <c r="O6" i="7" s="1"/>
  <c r="H11" i="7"/>
  <c r="I11" i="7" s="1"/>
  <c r="J11" i="7" s="1"/>
  <c r="K11" i="7" s="1"/>
  <c r="O11" i="7" s="1"/>
  <c r="H15" i="7"/>
  <c r="I15" i="7" s="1"/>
  <c r="J15" i="7" s="1"/>
  <c r="K15" i="7" s="1"/>
  <c r="H20" i="7"/>
  <c r="I20" i="7" s="1"/>
  <c r="J20" i="7" s="1"/>
  <c r="K20" i="7" s="1"/>
  <c r="O20" i="7" s="1"/>
  <c r="H24" i="7"/>
  <c r="I24" i="7" s="1"/>
  <c r="J24" i="7" s="1"/>
  <c r="K24" i="7" s="1"/>
  <c r="O24" i="7" s="1"/>
  <c r="H25" i="7"/>
  <c r="H26" i="7"/>
  <c r="I26" i="7" s="1"/>
  <c r="J26" i="7" s="1"/>
  <c r="K26" i="7" s="1"/>
  <c r="O26" i="7" s="1"/>
  <c r="H30" i="7"/>
  <c r="I30" i="7" s="1"/>
  <c r="J30" i="7" s="1"/>
  <c r="K30" i="7" s="1"/>
  <c r="O30" i="7" s="1"/>
  <c r="H35" i="7"/>
  <c r="I35" i="7" s="1"/>
  <c r="J35" i="7" s="1"/>
  <c r="K35" i="7" s="1"/>
  <c r="H39" i="7"/>
  <c r="I39" i="7" s="1"/>
  <c r="J39" i="7" s="1"/>
  <c r="K39" i="7" s="1"/>
  <c r="O39" i="7" s="1"/>
  <c r="H44" i="7"/>
  <c r="I44" i="7" s="1"/>
  <c r="J44" i="7" s="1"/>
  <c r="K44" i="7" s="1"/>
  <c r="O44" i="7" s="1"/>
  <c r="H48" i="7"/>
  <c r="I48" i="7" s="1"/>
  <c r="J48" i="7" s="1"/>
  <c r="K48" i="7" s="1"/>
  <c r="O48" i="7" s="1"/>
  <c r="H49" i="7"/>
  <c r="L49" i="7" s="1"/>
  <c r="H53" i="7"/>
  <c r="L53" i="7" s="1"/>
  <c r="H57" i="7"/>
  <c r="L57" i="7" s="1"/>
  <c r="H61" i="7"/>
  <c r="L61" i="7" s="1"/>
  <c r="H65" i="7"/>
  <c r="L65" i="7" s="1"/>
  <c r="H70" i="7"/>
  <c r="I70" i="7" s="1"/>
  <c r="J70" i="7" s="1"/>
  <c r="K70" i="7" s="1"/>
  <c r="O70" i="7" s="1"/>
  <c r="H75" i="7"/>
  <c r="I75" i="7" s="1"/>
  <c r="J75" i="7" s="1"/>
  <c r="K75" i="7" s="1"/>
  <c r="O75" i="7" s="1"/>
  <c r="H79" i="7"/>
  <c r="I79" i="7" s="1"/>
  <c r="J79" i="7" s="1"/>
  <c r="K79" i="7" s="1"/>
  <c r="O79" i="7" s="1"/>
  <c r="H83" i="7"/>
  <c r="I83" i="7" s="1"/>
  <c r="J83" i="7" s="1"/>
  <c r="K83" i="7" s="1"/>
  <c r="O83" i="7" s="1"/>
  <c r="H88" i="7"/>
  <c r="I88" i="7" s="1"/>
  <c r="J88" i="7" s="1"/>
  <c r="K88" i="7" s="1"/>
  <c r="O88" i="7" s="1"/>
  <c r="H93" i="7"/>
  <c r="L93" i="7" s="1"/>
  <c r="H97" i="7"/>
  <c r="L97" i="7" s="1"/>
  <c r="H101" i="7"/>
  <c r="L101" i="7" s="1"/>
  <c r="H105" i="7"/>
  <c r="H106" i="7"/>
  <c r="I106" i="7" s="1"/>
  <c r="J106" i="7" s="1"/>
  <c r="K106" i="7" s="1"/>
  <c r="H110" i="7"/>
  <c r="I110" i="7" s="1"/>
  <c r="J110" i="7" s="1"/>
  <c r="K110" i="7" s="1"/>
  <c r="O110" i="7" s="1"/>
  <c r="H114" i="7"/>
  <c r="I114" i="7" s="1"/>
  <c r="J114" i="7" s="1"/>
  <c r="K114" i="7" s="1"/>
  <c r="O114" i="7" s="1"/>
  <c r="H118" i="7"/>
  <c r="I118" i="7" s="1"/>
  <c r="J118" i="7" s="1"/>
  <c r="K118" i="7" s="1"/>
  <c r="O118" i="7" s="1"/>
  <c r="H122" i="7"/>
  <c r="I122" i="7" s="1"/>
  <c r="J122" i="7" s="1"/>
  <c r="K122" i="7" s="1"/>
  <c r="H128" i="7"/>
  <c r="I128" i="7" s="1"/>
  <c r="J128" i="7" s="1"/>
  <c r="K128" i="7" s="1"/>
  <c r="O128" i="7" s="1"/>
  <c r="H129" i="7"/>
  <c r="L129" i="7" s="1"/>
  <c r="H130" i="7"/>
  <c r="I130" i="7" s="1"/>
  <c r="J130" i="7" s="1"/>
  <c r="K130" i="7" s="1"/>
  <c r="O130" i="7" s="1"/>
  <c r="H131" i="7"/>
  <c r="I131" i="7" s="1"/>
  <c r="J131" i="7" s="1"/>
  <c r="K131" i="7" s="1"/>
  <c r="O131" i="7" s="1"/>
  <c r="H144" i="7"/>
  <c r="I144" i="7" s="1"/>
  <c r="J144" i="7" s="1"/>
  <c r="K144" i="7" s="1"/>
  <c r="O144" i="7" s="1"/>
  <c r="H145" i="7"/>
  <c r="L145" i="7" s="1"/>
  <c r="H146" i="7"/>
  <c r="I146" i="7" s="1"/>
  <c r="J146" i="7" s="1"/>
  <c r="K146" i="7" s="1"/>
  <c r="O146" i="7" s="1"/>
  <c r="H147" i="7"/>
  <c r="I147" i="7" s="1"/>
  <c r="J147" i="7" s="1"/>
  <c r="K147" i="7" s="1"/>
  <c r="O147" i="7" s="1"/>
  <c r="H160" i="7"/>
  <c r="I160" i="7" s="1"/>
  <c r="J160" i="7" s="1"/>
  <c r="K160" i="7" s="1"/>
  <c r="O160" i="7" s="1"/>
  <c r="H161" i="7"/>
  <c r="L161" i="7" s="1"/>
  <c r="H162" i="7"/>
  <c r="I162" i="7" s="1"/>
  <c r="J162" i="7" s="1"/>
  <c r="K162" i="7" s="1"/>
  <c r="O162" i="7" s="1"/>
  <c r="H163" i="7"/>
  <c r="I163" i="7" s="1"/>
  <c r="J163" i="7" s="1"/>
  <c r="K163" i="7" s="1"/>
  <c r="O163" i="7" s="1"/>
  <c r="H176" i="7"/>
  <c r="I176" i="7" s="1"/>
  <c r="J176" i="7" s="1"/>
  <c r="K176" i="7" s="1"/>
  <c r="O176" i="7" s="1"/>
  <c r="H177" i="7"/>
  <c r="L177" i="7" s="1"/>
  <c r="H178" i="7"/>
  <c r="I178" i="7" s="1"/>
  <c r="J178" i="7" s="1"/>
  <c r="K178" i="7" s="1"/>
  <c r="O178" i="7" s="1"/>
  <c r="H303" i="7"/>
  <c r="I303" i="7" s="1"/>
  <c r="J303" i="7" s="1"/>
  <c r="K303" i="7" s="1"/>
  <c r="O303" i="7" s="1"/>
  <c r="N358" i="7"/>
  <c r="I385" i="7"/>
  <c r="J385" i="7" s="1"/>
  <c r="K385" i="7" s="1"/>
  <c r="O385" i="7" s="1"/>
  <c r="L3" i="2"/>
  <c r="Z4" i="4" s="1"/>
  <c r="L6" i="2"/>
  <c r="P7" i="2" s="1"/>
  <c r="M3" i="2"/>
  <c r="AA4" i="4" s="1"/>
  <c r="H5" i="7"/>
  <c r="L5" i="7" s="1"/>
  <c r="H10" i="7"/>
  <c r="I10" i="7" s="1"/>
  <c r="J10" i="7" s="1"/>
  <c r="K10" i="7" s="1"/>
  <c r="O10" i="7" s="1"/>
  <c r="H14" i="7"/>
  <c r="I14" i="7" s="1"/>
  <c r="J14" i="7" s="1"/>
  <c r="K14" i="7" s="1"/>
  <c r="O14" i="7" s="1"/>
  <c r="H19" i="7"/>
  <c r="I19" i="7" s="1"/>
  <c r="J19" i="7" s="1"/>
  <c r="K19" i="7" s="1"/>
  <c r="H23" i="7"/>
  <c r="I23" i="7" s="1"/>
  <c r="J23" i="7" s="1"/>
  <c r="K23" i="7" s="1"/>
  <c r="O23" i="7" s="1"/>
  <c r="H29" i="7"/>
  <c r="L29" i="7" s="1"/>
  <c r="H34" i="7"/>
  <c r="I34" i="7" s="1"/>
  <c r="J34" i="7" s="1"/>
  <c r="K34" i="7" s="1"/>
  <c r="O34" i="7" s="1"/>
  <c r="H38" i="7"/>
  <c r="I38" i="7" s="1"/>
  <c r="J38" i="7" s="1"/>
  <c r="K38" i="7" s="1"/>
  <c r="O38" i="7" s="1"/>
  <c r="H43" i="7"/>
  <c r="I43" i="7" s="1"/>
  <c r="J43" i="7" s="1"/>
  <c r="K43" i="7" s="1"/>
  <c r="O43" i="7" s="1"/>
  <c r="H47" i="7"/>
  <c r="I47" i="7" s="1"/>
  <c r="J47" i="7" s="1"/>
  <c r="K47" i="7" s="1"/>
  <c r="O47" i="7" s="1"/>
  <c r="H52" i="7"/>
  <c r="I52" i="7" s="1"/>
  <c r="J52" i="7" s="1"/>
  <c r="K52" i="7" s="1"/>
  <c r="O52" i="7" s="1"/>
  <c r="H56" i="7"/>
  <c r="I56" i="7" s="1"/>
  <c r="J56" i="7" s="1"/>
  <c r="K56" i="7" s="1"/>
  <c r="O56" i="7" s="1"/>
  <c r="H60" i="7"/>
  <c r="I60" i="7" s="1"/>
  <c r="J60" i="7" s="1"/>
  <c r="K60" i="7" s="1"/>
  <c r="O60" i="7" s="1"/>
  <c r="H64" i="7"/>
  <c r="I64" i="7" s="1"/>
  <c r="J64" i="7" s="1"/>
  <c r="K64" i="7" s="1"/>
  <c r="O64" i="7" s="1"/>
  <c r="H68" i="7"/>
  <c r="I68" i="7" s="1"/>
  <c r="J68" i="7" s="1"/>
  <c r="K68" i="7" s="1"/>
  <c r="H69" i="7"/>
  <c r="L69" i="7" s="1"/>
  <c r="H73" i="7"/>
  <c r="H74" i="7"/>
  <c r="I74" i="7" s="1"/>
  <c r="J74" i="7" s="1"/>
  <c r="K74" i="7" s="1"/>
  <c r="O74" i="7" s="1"/>
  <c r="H78" i="7"/>
  <c r="I78" i="7" s="1"/>
  <c r="J78" i="7" s="1"/>
  <c r="K78" i="7" s="1"/>
  <c r="H82" i="7"/>
  <c r="I82" i="7" s="1"/>
  <c r="J82" i="7" s="1"/>
  <c r="K82" i="7" s="1"/>
  <c r="O82" i="7" s="1"/>
  <c r="H87" i="7"/>
  <c r="I87" i="7" s="1"/>
  <c r="J87" i="7" s="1"/>
  <c r="K87" i="7" s="1"/>
  <c r="O87" i="7" s="1"/>
  <c r="H92" i="7"/>
  <c r="I92" i="7" s="1"/>
  <c r="J92" i="7" s="1"/>
  <c r="K92" i="7" s="1"/>
  <c r="O92" i="7" s="1"/>
  <c r="H96" i="7"/>
  <c r="I96" i="7" s="1"/>
  <c r="J96" i="7" s="1"/>
  <c r="K96" i="7" s="1"/>
  <c r="H100" i="7"/>
  <c r="I100" i="7" s="1"/>
  <c r="J100" i="7" s="1"/>
  <c r="K100" i="7" s="1"/>
  <c r="O100" i="7" s="1"/>
  <c r="H104" i="7"/>
  <c r="I104" i="7" s="1"/>
  <c r="J104" i="7" s="1"/>
  <c r="K104" i="7" s="1"/>
  <c r="O104" i="7" s="1"/>
  <c r="H109" i="7"/>
  <c r="L109" i="7" s="1"/>
  <c r="H113" i="7"/>
  <c r="L113" i="7" s="1"/>
  <c r="H117" i="7"/>
  <c r="L117" i="7" s="1"/>
  <c r="H121" i="7"/>
  <c r="L121" i="7" s="1"/>
  <c r="H125" i="7"/>
  <c r="L125" i="7" s="1"/>
  <c r="H126" i="7"/>
  <c r="I126" i="7" s="1"/>
  <c r="J126" i="7" s="1"/>
  <c r="K126" i="7" s="1"/>
  <c r="O126" i="7" s="1"/>
  <c r="H127" i="7"/>
  <c r="I127" i="7" s="1"/>
  <c r="J127" i="7" s="1"/>
  <c r="K127" i="7" s="1"/>
  <c r="O127" i="7" s="1"/>
  <c r="H140" i="7"/>
  <c r="I140" i="7" s="1"/>
  <c r="J140" i="7" s="1"/>
  <c r="K140" i="7" s="1"/>
  <c r="O140" i="7" s="1"/>
  <c r="H141" i="7"/>
  <c r="L141" i="7" s="1"/>
  <c r="H142" i="7"/>
  <c r="I142" i="7" s="1"/>
  <c r="J142" i="7" s="1"/>
  <c r="K142" i="7" s="1"/>
  <c r="O142" i="7" s="1"/>
  <c r="H143" i="7"/>
  <c r="I143" i="7" s="1"/>
  <c r="J143" i="7" s="1"/>
  <c r="K143" i="7" s="1"/>
  <c r="O143" i="7" s="1"/>
  <c r="H156" i="7"/>
  <c r="I156" i="7" s="1"/>
  <c r="J156" i="7" s="1"/>
  <c r="K156" i="7" s="1"/>
  <c r="O156" i="7" s="1"/>
  <c r="H157" i="7"/>
  <c r="L157" i="7" s="1"/>
  <c r="H158" i="7"/>
  <c r="I158" i="7" s="1"/>
  <c r="J158" i="7" s="1"/>
  <c r="K158" i="7" s="1"/>
  <c r="O158" i="7" s="1"/>
  <c r="H159" i="7"/>
  <c r="I159" i="7" s="1"/>
  <c r="J159" i="7" s="1"/>
  <c r="K159" i="7" s="1"/>
  <c r="O159" i="7" s="1"/>
  <c r="H172" i="7"/>
  <c r="I172" i="7" s="1"/>
  <c r="J172" i="7" s="1"/>
  <c r="K172" i="7" s="1"/>
  <c r="O172" i="7" s="1"/>
  <c r="H173" i="7"/>
  <c r="L173" i="7" s="1"/>
  <c r="H174" i="7"/>
  <c r="I174" i="7" s="1"/>
  <c r="J174" i="7" s="1"/>
  <c r="K174" i="7" s="1"/>
  <c r="O174" i="7" s="1"/>
  <c r="H175" i="7"/>
  <c r="I175" i="7" s="1"/>
  <c r="J175" i="7" s="1"/>
  <c r="K175" i="7" s="1"/>
  <c r="O175" i="7" s="1"/>
  <c r="N293" i="7"/>
  <c r="I205" i="7"/>
  <c r="J205" i="7" s="1"/>
  <c r="K205" i="7" s="1"/>
  <c r="O205" i="7" s="1"/>
  <c r="I209" i="7"/>
  <c r="J209" i="7" s="1"/>
  <c r="K209" i="7" s="1"/>
  <c r="O209" i="7" s="1"/>
  <c r="I217" i="7"/>
  <c r="J217" i="7" s="1"/>
  <c r="K217" i="7" s="1"/>
  <c r="O217" i="7" s="1"/>
  <c r="I221" i="7"/>
  <c r="J221" i="7" s="1"/>
  <c r="K221" i="7" s="1"/>
  <c r="O221" i="7" s="1"/>
  <c r="I225" i="7"/>
  <c r="J225" i="7" s="1"/>
  <c r="K225" i="7" s="1"/>
  <c r="O225" i="7" s="1"/>
  <c r="I233" i="7"/>
  <c r="J233" i="7" s="1"/>
  <c r="K233" i="7" s="1"/>
  <c r="O233" i="7" s="1"/>
  <c r="N246" i="7"/>
  <c r="N263" i="7"/>
  <c r="N348" i="7"/>
  <c r="I49" i="7"/>
  <c r="J49" i="7" s="1"/>
  <c r="K49" i="7" s="1"/>
  <c r="I65" i="7"/>
  <c r="J65" i="7" s="1"/>
  <c r="K65" i="7" s="1"/>
  <c r="O65" i="7" s="1"/>
  <c r="N245" i="7"/>
  <c r="N279" i="7"/>
  <c r="I310" i="7"/>
  <c r="J310" i="7" s="1"/>
  <c r="K310" i="7" s="1"/>
  <c r="I388" i="7"/>
  <c r="J388" i="7" s="1"/>
  <c r="K388" i="7" s="1"/>
  <c r="O388" i="7" s="1"/>
  <c r="I37" i="7"/>
  <c r="J37" i="7" s="1"/>
  <c r="K37" i="7" s="1"/>
  <c r="I61" i="7"/>
  <c r="J61" i="7" s="1"/>
  <c r="K61" i="7" s="1"/>
  <c r="O61" i="7" s="1"/>
  <c r="I77" i="7"/>
  <c r="J77" i="7" s="1"/>
  <c r="K77" i="7" s="1"/>
  <c r="O77" i="7" s="1"/>
  <c r="I189" i="7"/>
  <c r="J189" i="7" s="1"/>
  <c r="K189" i="7" s="1"/>
  <c r="O189" i="7" s="1"/>
  <c r="I249" i="7"/>
  <c r="J249" i="7" s="1"/>
  <c r="K249" i="7" s="1"/>
  <c r="O249" i="7" s="1"/>
  <c r="I254" i="7"/>
  <c r="J254" i="7" s="1"/>
  <c r="K254" i="7" s="1"/>
  <c r="O254" i="7" s="1"/>
  <c r="N258" i="7"/>
  <c r="I322" i="7"/>
  <c r="J322" i="7" s="1"/>
  <c r="K322" i="7" s="1"/>
  <c r="O322" i="7" s="1"/>
  <c r="I328" i="7"/>
  <c r="J328" i="7" s="1"/>
  <c r="K328" i="7" s="1"/>
  <c r="O328" i="7" s="1"/>
  <c r="I335" i="7"/>
  <c r="J335" i="7" s="1"/>
  <c r="K335" i="7" s="1"/>
  <c r="O335" i="7" s="1"/>
  <c r="L362" i="7"/>
  <c r="I364" i="7"/>
  <c r="J364" i="7" s="1"/>
  <c r="K364" i="7" s="1"/>
  <c r="O364" i="7" s="1"/>
  <c r="I370" i="7"/>
  <c r="J370" i="7" s="1"/>
  <c r="K370" i="7" s="1"/>
  <c r="O370" i="7" s="1"/>
  <c r="L380" i="7"/>
  <c r="N271" i="7"/>
  <c r="N287" i="7"/>
  <c r="N301" i="7"/>
  <c r="I314" i="7"/>
  <c r="J314" i="7" s="1"/>
  <c r="K314" i="7" s="1"/>
  <c r="O314" i="7" s="1"/>
  <c r="I320" i="7"/>
  <c r="J320" i="7" s="1"/>
  <c r="K320" i="7" s="1"/>
  <c r="O320" i="7" s="1"/>
  <c r="N325" i="7"/>
  <c r="I326" i="7"/>
  <c r="J326" i="7" s="1"/>
  <c r="K326" i="7" s="1"/>
  <c r="O326" i="7" s="1"/>
  <c r="N342" i="7"/>
  <c r="L354" i="7"/>
  <c r="I355" i="7"/>
  <c r="J355" i="7" s="1"/>
  <c r="K355" i="7" s="1"/>
  <c r="O355" i="7" s="1"/>
  <c r="J372" i="7"/>
  <c r="K372" i="7" s="1"/>
  <c r="O372" i="7" s="1"/>
  <c r="O246" i="7"/>
  <c r="L257" i="7"/>
  <c r="N261" i="7"/>
  <c r="L262" i="7"/>
  <c r="N269" i="7"/>
  <c r="O273" i="7"/>
  <c r="O279" i="7"/>
  <c r="N285" i="7"/>
  <c r="N288" i="7"/>
  <c r="O293" i="7"/>
  <c r="N295" i="7"/>
  <c r="O299" i="7"/>
  <c r="O304" i="7"/>
  <c r="I312" i="7"/>
  <c r="J312" i="7" s="1"/>
  <c r="K312" i="7" s="1"/>
  <c r="O312" i="7" s="1"/>
  <c r="N317" i="7"/>
  <c r="I318" i="7"/>
  <c r="J318" i="7" s="1"/>
  <c r="K318" i="7" s="1"/>
  <c r="O318" i="7" s="1"/>
  <c r="N329" i="7"/>
  <c r="L330" i="7"/>
  <c r="O331" i="7"/>
  <c r="O338" i="7"/>
  <c r="I351" i="7"/>
  <c r="J351" i="7" s="1"/>
  <c r="K351" i="7" s="1"/>
  <c r="O351" i="7" s="1"/>
  <c r="O359" i="7"/>
  <c r="L367" i="7"/>
  <c r="I395" i="7"/>
  <c r="J395" i="7" s="1"/>
  <c r="K395" i="7" s="1"/>
  <c r="O395" i="7" s="1"/>
  <c r="L399" i="7"/>
  <c r="L414" i="7"/>
  <c r="L418" i="7"/>
  <c r="I420" i="7"/>
  <c r="J420" i="7" s="1"/>
  <c r="K420" i="7" s="1"/>
  <c r="O420" i="7" s="1"/>
  <c r="L423" i="7"/>
  <c r="L428" i="7"/>
  <c r="I432" i="7"/>
  <c r="J432" i="7" s="1"/>
  <c r="K432" i="7" s="1"/>
  <c r="O432" i="7" s="1"/>
  <c r="L435" i="7"/>
  <c r="L438" i="7"/>
  <c r="I440" i="7"/>
  <c r="J440" i="7" s="1"/>
  <c r="K440" i="7" s="1"/>
  <c r="O440" i="7" s="1"/>
  <c r="L441" i="7"/>
  <c r="L448" i="7"/>
  <c r="I455" i="7"/>
  <c r="J455" i="7" s="1"/>
  <c r="K455" i="7" s="1"/>
  <c r="O455" i="7" s="1"/>
  <c r="L463" i="7"/>
  <c r="I465" i="7"/>
  <c r="J465" i="7" s="1"/>
  <c r="K465" i="7" s="1"/>
  <c r="O465" i="7" s="1"/>
  <c r="I472" i="7"/>
  <c r="J472" i="7" s="1"/>
  <c r="K472" i="7" s="1"/>
  <c r="O472" i="7" s="1"/>
  <c r="I475" i="7"/>
  <c r="J475" i="7" s="1"/>
  <c r="K475" i="7" s="1"/>
  <c r="O475" i="7" s="1"/>
  <c r="I389" i="7"/>
  <c r="J389" i="7" s="1"/>
  <c r="K389" i="7" s="1"/>
  <c r="O389" i="7" s="1"/>
  <c r="L401" i="7"/>
  <c r="I409" i="7"/>
  <c r="J409" i="7" s="1"/>
  <c r="K409" i="7" s="1"/>
  <c r="O409" i="7" s="1"/>
  <c r="I473" i="7"/>
  <c r="J473" i="7" s="1"/>
  <c r="K473" i="7" s="1"/>
  <c r="O473" i="7" s="1"/>
  <c r="O289" i="7"/>
  <c r="O295" i="7"/>
  <c r="N303" i="7"/>
  <c r="N306" i="7"/>
  <c r="N315" i="7"/>
  <c r="L316" i="7"/>
  <c r="N323" i="7"/>
  <c r="L324" i="7"/>
  <c r="N331" i="7"/>
  <c r="L332" i="7"/>
  <c r="N339" i="7"/>
  <c r="O341" i="7"/>
  <c r="O342" i="7"/>
  <c r="N344" i="7"/>
  <c r="L347" i="7"/>
  <c r="L359" i="7"/>
  <c r="L375" i="7"/>
  <c r="L386" i="7"/>
  <c r="I387" i="7"/>
  <c r="J387" i="7" s="1"/>
  <c r="K387" i="7" s="1"/>
  <c r="O387" i="7" s="1"/>
  <c r="I401" i="7"/>
  <c r="J401" i="7" s="1"/>
  <c r="K401" i="7" s="1"/>
  <c r="O401" i="7" s="1"/>
  <c r="L402" i="7"/>
  <c r="I403" i="7"/>
  <c r="J403" i="7" s="1"/>
  <c r="K403" i="7" s="1"/>
  <c r="O403" i="7" s="1"/>
  <c r="L404" i="7"/>
  <c r="L427" i="7"/>
  <c r="L430" i="7"/>
  <c r="I431" i="7"/>
  <c r="J431" i="7" s="1"/>
  <c r="K431" i="7" s="1"/>
  <c r="O431" i="7" s="1"/>
  <c r="L447" i="7"/>
  <c r="I449" i="7"/>
  <c r="J449" i="7" s="1"/>
  <c r="K449" i="7" s="1"/>
  <c r="O449" i="7" s="1"/>
  <c r="I456" i="7"/>
  <c r="J456" i="7" s="1"/>
  <c r="K456" i="7" s="1"/>
  <c r="O456" i="7" s="1"/>
  <c r="L457" i="7"/>
  <c r="L464" i="7"/>
  <c r="L477" i="7"/>
  <c r="I133" i="7"/>
  <c r="J133" i="7" s="1"/>
  <c r="K133" i="7" s="1"/>
  <c r="O133" i="7" s="1"/>
  <c r="I153" i="7"/>
  <c r="J153" i="7" s="1"/>
  <c r="K153" i="7" s="1"/>
  <c r="O153" i="7" s="1"/>
  <c r="I165" i="7"/>
  <c r="J165" i="7" s="1"/>
  <c r="K165" i="7" s="1"/>
  <c r="O165" i="7" s="1"/>
  <c r="I181" i="7"/>
  <c r="J181" i="7" s="1"/>
  <c r="K181" i="7" s="1"/>
  <c r="O181" i="7" s="1"/>
  <c r="I245" i="7"/>
  <c r="J245" i="7" s="1"/>
  <c r="K245" i="7" s="1"/>
  <c r="O245" i="7" s="1"/>
  <c r="I258" i="7"/>
  <c r="J258" i="7" s="1"/>
  <c r="K258" i="7" s="1"/>
  <c r="O258" i="7" s="1"/>
  <c r="N262" i="7"/>
  <c r="N334" i="7"/>
  <c r="N336" i="7"/>
  <c r="N343" i="7"/>
  <c r="N350" i="7"/>
  <c r="N352" i="7"/>
  <c r="N356" i="7"/>
  <c r="I369" i="7"/>
  <c r="J369" i="7" s="1"/>
  <c r="K369" i="7" s="1"/>
  <c r="O369" i="7" s="1"/>
  <c r="I407" i="7"/>
  <c r="J407" i="7" s="1"/>
  <c r="K407" i="7" s="1"/>
  <c r="O407" i="7" s="1"/>
  <c r="I416" i="7"/>
  <c r="J416" i="7" s="1"/>
  <c r="K416" i="7" s="1"/>
  <c r="O416" i="7" s="1"/>
  <c r="I425" i="7"/>
  <c r="J425" i="7" s="1"/>
  <c r="K425" i="7" s="1"/>
  <c r="O425" i="7" s="1"/>
  <c r="I439" i="7"/>
  <c r="J439" i="7" s="1"/>
  <c r="K439" i="7" s="1"/>
  <c r="O439" i="7" s="1"/>
  <c r="I443" i="7"/>
  <c r="J443" i="7" s="1"/>
  <c r="K443" i="7" s="1"/>
  <c r="O443" i="7" s="1"/>
  <c r="I445" i="7"/>
  <c r="J445" i="7" s="1"/>
  <c r="K445" i="7" s="1"/>
  <c r="O445" i="7" s="1"/>
  <c r="I452" i="7"/>
  <c r="J452" i="7" s="1"/>
  <c r="K452" i="7" s="1"/>
  <c r="O452" i="7" s="1"/>
  <c r="I459" i="7"/>
  <c r="J459" i="7" s="1"/>
  <c r="K459" i="7" s="1"/>
  <c r="O459" i="7" s="1"/>
  <c r="I461" i="7"/>
  <c r="J461" i="7" s="1"/>
  <c r="K461" i="7" s="1"/>
  <c r="O461" i="7" s="1"/>
  <c r="I468" i="7"/>
  <c r="J468" i="7" s="1"/>
  <c r="K468" i="7" s="1"/>
  <c r="O468" i="7" s="1"/>
  <c r="I93" i="7"/>
  <c r="J93" i="7" s="1"/>
  <c r="K93" i="7" s="1"/>
  <c r="O93" i="7" s="1"/>
  <c r="I137" i="7"/>
  <c r="J137" i="7" s="1"/>
  <c r="K137" i="7" s="1"/>
  <c r="O137" i="7" s="1"/>
  <c r="I149" i="7"/>
  <c r="J149" i="7" s="1"/>
  <c r="K149" i="7" s="1"/>
  <c r="O149" i="7" s="1"/>
  <c r="I169" i="7"/>
  <c r="J169" i="7" s="1"/>
  <c r="K169" i="7" s="1"/>
  <c r="O169" i="7" s="1"/>
  <c r="I173" i="7"/>
  <c r="J173" i="7" s="1"/>
  <c r="K173" i="7" s="1"/>
  <c r="O173" i="7" s="1"/>
  <c r="I185" i="7"/>
  <c r="J185" i="7" s="1"/>
  <c r="K185" i="7" s="1"/>
  <c r="O185" i="7" s="1"/>
  <c r="I237" i="7"/>
  <c r="J237" i="7" s="1"/>
  <c r="K237" i="7" s="1"/>
  <c r="O237" i="7" s="1"/>
  <c r="N250" i="7"/>
  <c r="N255" i="7"/>
  <c r="N259" i="7"/>
  <c r="N267" i="7"/>
  <c r="N275" i="7"/>
  <c r="N283" i="7"/>
  <c r="N291" i="7"/>
  <c r="N299" i="7"/>
  <c r="N335" i="7"/>
  <c r="N351" i="7"/>
  <c r="N360" i="7"/>
  <c r="I9" i="7"/>
  <c r="J9" i="7" s="1"/>
  <c r="K9" i="7" s="1"/>
  <c r="O9" i="7" s="1"/>
  <c r="I81" i="7"/>
  <c r="J81" i="7" s="1"/>
  <c r="K81" i="7" s="1"/>
  <c r="O81" i="7" s="1"/>
  <c r="I141" i="7"/>
  <c r="J141" i="7" s="1"/>
  <c r="K141" i="7" s="1"/>
  <c r="O141" i="7" s="1"/>
  <c r="I161" i="7"/>
  <c r="J161" i="7" s="1"/>
  <c r="K161" i="7" s="1"/>
  <c r="O161" i="7" s="1"/>
  <c r="I13" i="7"/>
  <c r="J13" i="7" s="1"/>
  <c r="K13" i="7" s="1"/>
  <c r="O13" i="7" s="1"/>
  <c r="I33" i="7"/>
  <c r="J33" i="7" s="1"/>
  <c r="K33" i="7" s="1"/>
  <c r="O33" i="7" s="1"/>
  <c r="I45" i="7"/>
  <c r="J45" i="7" s="1"/>
  <c r="K45" i="7" s="1"/>
  <c r="O45" i="7" s="1"/>
  <c r="I57" i="7"/>
  <c r="J57" i="7" s="1"/>
  <c r="K57" i="7" s="1"/>
  <c r="O57" i="7" s="1"/>
  <c r="N242" i="7"/>
  <c r="N248" i="7"/>
  <c r="N249" i="7"/>
  <c r="N253" i="7"/>
  <c r="N254" i="7"/>
  <c r="N265" i="7"/>
  <c r="N273" i="7"/>
  <c r="N281" i="7"/>
  <c r="N289" i="7"/>
  <c r="N297" i="7"/>
  <c r="I339" i="7"/>
  <c r="J339" i="7" s="1"/>
  <c r="K339" i="7" s="1"/>
  <c r="O339" i="7" s="1"/>
  <c r="I343" i="7"/>
  <c r="J343" i="7" s="1"/>
  <c r="K343" i="7" s="1"/>
  <c r="O343" i="7" s="1"/>
  <c r="N359" i="7"/>
  <c r="I377" i="7"/>
  <c r="J377" i="7" s="1"/>
  <c r="K377" i="7" s="1"/>
  <c r="O377" i="7" s="1"/>
  <c r="I391" i="7"/>
  <c r="J391" i="7" s="1"/>
  <c r="K391" i="7" s="1"/>
  <c r="O391" i="7" s="1"/>
  <c r="I393" i="7"/>
  <c r="J393" i="7" s="1"/>
  <c r="K393" i="7" s="1"/>
  <c r="O393" i="7" s="1"/>
  <c r="I411" i="7"/>
  <c r="J411" i="7" s="1"/>
  <c r="K411" i="7" s="1"/>
  <c r="O411" i="7" s="1"/>
  <c r="I415" i="7"/>
  <c r="J415" i="7" s="1"/>
  <c r="K415" i="7" s="1"/>
  <c r="O415" i="7" s="1"/>
  <c r="I419" i="7"/>
  <c r="J419" i="7" s="1"/>
  <c r="K419" i="7" s="1"/>
  <c r="O419" i="7" s="1"/>
  <c r="I424" i="7"/>
  <c r="J424" i="7" s="1"/>
  <c r="K424" i="7" s="1"/>
  <c r="O424" i="7" s="1"/>
  <c r="I436" i="7"/>
  <c r="J436" i="7" s="1"/>
  <c r="K436" i="7" s="1"/>
  <c r="O436" i="7" s="1"/>
  <c r="I444" i="7"/>
  <c r="J444" i="7" s="1"/>
  <c r="K444" i="7" s="1"/>
  <c r="O444" i="7" s="1"/>
  <c r="I451" i="7"/>
  <c r="J451" i="7" s="1"/>
  <c r="K451" i="7" s="1"/>
  <c r="O451" i="7" s="1"/>
  <c r="I453" i="7"/>
  <c r="J453" i="7" s="1"/>
  <c r="K453" i="7" s="1"/>
  <c r="O453" i="7" s="1"/>
  <c r="I460" i="7"/>
  <c r="J460" i="7" s="1"/>
  <c r="K460" i="7" s="1"/>
  <c r="O460" i="7" s="1"/>
  <c r="I467" i="7"/>
  <c r="J467" i="7" s="1"/>
  <c r="K467" i="7" s="1"/>
  <c r="O467" i="7" s="1"/>
  <c r="I469" i="7"/>
  <c r="J469" i="7" s="1"/>
  <c r="K469" i="7" s="1"/>
  <c r="O469" i="7" s="1"/>
  <c r="N95" i="7"/>
  <c r="N119" i="7"/>
  <c r="N345" i="7"/>
  <c r="N346" i="7"/>
  <c r="O66" i="7"/>
  <c r="N71" i="7"/>
  <c r="O72" i="7"/>
  <c r="O95" i="7"/>
  <c r="O107" i="7"/>
  <c r="N111" i="7"/>
  <c r="O242" i="7"/>
  <c r="N247" i="7"/>
  <c r="O248" i="7"/>
  <c r="O250" i="7"/>
  <c r="O256" i="7"/>
  <c r="N264" i="7"/>
  <c r="N266" i="7"/>
  <c r="N268" i="7"/>
  <c r="N272" i="7"/>
  <c r="N274" i="7"/>
  <c r="N276" i="7"/>
  <c r="N278" i="7"/>
  <c r="N280" i="7"/>
  <c r="N282" i="7"/>
  <c r="N284" i="7"/>
  <c r="N286" i="7"/>
  <c r="N290" i="7"/>
  <c r="N292" i="7"/>
  <c r="N294" i="7"/>
  <c r="N296" i="7"/>
  <c r="N298" i="7"/>
  <c r="N337" i="7"/>
  <c r="N338" i="7"/>
  <c r="O19" i="7"/>
  <c r="O35" i="7"/>
  <c r="O37" i="7"/>
  <c r="O51" i="7"/>
  <c r="O90" i="7"/>
  <c r="O96" i="7"/>
  <c r="O122" i="7"/>
  <c r="O247" i="7"/>
  <c r="O253" i="7"/>
  <c r="N302" i="7"/>
  <c r="O346" i="7"/>
  <c r="N361" i="7"/>
  <c r="N362" i="7"/>
  <c r="N7" i="7"/>
  <c r="N15" i="7"/>
  <c r="N23" i="7"/>
  <c r="N31" i="7"/>
  <c r="N39" i="7"/>
  <c r="N47" i="7"/>
  <c r="N55" i="7"/>
  <c r="N243" i="7"/>
  <c r="N251" i="7"/>
  <c r="O362" i="7"/>
  <c r="O7" i="7"/>
  <c r="O15" i="7"/>
  <c r="O31" i="7"/>
  <c r="O49" i="7"/>
  <c r="O55" i="7"/>
  <c r="O67" i="7"/>
  <c r="O80" i="7"/>
  <c r="O99" i="7"/>
  <c r="O106" i="7"/>
  <c r="O112" i="7"/>
  <c r="O257" i="7"/>
  <c r="O262" i="7"/>
  <c r="O302" i="7"/>
  <c r="N308" i="7"/>
  <c r="N312" i="7"/>
  <c r="N316" i="7"/>
  <c r="N320" i="7"/>
  <c r="N322" i="7"/>
  <c r="N324" i="7"/>
  <c r="N326" i="7"/>
  <c r="N328" i="7"/>
  <c r="N330" i="7"/>
  <c r="N332" i="7"/>
  <c r="O334" i="7"/>
  <c r="N59" i="7"/>
  <c r="O62" i="7"/>
  <c r="N67" i="7"/>
  <c r="O68" i="7"/>
  <c r="N75" i="7"/>
  <c r="O78" i="7"/>
  <c r="N83" i="7"/>
  <c r="O84" i="7"/>
  <c r="O86" i="7"/>
  <c r="N91" i="7"/>
  <c r="O94" i="7"/>
  <c r="N99" i="7"/>
  <c r="N107" i="7"/>
  <c r="O108" i="7"/>
  <c r="N115" i="7"/>
  <c r="O116" i="7"/>
  <c r="N123" i="7"/>
  <c r="O124" i="7"/>
  <c r="O243" i="7"/>
  <c r="O251" i="7"/>
  <c r="N256" i="7"/>
  <c r="N257" i="7"/>
  <c r="N260" i="7"/>
  <c r="O261" i="7"/>
  <c r="O264" i="7"/>
  <c r="O266" i="7"/>
  <c r="O268" i="7"/>
  <c r="O270" i="7"/>
  <c r="O272" i="7"/>
  <c r="O274" i="7"/>
  <c r="O276" i="7"/>
  <c r="O278" i="7"/>
  <c r="O280" i="7"/>
  <c r="O282" i="7"/>
  <c r="O284" i="7"/>
  <c r="O286" i="7"/>
  <c r="O288" i="7"/>
  <c r="O290" i="7"/>
  <c r="O292" i="7"/>
  <c r="O294" i="7"/>
  <c r="O296" i="7"/>
  <c r="O298" i="7"/>
  <c r="O300" i="7"/>
  <c r="O301" i="7"/>
  <c r="N304" i="7"/>
  <c r="O308" i="7"/>
  <c r="O316" i="7"/>
  <c r="O324" i="7"/>
  <c r="O330" i="7"/>
  <c r="O332" i="7"/>
  <c r="N349" i="7"/>
  <c r="O350" i="7"/>
  <c r="O354" i="7"/>
  <c r="N357" i="7"/>
  <c r="O358" i="7"/>
  <c r="O361" i="7"/>
  <c r="P11" i="2"/>
  <c r="Z11" i="4"/>
  <c r="Z15" i="4"/>
  <c r="P14" i="2"/>
  <c r="F11" i="3"/>
  <c r="E11" i="3"/>
  <c r="AB6" i="4"/>
  <c r="O5" i="2"/>
  <c r="P13" i="2"/>
  <c r="Z13" i="4"/>
  <c r="P12" i="2"/>
  <c r="E5" i="3"/>
  <c r="F5" i="3"/>
  <c r="P5" i="2"/>
  <c r="J5" i="2"/>
  <c r="J7" i="2"/>
  <c r="N11" i="2"/>
  <c r="N13" i="2"/>
  <c r="M4" i="2"/>
  <c r="M6" i="2"/>
  <c r="C9" i="2"/>
  <c r="M10" i="2"/>
  <c r="M12" i="2"/>
  <c r="Q12" i="2" s="1"/>
  <c r="M14" i="2"/>
  <c r="B8" i="3"/>
  <c r="D8" i="3" s="1"/>
  <c r="J260" i="7"/>
  <c r="K260" i="7" s="1"/>
  <c r="O260" i="7" s="1"/>
  <c r="L260" i="7"/>
  <c r="J8" i="2"/>
  <c r="AA6" i="4"/>
  <c r="L259" i="7"/>
  <c r="J259" i="7"/>
  <c r="K259" i="7" s="1"/>
  <c r="O259" i="7" s="1"/>
  <c r="J252" i="7"/>
  <c r="K252" i="7" s="1"/>
  <c r="O252" i="7" s="1"/>
  <c r="L252" i="7"/>
  <c r="B20" i="5"/>
  <c r="C20" i="5" s="1"/>
  <c r="B17" i="3"/>
  <c r="D17" i="3" s="1"/>
  <c r="L10" i="7"/>
  <c r="L14" i="7"/>
  <c r="L18" i="7"/>
  <c r="L22" i="7"/>
  <c r="L26" i="7"/>
  <c r="L34" i="7"/>
  <c r="L42" i="7"/>
  <c r="L46" i="7"/>
  <c r="L54" i="7"/>
  <c r="L62" i="7"/>
  <c r="L74" i="7"/>
  <c r="L78" i="7"/>
  <c r="L86" i="7"/>
  <c r="L90" i="7"/>
  <c r="L106" i="7"/>
  <c r="L114" i="7"/>
  <c r="L122" i="7"/>
  <c r="L126" i="7"/>
  <c r="L138" i="7"/>
  <c r="L142" i="7"/>
  <c r="L154" i="7"/>
  <c r="L158" i="7"/>
  <c r="L170" i="7"/>
  <c r="L174" i="7"/>
  <c r="L186" i="7"/>
  <c r="L190" i="7"/>
  <c r="L194" i="7"/>
  <c r="L202" i="7"/>
  <c r="L206" i="7"/>
  <c r="L210" i="7"/>
  <c r="L218" i="7"/>
  <c r="L222" i="7"/>
  <c r="L226" i="7"/>
  <c r="L234" i="7"/>
  <c r="L238" i="7"/>
  <c r="L242" i="7"/>
  <c r="L246" i="7"/>
  <c r="L250" i="7"/>
  <c r="J349" i="7"/>
  <c r="K349" i="7" s="1"/>
  <c r="O349" i="7" s="1"/>
  <c r="L349" i="7"/>
  <c r="J356" i="7"/>
  <c r="K356" i="7" s="1"/>
  <c r="O356" i="7" s="1"/>
  <c r="L356" i="7"/>
  <c r="J357" i="7"/>
  <c r="K357" i="7" s="1"/>
  <c r="O357" i="7" s="1"/>
  <c r="L357" i="7"/>
  <c r="J373" i="7"/>
  <c r="K373" i="7" s="1"/>
  <c r="O373" i="7" s="1"/>
  <c r="L373" i="7"/>
  <c r="J381" i="7"/>
  <c r="K381" i="7" s="1"/>
  <c r="O381" i="7" s="1"/>
  <c r="L381" i="7"/>
  <c r="L15" i="7"/>
  <c r="L31" i="7"/>
  <c r="L51" i="7"/>
  <c r="L55" i="7"/>
  <c r="L59" i="7"/>
  <c r="L63" i="7"/>
  <c r="L67" i="7"/>
  <c r="L71" i="7"/>
  <c r="L75" i="7"/>
  <c r="L91" i="7"/>
  <c r="L95" i="7"/>
  <c r="L99" i="7"/>
  <c r="L103" i="7"/>
  <c r="L107" i="7"/>
  <c r="L123" i="7"/>
  <c r="L131" i="7"/>
  <c r="L135" i="7"/>
  <c r="L139" i="7"/>
  <c r="L147" i="7"/>
  <c r="L151" i="7"/>
  <c r="L155" i="7"/>
  <c r="L163" i="7"/>
  <c r="L167" i="7"/>
  <c r="L171" i="7"/>
  <c r="L187" i="7"/>
  <c r="L191" i="7"/>
  <c r="L203" i="7"/>
  <c r="L207" i="7"/>
  <c r="L211" i="7"/>
  <c r="L219" i="7"/>
  <c r="L223" i="7"/>
  <c r="L235" i="7"/>
  <c r="L239" i="7"/>
  <c r="L243" i="7"/>
  <c r="L247" i="7"/>
  <c r="L251" i="7"/>
  <c r="I255" i="7"/>
  <c r="J255" i="7" s="1"/>
  <c r="K255" i="7" s="1"/>
  <c r="O255" i="7" s="1"/>
  <c r="I263" i="7"/>
  <c r="J263" i="7" s="1"/>
  <c r="K263" i="7" s="1"/>
  <c r="O263" i="7" s="1"/>
  <c r="N310" i="7"/>
  <c r="N314" i="7"/>
  <c r="N318" i="7"/>
  <c r="J348" i="7"/>
  <c r="K348" i="7" s="1"/>
  <c r="O348" i="7" s="1"/>
  <c r="L348" i="7"/>
  <c r="L8" i="7"/>
  <c r="L16" i="7"/>
  <c r="L28" i="7"/>
  <c r="L32" i="7"/>
  <c r="L40" i="7"/>
  <c r="L44" i="7"/>
  <c r="L52" i="7"/>
  <c r="L68" i="7"/>
  <c r="L72" i="7"/>
  <c r="L80" i="7"/>
  <c r="L96" i="7"/>
  <c r="L104" i="7"/>
  <c r="L108" i="7"/>
  <c r="L112" i="7"/>
  <c r="L116" i="7"/>
  <c r="L120" i="7"/>
  <c r="L124" i="7"/>
  <c r="L136" i="7"/>
  <c r="L152" i="7"/>
  <c r="L168" i="7"/>
  <c r="L180" i="7"/>
  <c r="L184" i="7"/>
  <c r="L188" i="7"/>
  <c r="L192" i="7"/>
  <c r="L196" i="7"/>
  <c r="L204" i="7"/>
  <c r="L212" i="7"/>
  <c r="L220" i="7"/>
  <c r="L228" i="7"/>
  <c r="L236" i="7"/>
  <c r="L240" i="7"/>
  <c r="L244" i="7"/>
  <c r="L248" i="7"/>
  <c r="L256" i="7"/>
  <c r="I319" i="7"/>
  <c r="J319" i="7" s="1"/>
  <c r="K319" i="7" s="1"/>
  <c r="O319" i="7" s="1"/>
  <c r="J365" i="7"/>
  <c r="K365" i="7" s="1"/>
  <c r="O365" i="7" s="1"/>
  <c r="L365" i="7"/>
  <c r="L253" i="7"/>
  <c r="L261"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O310" i="7"/>
  <c r="L311" i="7"/>
  <c r="L315" i="7"/>
  <c r="J405" i="7"/>
  <c r="K405" i="7" s="1"/>
  <c r="O405" i="7" s="1"/>
  <c r="L405" i="7"/>
  <c r="I309" i="7"/>
  <c r="J309" i="7" s="1"/>
  <c r="K309" i="7" s="1"/>
  <c r="O309" i="7" s="1"/>
  <c r="I313" i="7"/>
  <c r="J313" i="7" s="1"/>
  <c r="K313" i="7" s="1"/>
  <c r="O313" i="7" s="1"/>
  <c r="I317" i="7"/>
  <c r="J317" i="7" s="1"/>
  <c r="K317" i="7" s="1"/>
  <c r="O317" i="7" s="1"/>
  <c r="I321" i="7"/>
  <c r="J321" i="7" s="1"/>
  <c r="K321" i="7" s="1"/>
  <c r="O321" i="7" s="1"/>
  <c r="I325" i="7"/>
  <c r="J325" i="7" s="1"/>
  <c r="K325" i="7" s="1"/>
  <c r="O325" i="7" s="1"/>
  <c r="I329" i="7"/>
  <c r="J329" i="7" s="1"/>
  <c r="K329" i="7" s="1"/>
  <c r="O329" i="7" s="1"/>
  <c r="I333" i="7"/>
  <c r="J333" i="7" s="1"/>
  <c r="K333" i="7" s="1"/>
  <c r="O333" i="7" s="1"/>
  <c r="I336" i="7"/>
  <c r="J336" i="7" s="1"/>
  <c r="K336" i="7" s="1"/>
  <c r="O336" i="7" s="1"/>
  <c r="L338" i="7"/>
  <c r="L340" i="7"/>
  <c r="I344" i="7"/>
  <c r="J344" i="7" s="1"/>
  <c r="K344" i="7" s="1"/>
  <c r="O344" i="7" s="1"/>
  <c r="L346" i="7"/>
  <c r="I352" i="7"/>
  <c r="J352" i="7" s="1"/>
  <c r="K352" i="7" s="1"/>
  <c r="O352" i="7" s="1"/>
  <c r="I360" i="7"/>
  <c r="J360" i="7" s="1"/>
  <c r="K360" i="7" s="1"/>
  <c r="O360" i="7" s="1"/>
  <c r="I368" i="7"/>
  <c r="J368" i="7" s="1"/>
  <c r="K368" i="7" s="1"/>
  <c r="O368" i="7" s="1"/>
  <c r="I376" i="7"/>
  <c r="J376" i="7" s="1"/>
  <c r="K376" i="7" s="1"/>
  <c r="O376" i="7" s="1"/>
  <c r="L413" i="7"/>
  <c r="L426" i="7"/>
  <c r="L429" i="7"/>
  <c r="L323" i="7"/>
  <c r="L327" i="7"/>
  <c r="L331" i="7"/>
  <c r="L337" i="7"/>
  <c r="L345" i="7"/>
  <c r="L353" i="7"/>
  <c r="L361" i="7"/>
  <c r="L363" i="7"/>
  <c r="L371" i="7"/>
  <c r="L379" i="7"/>
  <c r="L390" i="7"/>
  <c r="L392" i="7"/>
  <c r="I397" i="7"/>
  <c r="J397" i="7" s="1"/>
  <c r="K397" i="7" s="1"/>
  <c r="O397" i="7" s="1"/>
  <c r="L406" i="7"/>
  <c r="L408" i="7"/>
  <c r="L417" i="7"/>
  <c r="L433" i="7"/>
  <c r="N333" i="7"/>
  <c r="L334" i="7"/>
  <c r="L342" i="7"/>
  <c r="L350" i="7"/>
  <c r="L358" i="7"/>
  <c r="L366" i="7"/>
  <c r="L374" i="7"/>
  <c r="L382" i="7"/>
  <c r="L394" i="7"/>
  <c r="L396" i="7"/>
  <c r="L410" i="7"/>
  <c r="L412" i="7"/>
  <c r="L421" i="7"/>
  <c r="L437" i="7"/>
  <c r="L383" i="7"/>
  <c r="L384" i="7"/>
  <c r="L400" i="7"/>
  <c r="L442" i="7"/>
  <c r="L446" i="7"/>
  <c r="L450" i="7"/>
  <c r="L454" i="7"/>
  <c r="L458" i="7"/>
  <c r="L462" i="7"/>
  <c r="L466" i="7"/>
  <c r="L470" i="7"/>
  <c r="L474" i="7"/>
  <c r="L476" i="7"/>
  <c r="L480" i="7"/>
  <c r="P4" i="2" l="1"/>
  <c r="Z7" i="4"/>
  <c r="P6" i="2"/>
  <c r="AA8" i="4"/>
  <c r="O7" i="2"/>
  <c r="F14" i="3"/>
  <c r="L172" i="7"/>
  <c r="L23" i="7"/>
  <c r="L208" i="7"/>
  <c r="L83" i="7"/>
  <c r="L43" i="7"/>
  <c r="L98" i="7"/>
  <c r="L6" i="7"/>
  <c r="I129" i="7"/>
  <c r="J129" i="7" s="1"/>
  <c r="K129" i="7" s="1"/>
  <c r="O129" i="7" s="1"/>
  <c r="I121" i="7"/>
  <c r="J121" i="7" s="1"/>
  <c r="K121" i="7" s="1"/>
  <c r="O121" i="7" s="1"/>
  <c r="L140" i="7"/>
  <c r="L60" i="7"/>
  <c r="L87" i="7"/>
  <c r="L318" i="7"/>
  <c r="L388" i="7"/>
  <c r="L385" i="7"/>
  <c r="L319" i="7"/>
  <c r="L224" i="7"/>
  <c r="L156" i="7"/>
  <c r="L24" i="7"/>
  <c r="L115" i="7"/>
  <c r="L35" i="7"/>
  <c r="L7" i="7"/>
  <c r="L230" i="7"/>
  <c r="L214" i="7"/>
  <c r="L198" i="7"/>
  <c r="L182" i="7"/>
  <c r="L70" i="7"/>
  <c r="I177" i="7"/>
  <c r="J177" i="7" s="1"/>
  <c r="K177" i="7" s="1"/>
  <c r="O177" i="7" s="1"/>
  <c r="I21" i="7"/>
  <c r="J21" i="7" s="1"/>
  <c r="K21" i="7" s="1"/>
  <c r="O21" i="7" s="1"/>
  <c r="I145" i="7"/>
  <c r="J145" i="7" s="1"/>
  <c r="K145" i="7" s="1"/>
  <c r="O145" i="7" s="1"/>
  <c r="L461" i="7"/>
  <c r="L431" i="7"/>
  <c r="I101" i="7"/>
  <c r="J101" i="7" s="1"/>
  <c r="K101" i="7" s="1"/>
  <c r="O101" i="7" s="1"/>
  <c r="I5" i="7"/>
  <c r="J5" i="7" s="1"/>
  <c r="K5" i="7" s="1"/>
  <c r="O5" i="7" s="1"/>
  <c r="L310" i="7"/>
  <c r="I85" i="7"/>
  <c r="J85" i="7" s="1"/>
  <c r="K85" i="7" s="1"/>
  <c r="O85" i="7" s="1"/>
  <c r="I201" i="7"/>
  <c r="J201" i="7" s="1"/>
  <c r="K201" i="7" s="1"/>
  <c r="O201" i="7" s="1"/>
  <c r="L232" i="7"/>
  <c r="L216" i="7"/>
  <c r="L200" i="7"/>
  <c r="L88" i="7"/>
  <c r="L227" i="7"/>
  <c r="L119" i="7"/>
  <c r="L27" i="7"/>
  <c r="L11" i="7"/>
  <c r="L102" i="7"/>
  <c r="L82" i="7"/>
  <c r="N3" i="2"/>
  <c r="AB4" i="4" s="1"/>
  <c r="I69" i="7"/>
  <c r="J69" i="7" s="1"/>
  <c r="K69" i="7" s="1"/>
  <c r="O69" i="7" s="1"/>
  <c r="I53" i="7"/>
  <c r="J53" i="7" s="1"/>
  <c r="K53" i="7" s="1"/>
  <c r="O53" i="7" s="1"/>
  <c r="I229" i="7"/>
  <c r="J229" i="7" s="1"/>
  <c r="K229" i="7" s="1"/>
  <c r="O229" i="7" s="1"/>
  <c r="I213" i="7"/>
  <c r="J213" i="7" s="1"/>
  <c r="K213" i="7" s="1"/>
  <c r="O213" i="7" s="1"/>
  <c r="I197" i="7"/>
  <c r="J197" i="7" s="1"/>
  <c r="K197" i="7" s="1"/>
  <c r="O197" i="7" s="1"/>
  <c r="L179" i="7"/>
  <c r="L39" i="7"/>
  <c r="L166" i="7"/>
  <c r="L150" i="7"/>
  <c r="L134" i="7"/>
  <c r="L118" i="7"/>
  <c r="L58" i="7"/>
  <c r="L38" i="7"/>
  <c r="I117" i="7"/>
  <c r="J117" i="7" s="1"/>
  <c r="K117" i="7" s="1"/>
  <c r="O117" i="7" s="1"/>
  <c r="L100" i="7"/>
  <c r="L76" i="7"/>
  <c r="L56" i="7"/>
  <c r="L12" i="7"/>
  <c r="L195" i="7"/>
  <c r="L175" i="7"/>
  <c r="L159" i="7"/>
  <c r="L143" i="7"/>
  <c r="L127" i="7"/>
  <c r="L19" i="7"/>
  <c r="L178" i="7"/>
  <c r="L162" i="7"/>
  <c r="L146" i="7"/>
  <c r="L130" i="7"/>
  <c r="Q4" i="2"/>
  <c r="I41" i="7"/>
  <c r="J41" i="7" s="1"/>
  <c r="K41" i="7" s="1"/>
  <c r="O41" i="7" s="1"/>
  <c r="L326" i="7"/>
  <c r="L370" i="7"/>
  <c r="L164" i="7"/>
  <c r="L148" i="7"/>
  <c r="L132" i="7"/>
  <c r="L84" i="7"/>
  <c r="L36" i="7"/>
  <c r="L20" i="7"/>
  <c r="L231" i="7"/>
  <c r="L215" i="7"/>
  <c r="L199" i="7"/>
  <c r="L183" i="7"/>
  <c r="I193" i="7"/>
  <c r="J193" i="7" s="1"/>
  <c r="K193" i="7" s="1"/>
  <c r="O193" i="7" s="1"/>
  <c r="I241" i="7"/>
  <c r="J241" i="7" s="1"/>
  <c r="K241" i="7" s="1"/>
  <c r="O241" i="7" s="1"/>
  <c r="I109" i="7"/>
  <c r="J109" i="7" s="1"/>
  <c r="K109" i="7" s="1"/>
  <c r="O109" i="7" s="1"/>
  <c r="I17" i="7"/>
  <c r="J17" i="7" s="1"/>
  <c r="K17" i="7" s="1"/>
  <c r="O17" i="7" s="1"/>
  <c r="L73" i="7"/>
  <c r="I73" i="7"/>
  <c r="J73" i="7" s="1"/>
  <c r="K73" i="7" s="1"/>
  <c r="O73" i="7" s="1"/>
  <c r="L176" i="7"/>
  <c r="L160" i="7"/>
  <c r="L144" i="7"/>
  <c r="L128" i="7"/>
  <c r="L64" i="7"/>
  <c r="L48" i="7"/>
  <c r="L66" i="7"/>
  <c r="L50" i="7"/>
  <c r="I113" i="7"/>
  <c r="J113" i="7" s="1"/>
  <c r="K113" i="7" s="1"/>
  <c r="O113" i="7" s="1"/>
  <c r="I125" i="7"/>
  <c r="J125" i="7" s="1"/>
  <c r="K125" i="7" s="1"/>
  <c r="O125" i="7" s="1"/>
  <c r="I157" i="7"/>
  <c r="J157" i="7" s="1"/>
  <c r="K157" i="7" s="1"/>
  <c r="O157" i="7" s="1"/>
  <c r="L105" i="7"/>
  <c r="I105" i="7"/>
  <c r="J105" i="7" s="1"/>
  <c r="K105" i="7" s="1"/>
  <c r="O105" i="7" s="1"/>
  <c r="L25" i="7"/>
  <c r="I25" i="7"/>
  <c r="J25" i="7" s="1"/>
  <c r="K25" i="7" s="1"/>
  <c r="O25" i="7" s="1"/>
  <c r="L89" i="7"/>
  <c r="I89" i="7"/>
  <c r="J89" i="7" s="1"/>
  <c r="K89" i="7" s="1"/>
  <c r="O89" i="7" s="1"/>
  <c r="I471" i="7"/>
  <c r="J471" i="7" s="1"/>
  <c r="K471" i="7" s="1"/>
  <c r="O471" i="7" s="1"/>
  <c r="M9" i="2" s="1"/>
  <c r="L92" i="7"/>
  <c r="L111" i="7"/>
  <c r="L79" i="7"/>
  <c r="L47" i="7"/>
  <c r="L110" i="7"/>
  <c r="L94" i="7"/>
  <c r="L30" i="7"/>
  <c r="I97" i="7"/>
  <c r="J97" i="7" s="1"/>
  <c r="K97" i="7" s="1"/>
  <c r="O97" i="7" s="1"/>
  <c r="I29" i="7"/>
  <c r="J29" i="7" s="1"/>
  <c r="K29" i="7" s="1"/>
  <c r="O29" i="7" s="1"/>
  <c r="L360" i="7"/>
  <c r="L456" i="7"/>
  <c r="L393" i="7"/>
  <c r="L473" i="7"/>
  <c r="L445" i="7"/>
  <c r="L409" i="7"/>
  <c r="L475" i="7"/>
  <c r="L455" i="7"/>
  <c r="L439" i="7"/>
  <c r="L420" i="7"/>
  <c r="L411" i="7"/>
  <c r="L369" i="7"/>
  <c r="L328" i="7"/>
  <c r="L254" i="7"/>
  <c r="L453" i="7"/>
  <c r="L407" i="7"/>
  <c r="L452" i="7"/>
  <c r="L472" i="7"/>
  <c r="L444" i="7"/>
  <c r="L436" i="7"/>
  <c r="L419" i="7"/>
  <c r="L395" i="7"/>
  <c r="L339" i="7"/>
  <c r="L355" i="7"/>
  <c r="L320" i="7"/>
  <c r="L322" i="7"/>
  <c r="L249" i="7"/>
  <c r="L468" i="7"/>
  <c r="L460" i="7"/>
  <c r="L449" i="7"/>
  <c r="L403" i="7"/>
  <c r="L387" i="7"/>
  <c r="L451" i="7"/>
  <c r="L469" i="7"/>
  <c r="L443" i="7"/>
  <c r="L432" i="7"/>
  <c r="L416" i="7"/>
  <c r="L389" i="7"/>
  <c r="L314" i="7"/>
  <c r="L343" i="7"/>
  <c r="L245" i="7"/>
  <c r="L467" i="7"/>
  <c r="L377" i="7"/>
  <c r="L459" i="7"/>
  <c r="L425" i="7"/>
  <c r="L391" i="7"/>
  <c r="L465" i="7"/>
  <c r="L440" i="7"/>
  <c r="L424" i="7"/>
  <c r="L415" i="7"/>
  <c r="L351" i="7"/>
  <c r="L312" i="7"/>
  <c r="L258" i="7"/>
  <c r="L335" i="7"/>
  <c r="L364" i="7"/>
  <c r="L8" i="2"/>
  <c r="P8" i="2" s="1"/>
  <c r="F8" i="3"/>
  <c r="E8" i="3"/>
  <c r="F17" i="3"/>
  <c r="E17" i="3"/>
  <c r="L344" i="7"/>
  <c r="L325" i="7"/>
  <c r="L9" i="2"/>
  <c r="L376" i="7"/>
  <c r="L263" i="7"/>
  <c r="AA15" i="4"/>
  <c r="N14" i="2"/>
  <c r="R14" i="2" s="1"/>
  <c r="AA7" i="4"/>
  <c r="N6" i="2"/>
  <c r="Q7" i="2"/>
  <c r="AB12" i="4"/>
  <c r="O11" i="2"/>
  <c r="L368" i="7"/>
  <c r="L336" i="7"/>
  <c r="L321" i="7"/>
  <c r="L317" i="7"/>
  <c r="L309" i="7"/>
  <c r="L333" i="7"/>
  <c r="AA13" i="4"/>
  <c r="N12" i="2"/>
  <c r="Q13" i="2"/>
  <c r="Q5" i="2"/>
  <c r="AA5" i="4"/>
  <c r="N4" i="2"/>
  <c r="L397" i="7"/>
  <c r="L329" i="7"/>
  <c r="L313" i="7"/>
  <c r="L352" i="7"/>
  <c r="L255" i="7"/>
  <c r="Q14" i="2"/>
  <c r="Q11" i="2"/>
  <c r="AA11" i="4"/>
  <c r="N10" i="2"/>
  <c r="Q6" i="2"/>
  <c r="AB14" i="4"/>
  <c r="O13" i="2"/>
  <c r="M8" i="2" l="1"/>
  <c r="Q8" i="2" s="1"/>
  <c r="L471" i="7"/>
  <c r="O3" i="2"/>
  <c r="Q9" i="2"/>
  <c r="C30" i="3"/>
  <c r="Z9" i="4"/>
  <c r="AB11" i="4"/>
  <c r="O10" i="2"/>
  <c r="R11" i="2"/>
  <c r="AB15" i="4"/>
  <c r="O14" i="2"/>
  <c r="AB5" i="4"/>
  <c r="R5" i="2"/>
  <c r="O4" i="2"/>
  <c r="R4" i="2"/>
  <c r="AB13" i="4"/>
  <c r="R13" i="2"/>
  <c r="O12" i="2"/>
  <c r="Z10" i="4"/>
  <c r="B30" i="3"/>
  <c r="P10" i="2"/>
  <c r="P9" i="2"/>
  <c r="R7" i="2"/>
  <c r="AB7" i="4"/>
  <c r="O6" i="2"/>
  <c r="R6" i="2"/>
  <c r="AA10" i="4"/>
  <c r="B33" i="3"/>
  <c r="Q10" i="2"/>
  <c r="N9" i="2"/>
  <c r="R12" i="2"/>
  <c r="N8" i="2" l="1"/>
  <c r="C33" i="3"/>
  <c r="D33" i="3" s="1"/>
  <c r="AA9" i="4"/>
  <c r="R9" i="2"/>
  <c r="R8" i="2"/>
  <c r="C36" i="3"/>
  <c r="D30" i="3"/>
  <c r="E30" i="3" s="1"/>
  <c r="AB10" i="4"/>
  <c r="B36" i="3"/>
  <c r="R10" i="2"/>
  <c r="O9" i="2"/>
  <c r="F30" i="3"/>
  <c r="F33" i="3" l="1"/>
  <c r="E33" i="3"/>
  <c r="O8" i="2"/>
  <c r="AB9" i="4"/>
  <c r="D36" i="3"/>
  <c r="F36" i="3" s="1"/>
  <c r="E36" i="3" l="1"/>
</calcChain>
</file>

<file path=xl/sharedStrings.xml><?xml version="1.0" encoding="utf-8"?>
<sst xmlns="http://schemas.openxmlformats.org/spreadsheetml/2006/main" count="2585" uniqueCount="368">
  <si>
    <t>📋  جدول المدخلات الشهرية</t>
  </si>
  <si>
    <t>المبيعات والتشغيل</t>
  </si>
  <si>
    <t>🏦 الصندوق (الكاش الفعلي)</t>
  </si>
  <si>
    <t>الديون التي لنا</t>
  </si>
  <si>
    <t>الديون التي علينا</t>
  </si>
  <si>
    <t>الشهر</t>
  </si>
  <si>
    <t>المبيعات (ل.س)</t>
  </si>
  <si>
    <t>المشتريات (ل.س)</t>
  </si>
  <si>
    <t>المصاريف (ل.س)</t>
  </si>
  <si>
    <t>الربح/الخسارة (آلي)</t>
  </si>
  <si>
    <t>صندوق (ل.س)</t>
  </si>
  <si>
    <t>صندوق (دولار)</t>
  </si>
  <si>
    <t>دين لنا (ل.س)</t>
  </si>
  <si>
    <t>دين لنا ($)</t>
  </si>
  <si>
    <t>دين علينا (ل.س)</t>
  </si>
  <si>
    <t>دين علينا ($)</t>
  </si>
  <si>
    <t>مفتاح الشهر (YYYYMM)</t>
  </si>
  <si>
    <t>سعر الصرف (1$ = ؟ ل.س)</t>
  </si>
  <si>
    <t>يناير</t>
  </si>
  <si>
    <t>فبراير</t>
  </si>
  <si>
    <t>مارس</t>
  </si>
  <si>
    <t>أبريل</t>
  </si>
  <si>
    <t>مايو</t>
  </si>
  <si>
    <t>يونيو</t>
  </si>
  <si>
    <t>يوليو</t>
  </si>
  <si>
    <t>أغسطس</t>
  </si>
  <si>
    <t>سبتمبر</t>
  </si>
  <si>
    <t>أكتوبر</t>
  </si>
  <si>
    <t>نوفمبر</t>
  </si>
  <si>
    <t>ديسمبر</t>
  </si>
  <si>
    <t>💡 الأزرق = أرقام يدوية  |  الأسود = محسوب تلقائياً  |  الصندوق: أدخل الكاش الموجود فعلاً بالليرة السورية والدولار</t>
  </si>
  <si>
    <t>🆕 عمود "سعر الصرف" ضروري لأن أصناف المخزون مسعّرة في برنامج المحاسبة بعملتين (دولار وليرة سورية). عبّئه شهرياً بمتوسط سعر الصرف خلال الشهر ليتم توحيد قيمة المخزون وتكلفة الاستهلاك بالليرة السورية في صفحة "أرشيف المخزون".</t>
  </si>
  <si>
    <t>📊  الحسابات الشهرية</t>
  </si>
  <si>
    <t>الربح/الخسارة</t>
  </si>
  <si>
    <t>هامش الربح %</t>
  </si>
  <si>
    <t>نمو المبيعات %</t>
  </si>
  <si>
    <t>نسبة المصاريف %</t>
  </si>
  <si>
    <t>صندوق ($)</t>
  </si>
  <si>
    <t>صافي الدين (ل.س)</t>
  </si>
  <si>
    <t>صافي الدين ($)</t>
  </si>
  <si>
    <t>الحالة</t>
  </si>
  <si>
    <t>مفتاح الشهر</t>
  </si>
  <si>
    <t>قيمة المخزون</t>
  </si>
  <si>
    <t>تكلفة المواد المستهلكة</t>
  </si>
  <si>
    <t>صافي الربح الحقيقي</t>
  </si>
  <si>
    <t>هامش الربح الحقيقي %</t>
  </si>
  <si>
    <t>تغير قيمة المخزون %</t>
  </si>
  <si>
    <t>تغير تكلفة الاستهلاك %</t>
  </si>
  <si>
    <t>تغير الربح الحقيقي %</t>
  </si>
  <si>
    <t>🏢  لوحة التحكم المالية الذكية</t>
  </si>
  <si>
    <t>💰
المبيعات</t>
  </si>
  <si>
    <t>آخر شهر</t>
  </si>
  <si>
    <t>الشهر السابق</t>
  </si>
  <si>
    <t>التغير %</t>
  </si>
  <si>
    <t>📈</t>
  </si>
  <si>
    <t>الوضع</t>
  </si>
  <si>
    <t>📈
الربح/الخسارة (تقديري - على أساس المشتريات)</t>
  </si>
  <si>
    <t>💸
المصاريف</t>
  </si>
  <si>
    <t>🏦
صافي الدين (ل.س)</t>
  </si>
  <si>
    <t>💵
صافي الدين ($)</t>
  </si>
  <si>
    <t>🏦  الكاش المتاح في الصندوق</t>
  </si>
  <si>
    <t>كاش الصندوق</t>
  </si>
  <si>
    <t>ليرة سورية</t>
  </si>
  <si>
    <t>دولار أمريكي</t>
  </si>
  <si>
    <t>📋  تفصيل الديون بالعملتين</t>
  </si>
  <si>
    <t>البيان</t>
  </si>
  <si>
    <t>دولار</t>
  </si>
  <si>
    <t>ديون لنا 🟢</t>
  </si>
  <si>
    <t>ديون علينا 🔴</t>
  </si>
  <si>
    <t>صافي الدين</t>
  </si>
  <si>
    <t>📦
قيمة المخزون</t>
  </si>
  <si>
    <t>🧾
تكلفة المواد المستهلكة</t>
  </si>
  <si>
    <t>💚
صافي الربح الحقيقي</t>
  </si>
  <si>
    <t>💡 الربح الحقيقي = المبيعات − تكلفة المواد المستهلكة فعلياً (من أرشيف المخزون) − المصاريف الأخرى. وهو أدق من بطاقة "الربح/الخسارة" أعلاه لأنه لا يعتمد على قيمة المشتريات الشهرية بل على ما استُهلك فعلياً من المخزون.</t>
  </si>
  <si>
    <t>📊  الرسوم البيانية</t>
  </si>
  <si>
    <t>🟠 مصاريف  |  🟢 ديون لنا  |  🔴 ديون علينا  |  💜 صافي الدين  |  💵 دولار  —  كل نقطة = شهر واحد، الخط المتموج يوضح الاتجاه العام</t>
  </si>
  <si>
    <t>المصاريف</t>
  </si>
  <si>
    <t>نسبة المصاريف</t>
  </si>
  <si>
    <t>📦 قيمة المخزون  |  🧾 تكلفة المواد المستهلكة  |  💚 صافي الربح الحقيقي — مبنية على أرشيف المخزون الفعلي وليس على المشتريات</t>
  </si>
  <si>
    <t>💧  تقرير السيولة</t>
  </si>
  <si>
    <t>🇸🇾  السيولة بالليرة السورية</t>
  </si>
  <si>
    <t>المبلغ</t>
  </si>
  <si>
    <t>ملاحظة</t>
  </si>
  <si>
    <t>المبيعات</t>
  </si>
  <si>
    <t>المشتريات</t>
  </si>
  <si>
    <t>الربح التشغيلي</t>
  </si>
  <si>
    <t>ديون لنا</t>
  </si>
  <si>
    <t>ديون علينا</t>
  </si>
  <si>
    <t>🇺🇸  السيولة بالدولار الأمريكي</t>
  </si>
  <si>
    <t>📥  استيراد بيانات الشهر (من برنامج المحاسبة)</t>
  </si>
  <si>
    <t>💡 خطوات الاستيراد كل شهر:  1) عبّئ مفتاح الشهر واسم الشهر أدناه.   2) الصق تقرير الأصناف بالكامل من برنامج المحاسبة في A7  بنفس أعمدته التسعة (اسم الصنف، الكمية، سعر الجملة، القطاعي، جملة الجملة، العملة، الفئة، الفئة الفرعية، الشراء) دون أي تعديل بالترتيب — العمود المعتمد كسعر شراء للمخزون هو عمود "الشراء".   3) تأكد أن عمود "فحص" (L) يظهر ✅ لكل الأصناف.   4) انسخ النطاق المُجهّز للأرشفة N7:S(آخر صف) والصقه (قيم فقط) أسفل آخر صف مستخدم في جدول "أرشيف المخزون" — هذه هي خطوة الأرشفة الوحيدة التي تحافظ على تاريخ كل الأشهر.</t>
  </si>
  <si>
    <t>مفتاح الشهر (YYYYMM):</t>
  </si>
  <si>
    <t>اسم الشهر للعرض:</t>
  </si>
  <si>
    <t>يوليو 2026</t>
  </si>
  <si>
    <t>📋  مُجهّز جاهز للنسخ إلى أرشيف المخزون (بنفس ترتيب أعمدة الأرشيف)</t>
  </si>
  <si>
    <t>اسم الصنف</t>
  </si>
  <si>
    <t>الكمية</t>
  </si>
  <si>
    <t>سعر الجملة</t>
  </si>
  <si>
    <t>القطاعي</t>
  </si>
  <si>
    <t>جملة الجملة</t>
  </si>
  <si>
    <t>العملة</t>
  </si>
  <si>
    <t>الفــئة</t>
  </si>
  <si>
    <t>الفــئة الفرعية</t>
  </si>
  <si>
    <t>الشراء</t>
  </si>
  <si>
    <t>مفتاح الشهر (تلقائي)</t>
  </si>
  <si>
    <t>اسم الشهر (تلقائي)</t>
  </si>
  <si>
    <t>فحص</t>
  </si>
  <si>
    <t>اسم الشهر</t>
  </si>
  <si>
    <t>اسم المادة</t>
  </si>
  <si>
    <t>سعر الشراء</t>
  </si>
  <si>
    <t>ملمع زجاج خام</t>
  </si>
  <si>
    <t>All</t>
  </si>
  <si>
    <t>الطبخات</t>
  </si>
  <si>
    <t>ملمع دواليب خام</t>
  </si>
  <si>
    <t>ملح</t>
  </si>
  <si>
    <t>مواد خام</t>
  </si>
  <si>
    <t>مقصب</t>
  </si>
  <si>
    <t>معطر فانيليا خام</t>
  </si>
  <si>
    <t>معطر ارضيات نسيم المحيط خام</t>
  </si>
  <si>
    <t>معطر ارضيات ليلك خام</t>
  </si>
  <si>
    <t>معطر ارضيات زهرة التوليب خام</t>
  </si>
  <si>
    <t>معطر ارضيات رائحة الورود خام</t>
  </si>
  <si>
    <t>معطر ارضيات ببوري خام</t>
  </si>
  <si>
    <t>معطر ارضيات الليمون المنعش خام</t>
  </si>
  <si>
    <t>معطر ارضيات العود خام</t>
  </si>
  <si>
    <t>معطر ارضيات ازهار النرجس خام</t>
  </si>
  <si>
    <t xml:space="preserve">مجمد </t>
  </si>
  <si>
    <t>مانع رغوة مائي</t>
  </si>
  <si>
    <t>مانع رغوة سيليكون</t>
  </si>
  <si>
    <t>ماء مقطرة</t>
  </si>
  <si>
    <t>ماء مالح خام</t>
  </si>
  <si>
    <t xml:space="preserve">ماء بلسم </t>
  </si>
  <si>
    <t>كمبرلان</t>
  </si>
  <si>
    <t>كليمازول</t>
  </si>
  <si>
    <t>كلور خام</t>
  </si>
  <si>
    <t>قاشط سيارات خام</t>
  </si>
  <si>
    <t xml:space="preserve">قاشط خام </t>
  </si>
  <si>
    <t>فاتي كحول</t>
  </si>
  <si>
    <t>غليسيرين</t>
  </si>
  <si>
    <t>مواد جاهزة للبيع</t>
  </si>
  <si>
    <t>عملاق خام</t>
  </si>
  <si>
    <t>عطر هامول</t>
  </si>
  <si>
    <t>عطر مسك احمر</t>
  </si>
  <si>
    <t>عطر مسك</t>
  </si>
  <si>
    <t>عطر ليمون ماكسي</t>
  </si>
  <si>
    <t>عطر عسل</t>
  </si>
  <si>
    <t>عطر جوز الهند</t>
  </si>
  <si>
    <t>عطر بانتين</t>
  </si>
  <si>
    <t>عطر اوليفا</t>
  </si>
  <si>
    <t xml:space="preserve">طبخة رابع مخصصة </t>
  </si>
  <si>
    <t>طبخة رابع تنتح طبختين</t>
  </si>
  <si>
    <t xml:space="preserve">طبخة اول تنتج طبختين </t>
  </si>
  <si>
    <t>طبخة الاندومي</t>
  </si>
  <si>
    <t>طبالي خشب</t>
  </si>
  <si>
    <t xml:space="preserve">صودا أش </t>
  </si>
  <si>
    <t xml:space="preserve">صبغة </t>
  </si>
  <si>
    <t>صابون سادة خام</t>
  </si>
  <si>
    <t>صابون سائل ماء الذهب خام</t>
  </si>
  <si>
    <t>صابون سائل لافندر خام</t>
  </si>
  <si>
    <t xml:space="preserve">صابون سائل عود خام </t>
  </si>
  <si>
    <t>شامبو خام</t>
  </si>
  <si>
    <t xml:space="preserve">سيليكات سائلة </t>
  </si>
  <si>
    <t>سائل غسيل اتوماتيك خام</t>
  </si>
  <si>
    <t xml:space="preserve">سائل جلي ليمون رابع خام </t>
  </si>
  <si>
    <t xml:space="preserve">سائل جلي ليمون ثاني خام </t>
  </si>
  <si>
    <t xml:space="preserve">سائل جلي ليمون ثالث خام </t>
  </si>
  <si>
    <t xml:space="preserve">سائل جلي ليمون اول خام </t>
  </si>
  <si>
    <t xml:space="preserve">سائل جلي ليلك رابع خام </t>
  </si>
  <si>
    <t xml:space="preserve">سائل جلي ليلك ثاني خام </t>
  </si>
  <si>
    <t xml:space="preserve">سائل جلي ليلك ثالث خام </t>
  </si>
  <si>
    <t xml:space="preserve">سائل جلي ليلك اول خام </t>
  </si>
  <si>
    <t xml:space="preserve">سائل جلي فريز رابع خام </t>
  </si>
  <si>
    <t xml:space="preserve">سائل جلي فريز ثاني خام </t>
  </si>
  <si>
    <t xml:space="preserve">سائل جلي فريز ثالث خام </t>
  </si>
  <si>
    <t xml:space="preserve">سائل جلي فريز اول خام </t>
  </si>
  <si>
    <t xml:space="preserve">سائل جلي سادة رابع خام </t>
  </si>
  <si>
    <t xml:space="preserve">سائل جلي سادة ثاني خام </t>
  </si>
  <si>
    <t xml:space="preserve">سائل جلي سادة ثالث خام </t>
  </si>
  <si>
    <t xml:space="preserve">سائل جلي سادة اول خام </t>
  </si>
  <si>
    <t xml:space="preserve">سائل جلي تفاح رابع خام </t>
  </si>
  <si>
    <t xml:space="preserve">سائل جلي تفاح ثاني خام </t>
  </si>
  <si>
    <t xml:space="preserve">سائل جلي تفاح ثالث خام </t>
  </si>
  <si>
    <t xml:space="preserve">سائل جلي تفاح اول خام </t>
  </si>
  <si>
    <t>زيت الصنوبر</t>
  </si>
  <si>
    <t>زنجارة</t>
  </si>
  <si>
    <t>زفتة</t>
  </si>
  <si>
    <t>ديباتيول فينب</t>
  </si>
  <si>
    <t>دواء غسيل نصف مصنع</t>
  </si>
  <si>
    <t>حمض الليمون</t>
  </si>
  <si>
    <t>حمض الكبريت</t>
  </si>
  <si>
    <t>حمض الخل</t>
  </si>
  <si>
    <t>حليب التين</t>
  </si>
  <si>
    <t xml:space="preserve">حبيبات ملونة </t>
  </si>
  <si>
    <t>تكسبون</t>
  </si>
  <si>
    <t>بيتائين</t>
  </si>
  <si>
    <t>بوتيل غليكول</t>
  </si>
  <si>
    <t>بلسم خام</t>
  </si>
  <si>
    <t>بلسم جامد</t>
  </si>
  <si>
    <t>ايمولجين</t>
  </si>
  <si>
    <t>ايديتا</t>
  </si>
  <si>
    <t>اسيتون</t>
  </si>
  <si>
    <t>مماسح مكتب َ</t>
  </si>
  <si>
    <t>مماسح قماش عائلة فايبر</t>
  </si>
  <si>
    <t>مماسح جلدية</t>
  </si>
  <si>
    <t>مماسح بلور</t>
  </si>
  <si>
    <t>مماسح ارضيات</t>
  </si>
  <si>
    <t>ملمع زجاج الكرمل</t>
  </si>
  <si>
    <t>ملطف جو ليتس</t>
  </si>
  <si>
    <t>ملطف جو</t>
  </si>
  <si>
    <t xml:space="preserve">مكانس ناعمة كثيفة </t>
  </si>
  <si>
    <t xml:space="preserve">مكانس خشنة </t>
  </si>
  <si>
    <t>معطر عافية</t>
  </si>
  <si>
    <t>معطر سيارات</t>
  </si>
  <si>
    <t>معطر رينزو</t>
  </si>
  <si>
    <t>محارم مكتب</t>
  </si>
  <si>
    <t>محارم تواليت</t>
  </si>
  <si>
    <t>محارم تنشيف</t>
  </si>
  <si>
    <t>محارم الكرزة</t>
  </si>
  <si>
    <t>مبيد حشري بار بار</t>
  </si>
  <si>
    <t xml:space="preserve">ليف جلي ثلاثية </t>
  </si>
  <si>
    <t>ليف اسفنج</t>
  </si>
  <si>
    <t>لوح صابون مسك</t>
  </si>
  <si>
    <t>لصاقة طابعة</t>
  </si>
  <si>
    <t>لاصق</t>
  </si>
  <si>
    <t>كياس نايلون</t>
  </si>
  <si>
    <t>كياس قمامة</t>
  </si>
  <si>
    <t>كمامات</t>
  </si>
  <si>
    <t>كفوف نايلون</t>
  </si>
  <si>
    <t>كفوف طبية</t>
  </si>
  <si>
    <t>كفوف صناعية</t>
  </si>
  <si>
    <t>كفوف جلي</t>
  </si>
  <si>
    <t>كريك بلاستيك</t>
  </si>
  <si>
    <t>فرشاية بسط</t>
  </si>
  <si>
    <t>فرشاة حمام</t>
  </si>
  <si>
    <t>فازلين</t>
  </si>
  <si>
    <t xml:space="preserve">فاربن مزيل شعر </t>
  </si>
  <si>
    <t xml:space="preserve">عملاق </t>
  </si>
  <si>
    <t>عصايات</t>
  </si>
  <si>
    <t>عبوات حليبي</t>
  </si>
  <si>
    <t>طواقي راس</t>
  </si>
  <si>
    <t>صابون كرمل</t>
  </si>
  <si>
    <t>صابون سائل</t>
  </si>
  <si>
    <t>شامبو سيارات</t>
  </si>
  <si>
    <t xml:space="preserve">شامبو </t>
  </si>
  <si>
    <t>سيف عائلاتي</t>
  </si>
  <si>
    <t xml:space="preserve">سيف بريفيت </t>
  </si>
  <si>
    <t>سيف برلنت</t>
  </si>
  <si>
    <t>سيف الكرار نخب اول</t>
  </si>
  <si>
    <t>سلة غسيل</t>
  </si>
  <si>
    <t>سائل مغسل</t>
  </si>
  <si>
    <t>سائل غسيل زهري</t>
  </si>
  <si>
    <t xml:space="preserve">سائل جلي متعدد الاستعمالات كرمل </t>
  </si>
  <si>
    <t>ديتول خام</t>
  </si>
  <si>
    <t xml:space="preserve">دواء غسيل بودرا </t>
  </si>
  <si>
    <t>دوا غسيل نورا</t>
  </si>
  <si>
    <t xml:space="preserve">دفتر </t>
  </si>
  <si>
    <t xml:space="preserve">خردة وبلاستيك </t>
  </si>
  <si>
    <t>برميل كرتون</t>
  </si>
  <si>
    <t>برميل تكسبون فارغ</t>
  </si>
  <si>
    <t>برميل بلاستيك</t>
  </si>
  <si>
    <t xml:space="preserve">اقراص كلور </t>
  </si>
  <si>
    <t>🗄️  أرشيف المخزون — السجل التاريخي الدائم</t>
  </si>
  <si>
    <t>💡 هذا الجدول يحفظ بيانات كل شهر بشكل دائم (لا يُحذف عند استيراد شهر جديد). كل شهر جديد = صفوف جديدة تُضاف أسفل آخر صف مستخدم. الصق فقط في الأعمدة A:F (القيم، وليس المعادلات) من صفحة "استيراد بيانات الشهر". بقية الأعمدة (G:L) محسوبة تلقائياً ومُجهّزة مسبقاً لعدد كبير من الصفوف.</t>
  </si>
  <si>
    <t>قيمة المادة</t>
  </si>
  <si>
    <t>آخر مفتاح شهر سابق*</t>
  </si>
  <si>
    <t>الكمية بالشهر السابق</t>
  </si>
  <si>
    <t>الكمية المستهلكة</t>
  </si>
  <si>
    <t>ملاحظة/فحص</t>
  </si>
  <si>
    <t>سعر الصرف المستخدم</t>
  </si>
  <si>
    <t>قيمة المادة (موحدة ل.س)</t>
  </si>
  <si>
    <t>تكلفة الاستهلاك (موحدة ل.س)</t>
  </si>
  <si>
    <t>يونيو 2026</t>
  </si>
  <si>
    <t>لانيت 16 ماليزي</t>
  </si>
  <si>
    <t>كوستيك-قطرونة</t>
  </si>
  <si>
    <t>كحول (ايثانول)</t>
  </si>
  <si>
    <t>فورمول ( سم )</t>
  </si>
  <si>
    <t>غطا عبوة 3لتر</t>
  </si>
  <si>
    <t xml:space="preserve">عطر-نسيم-المحيط ocean-breeze - 327993 </t>
  </si>
  <si>
    <t>عطر-ليمون shiny-star - 485764</t>
  </si>
  <si>
    <t>عطر-ليمون citrus lemon new - 321639</t>
  </si>
  <si>
    <t>عطر-ليلك ariel-sensation - 318728</t>
  </si>
  <si>
    <t>عطر-فريز</t>
  </si>
  <si>
    <t xml:space="preserve">عطر-سلطان </t>
  </si>
  <si>
    <t>عطر-زهور lovely-petals - 485718</t>
  </si>
  <si>
    <t>عطر-رمان apple grandada - 322730</t>
  </si>
  <si>
    <t>عطر-توليب fresh-scent-amour - 485833</t>
  </si>
  <si>
    <t xml:space="preserve">عطر-تفاح apple - 317691 </t>
  </si>
  <si>
    <t>عطر-برنس</t>
  </si>
  <si>
    <t>عطر-ببوري ultimate-mixture - 485797</t>
  </si>
  <si>
    <t>عطر-ازهار-الربيع spring - 318643</t>
  </si>
  <si>
    <t>عطر بيشبه بيدون السلطان - 87287252-750</t>
  </si>
  <si>
    <t>عطر ramani-kodi-000110</t>
  </si>
  <si>
    <t>عطر magic sprel - 6168581</t>
  </si>
  <si>
    <t>عطر kavien-clein-eforia-000020</t>
  </si>
  <si>
    <t>عطر energy-000400</t>
  </si>
  <si>
    <t>عطر Blue APC - 0001198620</t>
  </si>
  <si>
    <t>عطر billionair-000250</t>
  </si>
  <si>
    <t>عطر be-apple-000320</t>
  </si>
  <si>
    <t xml:space="preserve">عبوة 1 لتر </t>
  </si>
  <si>
    <t>سائل جلي سادة اول خام 500 كغ</t>
  </si>
  <si>
    <t>دوا غسيل بودرا 60 كغ خام</t>
  </si>
  <si>
    <t>دوا غسيل بودرا 170 كغ خام</t>
  </si>
  <si>
    <t>دوا غسيل بودرا &amp;&amp; كغ خام</t>
  </si>
  <si>
    <t xml:space="preserve">بيدون 4 لتر </t>
  </si>
  <si>
    <t>بي اتش - BH خام</t>
  </si>
  <si>
    <t>بروبلين - فينب</t>
  </si>
  <si>
    <t>اسيد - روح الملح - حمض كلور الماء</t>
  </si>
  <si>
    <t>مياه مقطرة 4 لتر</t>
  </si>
  <si>
    <t>مياه مقطرة 1 لتر</t>
  </si>
  <si>
    <t>مهسهس زفته - معجون</t>
  </si>
  <si>
    <t>ملمع سيارات 3 لتر</t>
  </si>
  <si>
    <t>ملمع سيارات / فرط</t>
  </si>
  <si>
    <t>ملمع زجاج 3 لتر</t>
  </si>
  <si>
    <t>ملمع زجاج / فرط</t>
  </si>
  <si>
    <t>معطر كرمل .</t>
  </si>
  <si>
    <t xml:space="preserve">معطر super / فرط </t>
  </si>
  <si>
    <t>معطر super / عبوة 3 لتر</t>
  </si>
  <si>
    <t>مصاريف سيارات + ...</t>
  </si>
  <si>
    <t xml:space="preserve">مساحات / نشافات </t>
  </si>
  <si>
    <t>كلور 4 لتر</t>
  </si>
  <si>
    <t>كلور 1 لتر</t>
  </si>
  <si>
    <t xml:space="preserve">كلور / فرط </t>
  </si>
  <si>
    <t>كاسات شاي صغيرة 17 *6</t>
  </si>
  <si>
    <t>قاشط سيارات / فرط</t>
  </si>
  <si>
    <t xml:space="preserve">قاشط المينيوم - ساندي / فرط </t>
  </si>
  <si>
    <t>قاشط  المينيوم 3 لتر</t>
  </si>
  <si>
    <t xml:space="preserve">فلاش 4 لتر </t>
  </si>
  <si>
    <t>فلاش / فرط</t>
  </si>
  <si>
    <t>عملاق 3 لتر</t>
  </si>
  <si>
    <t xml:space="preserve">عبوات كلور + فلاش فارغة </t>
  </si>
  <si>
    <t>عبوات شفافة 3 لتر</t>
  </si>
  <si>
    <t xml:space="preserve">صابون سادة </t>
  </si>
  <si>
    <t xml:space="preserve">صابون super / فرط </t>
  </si>
  <si>
    <t>صابون super / عبوة 3 لتر</t>
  </si>
  <si>
    <t>شامبو 3 لتر</t>
  </si>
  <si>
    <t>سيف الكرار 2602</t>
  </si>
  <si>
    <t>سائل غسيل اتوماتيك 3 لتر</t>
  </si>
  <si>
    <t xml:space="preserve">سائل غسيل اتوماتيك / فرط </t>
  </si>
  <si>
    <t xml:space="preserve">سائل جلي متعدد الإستعمالات - غولدن هاوس 1 لتر </t>
  </si>
  <si>
    <t>سائل جلي شفاف مع عطر / فرط</t>
  </si>
  <si>
    <t>سائل جلي super / فرط 2604</t>
  </si>
  <si>
    <t>سائل جلي super / فرط 2603</t>
  </si>
  <si>
    <t>سائل جلي super / فرط 2602</t>
  </si>
  <si>
    <t>سائل جلي super / فرط 2601</t>
  </si>
  <si>
    <t>سائل جلي super / عبوة 3 لتر 2604</t>
  </si>
  <si>
    <t>سائل جلي super / عبوة 3 لتر 2603</t>
  </si>
  <si>
    <t>سائل جلي super / عبوة 3 لتر 2602</t>
  </si>
  <si>
    <t>سائل جلي super / عبوة 3 لتر 2601</t>
  </si>
  <si>
    <t>زيت صنوبر 3 لتر</t>
  </si>
  <si>
    <t xml:space="preserve">ديتول 3 لتر </t>
  </si>
  <si>
    <t xml:space="preserve">ديتول / فرط </t>
  </si>
  <si>
    <t>دبجانة 50 كغ</t>
  </si>
  <si>
    <t>جاطات + طشوطة بلاستيك</t>
  </si>
  <si>
    <t>بيدون سعة 5 كغ</t>
  </si>
  <si>
    <t>بيدون سعة 10 كغ</t>
  </si>
  <si>
    <t>بيدون !</t>
  </si>
  <si>
    <t xml:space="preserve">بي اتش 3 لتر </t>
  </si>
  <si>
    <t>بي اتش - كرتونة</t>
  </si>
  <si>
    <t>بي اتش - BH / فرط</t>
  </si>
  <si>
    <t>بي أتش ph الكرمل</t>
  </si>
  <si>
    <t>بلسم 3 لتر</t>
  </si>
  <si>
    <t>بلسم / فرط</t>
  </si>
  <si>
    <t>أسيد 3 لتر</t>
  </si>
  <si>
    <t>أسيد 1 لتر</t>
  </si>
  <si>
    <t>اسيد 3 لتر</t>
  </si>
  <si>
    <t>* عمود مساعد (يمكن إخفاؤه): يبحث عن آخر مفتاح شهر أقدم لنفس المادة بغض النظر عن ترتيب الصفوف، لضمان صحة حساب الاستهلاك دائماً.</t>
  </si>
  <si>
    <t>💱 الأعمدة M:O توحّد كل الأصناف بالليرة السورية باستخدام سعر الصرف الشهري من صفحة المدخلات، لأن دمج قيم بالدولار مع قيم بالليرة مباشرة (كما كان يحدث سابقاً في G/K) يعطي أرقاماً غير حقيقية.</t>
  </si>
  <si>
    <t>عطر صنوبر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</si>
</sst>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ل.س&quot;"/>
    <numFmt numFmtId="165" formatCode="\$#,##0"/>
    <numFmt numFmtId="166" formatCode="0.0%"/>
    <numFmt numFmtId="167" formatCode="#,##0.###"/>
    <numFmt numFmtId="168" formatCode="#,##0.##"/>
  </numFmts>
  <fonts count="19">
    <font>
      <sz val="11"/>
      <color theme="1"/>
      <name val="Calibri"/>
      <family val="2"/>
      <charset val="1"/>
    </font>
    <font>
      <b/>
      <sz val="14"/>
      <color rgb="FFFFFFFF"/>
      <name val="Arial"/>
      <charset val="1"/>
    </font>
    <font>
      <b/>
      <sz val="10"/>
      <color rgb="FFFFFFFF"/>
      <name val="Arial"/>
      <charset val="1"/>
    </font>
    <font>
      <b/>
      <sz val="9"/>
      <color rgb="FFFFFFFF"/>
      <name val="Arial"/>
      <charset val="1"/>
    </font>
    <font>
      <b/>
      <sz val="10"/>
      <color rgb="FF1F4E79"/>
      <name val="Arial"/>
      <charset val="1"/>
    </font>
    <font>
      <sz val="10"/>
      <color rgb="FF000000"/>
      <name val="Arial"/>
      <charset val="1"/>
    </font>
    <font>
      <sz val="10"/>
      <color rgb="FF0000FF"/>
      <name val="Arial"/>
      <charset val="1"/>
    </font>
    <font>
      <i/>
      <sz val="9"/>
      <color rgb="FF595959"/>
      <name val="Arial"/>
      <charset val="1"/>
    </font>
    <font>
      <sz val="11"/>
      <color rgb="FF000000"/>
      <name val="Arial"/>
      <charset val="1"/>
    </font>
    <font>
      <b/>
      <sz val="16"/>
      <color rgb="FFFFFFFF"/>
      <name val="Arial"/>
      <charset val="1"/>
    </font>
    <font>
      <b/>
      <sz val="12"/>
      <color rgb="FF1F4E79"/>
      <name val="Arial"/>
      <charset val="1"/>
    </font>
    <font>
      <b/>
      <sz val="11"/>
      <color rgb="FF000000"/>
      <name val="Arial"/>
      <charset val="1"/>
    </font>
    <font>
      <b/>
      <sz val="14"/>
      <color rgb="FF000000"/>
      <name val="Arial"/>
      <charset val="1"/>
    </font>
    <font>
      <sz val="12"/>
      <color rgb="FF000000"/>
      <name val="Arial"/>
      <charset val="1"/>
    </font>
    <font>
      <b/>
      <sz val="12"/>
      <color rgb="FFFFFFFF"/>
      <name val="Arial"/>
      <charset val="1"/>
    </font>
    <font>
      <b/>
      <sz val="10"/>
      <color rgb="FF000000"/>
      <name val="Arial"/>
      <charset val="1"/>
    </font>
    <font>
      <b/>
      <sz val="11"/>
      <color rgb="FF00B050"/>
      <name val="Arial"/>
      <charset val="1"/>
    </font>
    <font>
      <b/>
      <sz val="8"/>
      <name val="FreeSans"/>
      <family val="2"/>
      <charset val="1"/>
    </font>
    <font>
      <sz val="11"/>
      <color theme="1"/>
      <name val="FreeSans"/>
      <family val="2"/>
    </font>
  </fonts>
  <fills count="23">
    <fill>
      <patternFill patternType="none"/>
    </fill>
    <fill>
      <patternFill patternType="gray125"/>
    </fill>
    <fill>
      <patternFill patternType="solid">
        <fgColor rgb="FF1F4E79"/>
        <bgColor rgb="FF064D8E"/>
      </patternFill>
    </fill>
    <fill>
      <patternFill patternType="solid">
        <fgColor rgb="FF2E75B6"/>
        <bgColor rgb="FF008080"/>
      </patternFill>
    </fill>
    <fill>
      <patternFill patternType="solid">
        <fgColor rgb="FF00B050"/>
        <bgColor rgb="FF008828"/>
      </patternFill>
    </fill>
    <fill>
      <patternFill patternType="solid">
        <fgColor rgb="FF7030A0"/>
        <bgColor rgb="FF492479"/>
      </patternFill>
    </fill>
    <fill>
      <patternFill patternType="solid">
        <fgColor rgb="FFC00000"/>
        <bgColor rgb="FF800000"/>
      </patternFill>
    </fill>
    <fill>
      <patternFill patternType="solid">
        <fgColor rgb="FFD6E4F0"/>
        <bgColor rgb="FFD9D9D9"/>
      </patternFill>
    </fill>
    <fill>
      <patternFill patternType="solid">
        <fgColor rgb="FFFFFFFF"/>
        <bgColor rgb="FFF9F3FF"/>
      </patternFill>
    </fill>
    <fill>
      <patternFill patternType="solid">
        <fgColor rgb="FFEBFAEB"/>
        <bgColor rgb="FFEFF4FB"/>
      </patternFill>
    </fill>
    <fill>
      <patternFill patternType="solid">
        <fgColor rgb="FFF3EBF9"/>
        <bgColor rgb="FFF2F2F2"/>
      </patternFill>
    </fill>
    <fill>
      <patternFill patternType="solid">
        <fgColor rgb="FFF9F3FF"/>
        <bgColor rgb="FFEFF4FB"/>
      </patternFill>
    </fill>
    <fill>
      <patternFill patternType="solid">
        <fgColor rgb="FFFCEAEA"/>
        <bgColor rgb="FFFBEAEA"/>
      </patternFill>
    </fill>
    <fill>
      <patternFill patternType="solid">
        <fgColor rgb="FFFFF0F0"/>
        <bgColor rgb="FFFCEAEA"/>
      </patternFill>
    </fill>
    <fill>
      <patternFill patternType="solid">
        <fgColor rgb="FFEFF4FB"/>
        <bgColor rgb="FFF2F2F2"/>
      </patternFill>
    </fill>
    <fill>
      <patternFill patternType="solid">
        <fgColor rgb="FFFFFFD7"/>
        <bgColor rgb="FFFFF2CC"/>
      </patternFill>
    </fill>
    <fill>
      <patternFill patternType="solid">
        <fgColor rgb="FF1A4D2E"/>
        <bgColor rgb="FF1F4E79"/>
      </patternFill>
    </fill>
    <fill>
      <patternFill patternType="solid">
        <fgColor rgb="FFF2F2F2"/>
        <bgColor rgb="FFEFF4FB"/>
      </patternFill>
    </fill>
    <fill>
      <patternFill patternType="solid">
        <fgColor rgb="FF492479"/>
        <bgColor rgb="FF7030A0"/>
      </patternFill>
    </fill>
    <fill>
      <patternFill patternType="solid">
        <fgColor rgb="FFFBEAEA"/>
        <bgColor rgb="FFFCEAEA"/>
      </patternFill>
    </fill>
    <fill>
      <patternFill patternType="solid">
        <fgColor rgb="FFFFF2CC"/>
        <bgColor rgb="FFFFFFD7"/>
      </patternFill>
    </fill>
    <fill>
      <patternFill patternType="solid">
        <fgColor rgb="FF064D8E"/>
        <bgColor rgb="FF1F4E79"/>
      </patternFill>
    </fill>
    <fill>
      <patternFill patternType="solid">
        <fgColor rgb="FF008828"/>
        <bgColor rgb="FF008080"/>
      </patternFill>
    </fill>
  </fills>
  <borders count="5">
    <border>
      <left/>
      <right/>
      <top/>
      <bottom/>
      <diagonal/>
    </border>
    <border>
      <left style="thin">
        <color rgb="FFB8B8B8"/>
      </left>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diagonal/>
    </border>
    <border>
      <left style="thin">
        <color rgb="FFCCCCCC"/>
      </left>
      <right/>
      <top style="thin">
        <color rgb="FFCCCCCC"/>
      </top>
      <bottom style="thin">
        <color rgb="FFCCCCCC"/>
      </bottom>
      <diagonal/>
    </border>
  </borders>
  <cellStyleXfs count="1">
    <xf numFmtId="0" fontId="0" fillId="0" borderId="0"/>
  </cellStyleXfs>
  <cellXfs count="75">
    <xf numFmtId="0" fontId="0" fillId="0" borderId="0" xfId="0"/>
    <xf numFmtId="0" fontId="2" fillId="3" borderId="1"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xf numFmtId="0" fontId="4" fillId="7" borderId="2" xfId="0" applyFont="1" applyFill="1" applyBorder="1" applyAlignment="1">
      <alignment horizontal="center" vertical="center" wrapText="1" readingOrder="2"/>
    </xf>
    <xf numFmtId="164" fontId="5" fillId="8" borderId="2" xfId="0" applyNumberFormat="1" applyFont="1" applyFill="1" applyBorder="1" applyAlignment="1">
      <alignment horizontal="right" vertical="center" wrapText="1" readingOrder="2"/>
    </xf>
    <xf numFmtId="164" fontId="5" fillId="9" borderId="2" xfId="0" applyNumberFormat="1" applyFont="1" applyFill="1" applyBorder="1" applyAlignment="1">
      <alignment horizontal="right" vertical="center" wrapText="1" readingOrder="2"/>
    </xf>
    <xf numFmtId="165" fontId="5" fillId="9" borderId="2" xfId="0" applyNumberFormat="1" applyFont="1" applyFill="1" applyBorder="1" applyAlignment="1">
      <alignment horizontal="right" vertical="center" wrapText="1" readingOrder="2"/>
    </xf>
    <xf numFmtId="164" fontId="5" fillId="10" borderId="2" xfId="0" applyNumberFormat="1" applyFont="1" applyFill="1" applyBorder="1" applyAlignment="1">
      <alignment horizontal="right" vertical="center" wrapText="1" readingOrder="2"/>
    </xf>
    <xf numFmtId="165" fontId="5" fillId="11" borderId="2" xfId="0" applyNumberFormat="1" applyFont="1" applyFill="1" applyBorder="1" applyAlignment="1">
      <alignment horizontal="right" vertical="center" wrapText="1" readingOrder="2"/>
    </xf>
    <xf numFmtId="164" fontId="5" fillId="12" borderId="2" xfId="0" applyNumberFormat="1" applyFont="1" applyFill="1" applyBorder="1" applyAlignment="1">
      <alignment horizontal="right" vertical="center" wrapText="1" readingOrder="2"/>
    </xf>
    <xf numFmtId="165" fontId="5" fillId="13" borderId="2" xfId="0" applyNumberFormat="1" applyFont="1" applyFill="1" applyBorder="1" applyAlignment="1">
      <alignment horizontal="right" vertical="center" wrapText="1" readingOrder="2"/>
    </xf>
    <xf numFmtId="1" fontId="5" fillId="8" borderId="2" xfId="0" applyNumberFormat="1" applyFont="1" applyFill="1" applyBorder="1" applyAlignment="1">
      <alignment horizontal="right" vertical="center" wrapText="1" readingOrder="2"/>
    </xf>
    <xf numFmtId="3" fontId="5" fillId="8" borderId="2" xfId="0" applyNumberFormat="1" applyFont="1" applyFill="1" applyBorder="1" applyAlignment="1">
      <alignment horizontal="right" vertical="center" wrapText="1" readingOrder="2"/>
    </xf>
    <xf numFmtId="164" fontId="5" fillId="14" borderId="2" xfId="0" applyNumberFormat="1" applyFont="1" applyFill="1" applyBorder="1" applyAlignment="1">
      <alignment horizontal="right" vertical="center" wrapText="1" readingOrder="2"/>
    </xf>
    <xf numFmtId="164" fontId="6" fillId="8" borderId="2" xfId="0" applyNumberFormat="1" applyFont="1" applyFill="1" applyBorder="1" applyAlignment="1">
      <alignment horizontal="right" vertical="center" wrapText="1" readingOrder="2"/>
    </xf>
    <xf numFmtId="164" fontId="6" fillId="10" borderId="2" xfId="0" applyNumberFormat="1" applyFont="1" applyFill="1" applyBorder="1" applyAlignment="1">
      <alignment horizontal="right" vertical="center" wrapText="1" readingOrder="2"/>
    </xf>
    <xf numFmtId="164" fontId="6" fillId="12" borderId="2" xfId="0" applyNumberFormat="1" applyFont="1" applyFill="1" applyBorder="1" applyAlignment="1">
      <alignment horizontal="right" vertical="center" wrapText="1" readingOrder="2"/>
    </xf>
    <xf numFmtId="164" fontId="6" fillId="14" borderId="2" xfId="0" applyNumberFormat="1" applyFont="1" applyFill="1" applyBorder="1" applyAlignment="1">
      <alignment horizontal="right" vertical="center" wrapText="1" readingOrder="2"/>
    </xf>
    <xf numFmtId="166" fontId="5" fillId="8" borderId="2" xfId="0" applyNumberFormat="1" applyFont="1" applyFill="1" applyBorder="1" applyAlignment="1">
      <alignment horizontal="right" vertical="center" wrapText="1" readingOrder="2"/>
    </xf>
    <xf numFmtId="0" fontId="5" fillId="8" borderId="2" xfId="0" applyFont="1" applyFill="1" applyBorder="1" applyAlignment="1">
      <alignment horizontal="right" vertical="center" wrapText="1" readingOrder="2"/>
    </xf>
    <xf numFmtId="165" fontId="5" fillId="8" borderId="2" xfId="0" applyNumberFormat="1" applyFont="1" applyFill="1" applyBorder="1" applyAlignment="1">
      <alignment horizontal="right" vertical="center" wrapText="1" readingOrder="2"/>
    </xf>
    <xf numFmtId="0" fontId="8" fillId="8" borderId="2" xfId="0" applyFont="1" applyFill="1" applyBorder="1" applyAlignment="1">
      <alignment horizontal="center" vertical="center" wrapText="1" readingOrder="2"/>
    </xf>
    <xf numFmtId="166" fontId="5" fillId="14" borderId="2" xfId="0" applyNumberFormat="1" applyFont="1" applyFill="1" applyBorder="1" applyAlignment="1">
      <alignment horizontal="right" vertical="center" wrapText="1" readingOrder="2"/>
    </xf>
    <xf numFmtId="165" fontId="5" fillId="14" borderId="2" xfId="0" applyNumberFormat="1" applyFont="1" applyFill="1" applyBorder="1" applyAlignment="1">
      <alignment horizontal="right" vertical="center" wrapText="1" readingOrder="2"/>
    </xf>
    <xf numFmtId="0" fontId="8" fillId="14" borderId="2" xfId="0" applyFont="1" applyFill="1" applyBorder="1" applyAlignment="1">
      <alignment horizontal="center" vertical="center" wrapText="1" readingOrder="2"/>
    </xf>
    <xf numFmtId="1" fontId="5" fillId="14" borderId="2" xfId="0" applyNumberFormat="1" applyFont="1" applyFill="1" applyBorder="1" applyAlignment="1">
      <alignment horizontal="right" vertical="center" wrapText="1" readingOrder="2"/>
    </xf>
    <xf numFmtId="164" fontId="11" fillId="14" borderId="2" xfId="0" applyNumberFormat="1" applyFont="1" applyFill="1" applyBorder="1" applyAlignment="1">
      <alignment horizontal="right" vertical="center" wrapText="1" readingOrder="2"/>
    </xf>
    <xf numFmtId="164" fontId="8" fillId="14" borderId="2" xfId="0" applyNumberFormat="1" applyFont="1" applyFill="1" applyBorder="1" applyAlignment="1">
      <alignment horizontal="right" vertical="center" wrapText="1" readingOrder="2"/>
    </xf>
    <xf numFmtId="166" fontId="11" fillId="14" borderId="2" xfId="0" applyNumberFormat="1" applyFont="1" applyFill="1" applyBorder="1" applyAlignment="1">
      <alignment horizontal="right" vertical="center" wrapText="1" readingOrder="2"/>
    </xf>
    <xf numFmtId="0" fontId="12" fillId="14" borderId="2" xfId="0" applyFont="1" applyFill="1" applyBorder="1" applyAlignment="1">
      <alignment horizontal="center" vertical="center" wrapText="1" readingOrder="2"/>
    </xf>
    <xf numFmtId="0" fontId="13" fillId="14" borderId="2" xfId="0" applyFont="1" applyFill="1" applyBorder="1" applyAlignment="1">
      <alignment horizontal="center" vertical="center" wrapText="1" readingOrder="2"/>
    </xf>
    <xf numFmtId="165" fontId="11" fillId="14" borderId="2" xfId="0" applyNumberFormat="1" applyFont="1" applyFill="1" applyBorder="1" applyAlignment="1">
      <alignment horizontal="right" vertical="center" wrapText="1" readingOrder="2"/>
    </xf>
    <xf numFmtId="165" fontId="8" fillId="14" borderId="2" xfId="0" applyNumberFormat="1" applyFont="1" applyFill="1" applyBorder="1" applyAlignment="1">
      <alignment horizontal="right" vertical="center" wrapText="1" readingOrder="2"/>
    </xf>
    <xf numFmtId="0" fontId="15" fillId="17" borderId="2" xfId="0" applyFont="1" applyFill="1" applyBorder="1" applyAlignment="1">
      <alignment horizontal="center" vertical="center" wrapText="1" readingOrder="2"/>
    </xf>
    <xf numFmtId="164" fontId="16" fillId="9" borderId="2" xfId="0" applyNumberFormat="1" applyFont="1" applyFill="1" applyBorder="1" applyAlignment="1">
      <alignment horizontal="right" vertical="center" wrapText="1" readingOrder="2"/>
    </xf>
    <xf numFmtId="0" fontId="5" fillId="17" borderId="2" xfId="0" applyFont="1" applyFill="1" applyBorder="1" applyAlignment="1">
      <alignment horizontal="center" vertical="center" wrapText="1" readingOrder="2"/>
    </xf>
    <xf numFmtId="165" fontId="16" fillId="9" borderId="2" xfId="0" applyNumberFormat="1" applyFont="1" applyFill="1" applyBorder="1" applyAlignment="1">
      <alignment horizontal="right" vertical="center" wrapText="1" readingOrder="2"/>
    </xf>
    <xf numFmtId="0" fontId="3" fillId="18" borderId="2" xfId="0" applyFont="1" applyFill="1" applyBorder="1" applyAlignment="1">
      <alignment horizontal="center" vertical="center" wrapText="1" readingOrder="2"/>
    </xf>
    <xf numFmtId="164" fontId="11" fillId="9" borderId="2" xfId="0" applyNumberFormat="1" applyFont="1" applyFill="1" applyBorder="1" applyAlignment="1">
      <alignment horizontal="right" vertical="center" wrapText="1" readingOrder="2"/>
    </xf>
    <xf numFmtId="165" fontId="11" fillId="9" borderId="2" xfId="0" applyNumberFormat="1" applyFont="1" applyFill="1" applyBorder="1" applyAlignment="1">
      <alignment horizontal="right" vertical="center" wrapText="1" readingOrder="2"/>
    </xf>
    <xf numFmtId="164" fontId="11" fillId="19" borderId="2" xfId="0" applyNumberFormat="1" applyFont="1" applyFill="1" applyBorder="1" applyAlignment="1">
      <alignment horizontal="right" vertical="center" wrapText="1" readingOrder="2"/>
    </xf>
    <xf numFmtId="165" fontId="11" fillId="19" borderId="2" xfId="0" applyNumberFormat="1" applyFont="1" applyFill="1" applyBorder="1" applyAlignment="1">
      <alignment horizontal="right" vertical="center" wrapText="1" readingOrder="2"/>
    </xf>
    <xf numFmtId="0" fontId="17" fillId="0" borderId="0" xfId="0" applyFont="1"/>
    <xf numFmtId="164" fontId="0" fillId="0" borderId="0" xfId="0" applyNumberFormat="1"/>
    <xf numFmtId="165" fontId="0" fillId="0" borderId="0" xfId="0" applyNumberFormat="1"/>
    <xf numFmtId="0" fontId="3" fillId="21" borderId="2" xfId="0" applyFont="1" applyFill="1" applyBorder="1" applyAlignment="1">
      <alignment horizontal="center" vertical="center" wrapText="1" readingOrder="2"/>
    </xf>
    <xf numFmtId="0" fontId="15" fillId="8" borderId="2" xfId="0" applyFont="1" applyFill="1" applyBorder="1" applyAlignment="1">
      <alignment horizontal="center" vertical="center" wrapText="1" readingOrder="2"/>
    </xf>
    <xf numFmtId="164" fontId="11" fillId="8" borderId="2" xfId="0" applyNumberFormat="1" applyFont="1" applyFill="1" applyBorder="1" applyAlignment="1">
      <alignment horizontal="right" vertical="center" wrapText="1" readingOrder="2"/>
    </xf>
    <xf numFmtId="0" fontId="13" fillId="8" borderId="2" xfId="0" applyFont="1" applyFill="1" applyBorder="1" applyAlignment="1">
      <alignment horizontal="center" vertical="center" wrapText="1" readingOrder="2"/>
    </xf>
    <xf numFmtId="164" fontId="11" fillId="17" borderId="2" xfId="0" applyNumberFormat="1" applyFont="1" applyFill="1" applyBorder="1" applyAlignment="1">
      <alignment horizontal="right" vertical="center" wrapText="1" readingOrder="2"/>
    </xf>
    <xf numFmtId="0" fontId="13" fillId="17" borderId="2" xfId="0" applyFont="1" applyFill="1" applyBorder="1" applyAlignment="1">
      <alignment horizontal="center" vertical="center" wrapText="1" readingOrder="2"/>
    </xf>
    <xf numFmtId="0" fontId="3" fillId="22" borderId="2" xfId="0" applyFont="1" applyFill="1" applyBorder="1" applyAlignment="1">
      <alignment horizontal="center" vertical="center" wrapText="1" readingOrder="2"/>
    </xf>
    <xf numFmtId="165" fontId="11" fillId="8" borderId="2" xfId="0" applyNumberFormat="1" applyFont="1" applyFill="1" applyBorder="1" applyAlignment="1">
      <alignment horizontal="right" vertical="center" wrapText="1" readingOrder="2"/>
    </xf>
    <xf numFmtId="165" fontId="11" fillId="17" borderId="2" xfId="0" applyNumberFormat="1" applyFont="1" applyFill="1" applyBorder="1" applyAlignment="1">
      <alignment horizontal="right" vertical="center" wrapText="1" readingOrder="2"/>
    </xf>
    <xf numFmtId="0" fontId="18" fillId="0" borderId="0" xfId="0" applyFont="1"/>
    <xf numFmtId="167" fontId="5" fillId="8" borderId="2" xfId="0" applyNumberFormat="1" applyFont="1" applyFill="1" applyBorder="1" applyAlignment="1">
      <alignment horizontal="right" vertical="center" wrapText="1" readingOrder="2"/>
    </xf>
    <xf numFmtId="168" fontId="5" fillId="8" borderId="2" xfId="0" applyNumberFormat="1" applyFont="1" applyFill="1" applyBorder="1" applyAlignment="1">
      <alignment horizontal="right" vertical="center" wrapText="1" readingOrder="2"/>
    </xf>
    <xf numFmtId="0" fontId="1" fillId="2" borderId="1" xfId="0" applyFont="1" applyFill="1" applyBorder="1" applyAlignment="1">
      <alignment horizontal="center" vertical="center" wrapText="1" readingOrder="2"/>
    </xf>
    <xf numFmtId="0" fontId="7" fillId="15"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readingOrder="2"/>
    </xf>
    <xf numFmtId="0" fontId="2" fillId="5" borderId="1" xfId="0" applyFont="1" applyFill="1" applyBorder="1" applyAlignment="1">
      <alignment horizontal="center" vertical="center" wrapText="1" readingOrder="2"/>
    </xf>
    <xf numFmtId="0" fontId="2" fillId="6" borderId="1" xfId="0" applyFont="1" applyFill="1" applyBorder="1" applyAlignment="1">
      <alignment horizontal="center" vertical="center" wrapText="1" readingOrder="2"/>
    </xf>
    <xf numFmtId="0" fontId="14" fillId="5" borderId="1"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7" fillId="15" borderId="1" xfId="0" applyFont="1" applyFill="1" applyBorder="1" applyAlignment="1">
      <alignment horizontal="center" vertical="center" wrapText="1"/>
    </xf>
    <xf numFmtId="0" fontId="2" fillId="5" borderId="3" xfId="0" applyFont="1" applyFill="1" applyBorder="1" applyAlignment="1">
      <alignment horizontal="center" vertical="center" wrapText="1" readingOrder="2"/>
    </xf>
    <xf numFmtId="0" fontId="2" fillId="16" borderId="3" xfId="0" applyFont="1" applyFill="1" applyBorder="1" applyAlignment="1">
      <alignment horizontal="center" vertical="center" wrapText="1" readingOrder="2"/>
    </xf>
    <xf numFmtId="0" fontId="14" fillId="4" borderId="1" xfId="0" applyFont="1" applyFill="1" applyBorder="1" applyAlignment="1">
      <alignment horizontal="center" vertical="center" wrapText="1" readingOrder="2"/>
    </xf>
    <xf numFmtId="0" fontId="0" fillId="0" borderId="0" xfId="0"/>
    <xf numFmtId="0" fontId="9" fillId="2" borderId="1" xfId="0" applyFont="1" applyFill="1" applyBorder="1" applyAlignment="1">
      <alignment horizontal="center" vertical="center" wrapText="1" readingOrder="2"/>
    </xf>
    <xf numFmtId="0" fontId="10" fillId="7" borderId="1" xfId="0" applyFont="1" applyFill="1" applyBorder="1" applyAlignment="1">
      <alignment horizontal="center" vertical="center" wrapText="1" readingOrder="2"/>
    </xf>
    <xf numFmtId="0" fontId="2" fillId="6" borderId="3" xfId="0" applyFont="1" applyFill="1" applyBorder="1" applyAlignment="1">
      <alignment horizontal="center" vertical="center" wrapText="1" readingOrder="2"/>
    </xf>
    <xf numFmtId="0" fontId="5" fillId="20" borderId="4" xfId="0" applyFont="1" applyFill="1" applyBorder="1" applyAlignment="1">
      <alignment horizontal="center" vertical="center" wrapText="1" readingOrder="2"/>
    </xf>
    <xf numFmtId="0" fontId="14" fillId="3" borderId="1" xfId="0" applyFont="1" applyFill="1" applyBorder="1" applyAlignment="1">
      <alignment horizontal="center" vertical="center" wrapText="1" readingOrder="2"/>
    </xf>
  </cellXfs>
  <cellStyles count="1">
    <cellStyle name="عادي" xfId="0" builtinId="0"/>
  </cellStyles>
  <dxfs count="44">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s>
  <tableStyles count="0" defaultTableStyle="TableStyleMedium2" defaultPivotStyle="PivotStyleLight16"/>
  <colors>
    <indexedColors>
      <rgbColor rgb="FF000000"/>
      <rgbColor rgb="FFFFFFFF"/>
      <rgbColor rgb="FFC00000"/>
      <rgbColor rgb="FF00FF00"/>
      <rgbColor rgb="FF0000FF"/>
      <rgbColor rgb="FFFFF0F0"/>
      <rgbColor rgb="FFFF00FF"/>
      <rgbColor rgb="FF00FFFF"/>
      <rgbColor rgb="FF800000"/>
      <rgbColor rgb="FF008828"/>
      <rgbColor rgb="FF000080"/>
      <rgbColor rgb="FF808000"/>
      <rgbColor rgb="FF800080"/>
      <rgbColor rgb="FF008080"/>
      <rgbColor rgb="FFB8B8B8"/>
      <rgbColor rgb="FF808080"/>
      <rgbColor rgb="FFF9F3FF"/>
      <rgbColor rgb="FF7030A0"/>
      <rgbColor rgb="FFFFFFD7"/>
      <rgbColor rgb="FFEBFAEB"/>
      <rgbColor rgb="FF660066"/>
      <rgbColor rgb="FFFF8080"/>
      <rgbColor rgb="FF1F4E79"/>
      <rgbColor rgb="FFCCCCCC"/>
      <rgbColor rgb="FF000080"/>
      <rgbColor rgb="FFFF00FF"/>
      <rgbColor rgb="FFF2F2F2"/>
      <rgbColor rgb="FF00FFFF"/>
      <rgbColor rgb="FF800080"/>
      <rgbColor rgb="FF800000"/>
      <rgbColor rgb="FF008080"/>
      <rgbColor rgb="FF0000FF"/>
      <rgbColor rgb="FF00CCFF"/>
      <rgbColor rgb="FFEFF4FB"/>
      <rgbColor rgb="FFD6E4F0"/>
      <rgbColor rgb="FFFFF2CC"/>
      <rgbColor rgb="FFF3EBF9"/>
      <rgbColor rgb="FFFCEAEA"/>
      <rgbColor rgb="FFFBEAEA"/>
      <rgbColor rgb="FFD9D9D9"/>
      <rgbColor rgb="FF2E75B6"/>
      <rgbColor rgb="FF33CCCC"/>
      <rgbColor rgb="FF99CC00"/>
      <rgbColor rgb="FFFFCC00"/>
      <rgbColor rgb="FFBF8F00"/>
      <rgbColor rgb="FFFF6600"/>
      <rgbColor rgb="FF595959"/>
      <rgbColor rgb="FFB3B3B3"/>
      <rgbColor rgb="FF064D8E"/>
      <rgbColor rgb="FF00B050"/>
      <rgbColor rgb="FF003300"/>
      <rgbColor rgb="FF333300"/>
      <rgbColor rgb="FF993300"/>
      <rgbColor rgb="FF993366"/>
      <rgbColor rgb="FF492479"/>
      <rgbColor rgb="FF1A4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الديون التي لنا — ليرة سورية
المبالغ المستحقة لنا من العملاء والموردين — الارتفاع إيجابي يعني زيادة حقوقنا</a:t>
            </a:r>
          </a:p>
        </c:rich>
      </c:tx>
      <c:overlay val="0"/>
      <c:spPr>
        <a:noFill/>
        <a:ln w="0">
          <a:noFill/>
        </a:ln>
      </c:spPr>
    </c:title>
    <c:autoTitleDeleted val="0"/>
    <c:plotArea>
      <c:layout/>
      <c:lineChart>
        <c:grouping val="standard"/>
        <c:varyColors val="0"/>
        <c:ser>
          <c:idx val="0"/>
          <c:order val="0"/>
          <c:tx>
            <c:strRef>
              <c:f>'الرسوم البيانية'!$T$3</c:f>
              <c:strCache>
                <c:ptCount val="1"/>
                <c:pt idx="0">
                  <c:v>دين لنا (ل.س)</c:v>
                </c:pt>
              </c:strCache>
            </c:strRef>
          </c:tx>
          <c:spPr>
            <a:ln w="24840">
              <a:solidFill>
                <a:srgbClr val="00B050"/>
              </a:solidFill>
              <a:round/>
            </a:ln>
          </c:spPr>
          <c:marker>
            <c:symbol val="circle"/>
            <c:size val="6"/>
            <c:spPr>
              <a:solidFill>
                <a:srgbClr val="00B05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البيانية'!$T$4:$T$15</c:f>
              <c:numCache>
                <c:formatCode>#,##0" ل.س"</c:formatCode>
                <c:ptCount val="12"/>
                <c:pt idx="0">
                  <c:v>70767000</c:v>
                </c:pt>
                <c:pt idx="1">
                  <c:v>58684000</c:v>
                </c:pt>
                <c:pt idx="2">
                  <c:v>66327000</c:v>
                </c:pt>
                <c:pt idx="3">
                  <c:v>70574000</c:v>
                </c:pt>
                <c:pt idx="4">
                  <c:v>35913000</c:v>
                </c:pt>
                <c:pt idx="5">
                  <c:v>35652000</c:v>
                </c:pt>
                <c:pt idx="6">
                  <c:v>46227000</c:v>
                </c:pt>
                <c:pt idx="7" formatCode="General">
                  <c:v>0</c:v>
                </c:pt>
                <c:pt idx="8" formatCode="General">
                  <c:v>0</c:v>
                </c:pt>
                <c:pt idx="9" formatCode="General">
                  <c:v>0</c:v>
                </c:pt>
                <c:pt idx="10">
                  <c:v>0</c:v>
                </c:pt>
                <c:pt idx="11">
                  <c:v>0</c:v>
                </c:pt>
              </c:numCache>
            </c:numRef>
          </c:val>
          <c:smooth val="1"/>
          <c:extLst>
            <c:ext xmlns:c16="http://schemas.microsoft.com/office/drawing/2014/chart" uri="{C3380CC4-5D6E-409C-BE32-E72D297353CC}">
              <c16:uniqueId val="{00000000-8C7E-457C-947E-DD20C30E4CA9}"/>
            </c:ext>
          </c:extLst>
        </c:ser>
        <c:dLbls>
          <c:showLegendKey val="0"/>
          <c:showVal val="0"/>
          <c:showCatName val="0"/>
          <c:showSerName val="0"/>
          <c:showPercent val="0"/>
          <c:showBubbleSize val="0"/>
        </c:dLbls>
        <c:hiLowLines>
          <c:spPr>
            <a:ln w="0">
              <a:noFill/>
            </a:ln>
          </c:spPr>
        </c:hiLowLines>
        <c:marker val="1"/>
        <c:smooth val="0"/>
        <c:axId val="26250616"/>
        <c:axId val="49260733"/>
      </c:lineChart>
      <c:catAx>
        <c:axId val="26250616"/>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49260733"/>
        <c:crosses val="autoZero"/>
        <c:auto val="1"/>
        <c:lblAlgn val="ctr"/>
        <c:lblOffset val="100"/>
        <c:noMultiLvlLbl val="0"/>
      </c:catAx>
      <c:valAx>
        <c:axId val="4926073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2625061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صافي الدين — ليرة سورية
الفرق بين ما لنا وما علينا — الموجب يعني المديونون لنا أكثر، السالب يعني العكس</a:t>
            </a:r>
          </a:p>
        </c:rich>
      </c:tx>
      <c:overlay val="0"/>
      <c:spPr>
        <a:noFill/>
        <a:ln w="0">
          <a:noFill/>
        </a:ln>
      </c:spPr>
    </c:title>
    <c:autoTitleDeleted val="0"/>
    <c:plotArea>
      <c:layout/>
      <c:lineChart>
        <c:grouping val="standard"/>
        <c:varyColors val="0"/>
        <c:ser>
          <c:idx val="0"/>
          <c:order val="0"/>
          <c:tx>
            <c:strRef>
              <c:f>'الرسوم البيانية'!$V$3</c:f>
              <c:strCache>
                <c:ptCount val="1"/>
                <c:pt idx="0">
                  <c:v>صافي الدين (ل.س)</c:v>
                </c:pt>
              </c:strCache>
            </c:strRef>
          </c:tx>
          <c:spPr>
            <a:ln w="24840">
              <a:solidFill>
                <a:srgbClr val="7030A0"/>
              </a:solidFill>
              <a:round/>
            </a:ln>
          </c:spPr>
          <c:marker>
            <c:symbol val="circle"/>
            <c:size val="6"/>
            <c:spPr>
              <a:solidFill>
                <a:srgbClr val="7030A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البيانية'!$V$4:$V$15</c:f>
              <c:numCache>
                <c:formatCode>General</c:formatCode>
                <c:ptCount val="12"/>
                <c:pt idx="0">
                  <c:v>66644000</c:v>
                </c:pt>
                <c:pt idx="1">
                  <c:v>54846000</c:v>
                </c:pt>
                <c:pt idx="2">
                  <c:v>61791000</c:v>
                </c:pt>
                <c:pt idx="3">
                  <c:v>64650000</c:v>
                </c:pt>
                <c:pt idx="4">
                  <c:v>27183000</c:v>
                </c:pt>
                <c:pt idx="5">
                  <c:v>29005000</c:v>
                </c:pt>
                <c:pt idx="6">
                  <c:v>37886000</c:v>
                </c:pt>
                <c:pt idx="7">
                  <c:v>0</c:v>
                </c:pt>
                <c:pt idx="8">
                  <c:v>0</c:v>
                </c:pt>
                <c:pt idx="9">
                  <c:v>0</c:v>
                </c:pt>
                <c:pt idx="10">
                  <c:v>0</c:v>
                </c:pt>
                <c:pt idx="11">
                  <c:v>0</c:v>
                </c:pt>
              </c:numCache>
            </c:numRef>
          </c:val>
          <c:smooth val="1"/>
          <c:extLst>
            <c:ext xmlns:c16="http://schemas.microsoft.com/office/drawing/2014/chart" uri="{C3380CC4-5D6E-409C-BE32-E72D297353CC}">
              <c16:uniqueId val="{00000000-E6C0-44DF-A677-556936038084}"/>
            </c:ext>
          </c:extLst>
        </c:ser>
        <c:dLbls>
          <c:showLegendKey val="0"/>
          <c:showVal val="0"/>
          <c:showCatName val="0"/>
          <c:showSerName val="0"/>
          <c:showPercent val="0"/>
          <c:showBubbleSize val="0"/>
        </c:dLbls>
        <c:hiLowLines>
          <c:spPr>
            <a:ln w="0">
              <a:noFill/>
            </a:ln>
          </c:spPr>
        </c:hiLowLines>
        <c:marker val="1"/>
        <c:smooth val="0"/>
        <c:axId val="92456595"/>
        <c:axId val="1341346"/>
      </c:lineChart>
      <c:catAx>
        <c:axId val="92456595"/>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1341346"/>
        <c:crosses val="autoZero"/>
        <c:auto val="1"/>
        <c:lblAlgn val="ctr"/>
        <c:lblOffset val="100"/>
        <c:noMultiLvlLbl val="0"/>
      </c:catAx>
      <c:valAx>
        <c:axId val="134134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245659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 تطور تكلفة المواد المستهلكة
التكلفة الفعلية لما استُهلك من المخزون كل شهر (أساس الربح الحقيقي)</a:t>
            </a:r>
          </a:p>
        </c:rich>
      </c:tx>
      <c:overlay val="0"/>
      <c:spPr>
        <a:noFill/>
        <a:ln w="0">
          <a:noFill/>
        </a:ln>
      </c:spPr>
    </c:title>
    <c:autoTitleDeleted val="0"/>
    <c:plotArea>
      <c:layout/>
      <c:lineChart>
        <c:grouping val="standard"/>
        <c:varyColors val="0"/>
        <c:ser>
          <c:idx val="0"/>
          <c:order val="0"/>
          <c:spPr>
            <a:ln w="20160">
              <a:solidFill>
                <a:srgbClr val="BF8F00"/>
              </a:solidFill>
              <a:round/>
            </a:ln>
          </c:spPr>
          <c:marker>
            <c:symbol val="circle"/>
            <c:size val="6"/>
            <c:spPr>
              <a:solidFill>
                <a:srgbClr val="BF8F0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البيانية'!$AA$4:$AA$15</c:f>
              <c:numCache>
                <c:formatCode>#,##0" ل.س"</c:formatCode>
                <c:ptCount val="12"/>
                <c:pt idx="0">
                  <c:v>0</c:v>
                </c:pt>
                <c:pt idx="1">
                  <c:v>0</c:v>
                </c:pt>
                <c:pt idx="2">
                  <c:v>0</c:v>
                </c:pt>
                <c:pt idx="3">
                  <c:v>0</c:v>
                </c:pt>
                <c:pt idx="4">
                  <c:v>0</c:v>
                </c:pt>
                <c:pt idx="5">
                  <c:v>0</c:v>
                </c:pt>
                <c:pt idx="6">
                  <c:v>25442362.159999996</c:v>
                </c:pt>
                <c:pt idx="7">
                  <c:v>0</c:v>
                </c:pt>
                <c:pt idx="8">
                  <c:v>0</c:v>
                </c:pt>
                <c:pt idx="9">
                  <c:v>0</c:v>
                </c:pt>
                <c:pt idx="10">
                  <c:v>0</c:v>
                </c:pt>
                <c:pt idx="11">
                  <c:v>0</c:v>
                </c:pt>
              </c:numCache>
            </c:numRef>
          </c:val>
          <c:smooth val="1"/>
          <c:extLst>
            <c:ext xmlns:c16="http://schemas.microsoft.com/office/drawing/2014/chart" uri="{C3380CC4-5D6E-409C-BE32-E72D297353CC}">
              <c16:uniqueId val="{00000000-73F0-403B-8EEB-5D5B7CE68676}"/>
            </c:ext>
          </c:extLst>
        </c:ser>
        <c:dLbls>
          <c:showLegendKey val="0"/>
          <c:showVal val="0"/>
          <c:showCatName val="0"/>
          <c:showSerName val="0"/>
          <c:showPercent val="0"/>
          <c:showBubbleSize val="0"/>
        </c:dLbls>
        <c:hiLowLines>
          <c:spPr>
            <a:ln w="0">
              <a:noFill/>
            </a:ln>
          </c:spPr>
        </c:hiLowLines>
        <c:marker val="1"/>
        <c:smooth val="0"/>
        <c:axId val="99955255"/>
        <c:axId val="38818232"/>
      </c:lineChart>
      <c:catAx>
        <c:axId val="999552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38818232"/>
        <c:crosses val="autoZero"/>
        <c:auto val="1"/>
        <c:lblAlgn val="ctr"/>
        <c:lblOffset val="100"/>
        <c:noMultiLvlLbl val="0"/>
      </c:catAx>
      <c:valAx>
        <c:axId val="38818232"/>
        <c:scaling>
          <c:orientation val="minMax"/>
        </c:scaling>
        <c:delete val="0"/>
        <c:axPos val="l"/>
        <c:majorGridlines>
          <c:spPr>
            <a:ln w="0">
              <a:solidFill>
                <a:srgbClr val="B3B3B3"/>
              </a:solidFill>
            </a:ln>
          </c:spPr>
        </c:majorGridlines>
        <c:numFmt formatCode="#,##0&quot; ل.س&quot;"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9955255"/>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-550800</xdr:colOff>
      <xdr:row>2</xdr:row>
      <xdr:rowOff>0</xdr:rowOff>
    </xdr:from>
    <xdr:to>
      <xdr:col>19</xdr:col>
      <xdr:colOff>1161690</xdr:colOff>
      <xdr:row>26</xdr:row>
      <xdr:rowOff>106920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-550800</xdr:colOff>
      <xdr:row>20</xdr:row>
      <xdr:rowOff>0</xdr:rowOff>
    </xdr:from>
    <xdr:to>
      <xdr:col>19</xdr:col>
      <xdr:colOff>1161690</xdr:colOff>
      <xdr:row>44</xdr:row>
      <xdr:rowOff>106920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-613800</xdr:colOff>
      <xdr:row>57</xdr:row>
      <xdr:rowOff>0</xdr:rowOff>
    </xdr:from>
    <xdr:to>
      <xdr:col>17</xdr:col>
      <xdr:colOff>454305</xdr:colOff>
      <xdr:row>71</xdr:row>
      <xdr:rowOff>32400</xdr:rowOff>
    </xdr:to>
    <xdr:graphicFrame macro="">
      <xdr:nvGraphicFramePr>
        <xdr:cNvPr id="4" name="Chart 4">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rightToLeft="1" topLeftCell="C2" zoomScaleNormal="100" workbookViewId="0">
      <selection activeCell="K10" sqref="K10"/>
    </sheetView>
  </sheetViews>
  <sheetFormatPr defaultColWidth="8.7109375" defaultRowHeight="15"/>
  <cols>
    <col min="1" max="1" width="12" customWidth="1"/>
    <col min="2" max="5" width="18" customWidth="1"/>
    <col min="6" max="6" width="16" customWidth="1"/>
    <col min="7" max="7" width="14" customWidth="1"/>
    <col min="8" max="8" width="16" customWidth="1"/>
    <col min="9" max="9" width="14" customWidth="1"/>
    <col min="10" max="10" width="16" customWidth="1"/>
    <col min="11" max="11" width="14" customWidth="1"/>
    <col min="12" max="12" width="20" customWidth="1"/>
    <col min="13" max="13" width="22" customWidth="1"/>
  </cols>
  <sheetData>
    <row r="1" spans="1:13" ht="37.5" customHeight="1">
      <c r="A1" s="57" t="s">
        <v>0</v>
      </c>
      <c r="B1" s="57"/>
      <c r="C1" s="57"/>
      <c r="D1" s="57"/>
      <c r="E1" s="57"/>
      <c r="F1" s="57"/>
      <c r="G1" s="57"/>
      <c r="H1" s="57"/>
      <c r="I1" s="57"/>
      <c r="J1" s="57"/>
      <c r="K1" s="57"/>
      <c r="L1" s="57"/>
      <c r="M1" s="57"/>
    </row>
    <row r="2" spans="1:13" ht="21.75" customHeight="1">
      <c r="B2" s="59" t="s">
        <v>1</v>
      </c>
      <c r="C2" s="59"/>
      <c r="D2" s="59"/>
      <c r="E2" s="59"/>
      <c r="F2" s="60" t="s">
        <v>2</v>
      </c>
      <c r="G2" s="60"/>
      <c r="H2" s="61" t="s">
        <v>3</v>
      </c>
      <c r="I2" s="61"/>
      <c r="J2" s="62" t="s">
        <v>4</v>
      </c>
      <c r="K2" s="62"/>
    </row>
    <row r="3" spans="1:13" ht="30" customHeight="1">
      <c r="A3" s="2" t="s">
        <v>5</v>
      </c>
      <c r="B3" s="2" t="s">
        <v>6</v>
      </c>
      <c r="C3" s="2" t="s">
        <v>7</v>
      </c>
      <c r="D3" s="2" t="s">
        <v>8</v>
      </c>
      <c r="E3" s="2" t="s">
        <v>9</v>
      </c>
      <c r="F3" s="2" t="s">
        <v>10</v>
      </c>
      <c r="G3" s="2" t="s">
        <v>11</v>
      </c>
      <c r="H3" s="2" t="s">
        <v>12</v>
      </c>
      <c r="I3" s="2" t="s">
        <v>13</v>
      </c>
      <c r="J3" s="2" t="s">
        <v>14</v>
      </c>
      <c r="K3" s="2" t="s">
        <v>15</v>
      </c>
      <c r="L3" s="2" t="s">
        <v>16</v>
      </c>
      <c r="M3" s="2" t="s">
        <v>17</v>
      </c>
    </row>
    <row r="4" spans="1:13">
      <c r="A4" s="3" t="s">
        <v>18</v>
      </c>
      <c r="B4" s="4">
        <v>118926000</v>
      </c>
      <c r="C4" s="4">
        <v>74709000</v>
      </c>
      <c r="D4" s="4">
        <v>38000000</v>
      </c>
      <c r="E4" s="4">
        <f t="shared" ref="E4:E15" si="0">IF(B4="","",B4-C4-D4)</f>
        <v>6217000</v>
      </c>
      <c r="F4" s="5">
        <v>1000000</v>
      </c>
      <c r="G4" s="6">
        <v>0</v>
      </c>
      <c r="H4" s="7">
        <v>70767000</v>
      </c>
      <c r="I4" s="8">
        <v>6080</v>
      </c>
      <c r="J4" s="9">
        <v>4123000</v>
      </c>
      <c r="K4" s="10">
        <v>14534</v>
      </c>
      <c r="L4" s="11">
        <v>202601</v>
      </c>
      <c r="M4" s="12"/>
    </row>
    <row r="5" spans="1:13">
      <c r="A5" s="3" t="s">
        <v>19</v>
      </c>
      <c r="B5" s="13">
        <v>87859000</v>
      </c>
      <c r="C5" s="13">
        <v>41296000</v>
      </c>
      <c r="D5" s="13">
        <v>36215000</v>
      </c>
      <c r="E5" s="13">
        <f t="shared" si="0"/>
        <v>10348000</v>
      </c>
      <c r="F5" s="5">
        <v>2489000</v>
      </c>
      <c r="G5" s="6">
        <v>325</v>
      </c>
      <c r="H5" s="7">
        <v>58684000</v>
      </c>
      <c r="I5" s="8">
        <v>5052</v>
      </c>
      <c r="J5" s="9">
        <v>3838000</v>
      </c>
      <c r="K5" s="10">
        <v>12974</v>
      </c>
      <c r="L5" s="11">
        <v>202602</v>
      </c>
      <c r="M5" s="12"/>
    </row>
    <row r="6" spans="1:13">
      <c r="A6" s="3" t="s">
        <v>20</v>
      </c>
      <c r="B6" s="4">
        <v>105443000</v>
      </c>
      <c r="C6" s="4">
        <v>45155000</v>
      </c>
      <c r="D6" s="4">
        <v>37203000</v>
      </c>
      <c r="E6" s="4">
        <f t="shared" si="0"/>
        <v>23085000</v>
      </c>
      <c r="F6" s="5">
        <v>1684000</v>
      </c>
      <c r="G6" s="6">
        <v>270</v>
      </c>
      <c r="H6" s="7">
        <v>66327000</v>
      </c>
      <c r="I6" s="8">
        <v>5156</v>
      </c>
      <c r="J6" s="9">
        <v>4536000</v>
      </c>
      <c r="K6" s="10">
        <v>12826</v>
      </c>
      <c r="L6" s="11">
        <v>202603</v>
      </c>
      <c r="M6" s="12"/>
    </row>
    <row r="7" spans="1:13">
      <c r="A7" s="3" t="s">
        <v>21</v>
      </c>
      <c r="B7" s="13">
        <v>166691000</v>
      </c>
      <c r="C7" s="13">
        <v>91555000</v>
      </c>
      <c r="D7" s="13">
        <v>38371000</v>
      </c>
      <c r="E7" s="13">
        <f t="shared" si="0"/>
        <v>36765000</v>
      </c>
      <c r="F7" s="5">
        <v>1436000</v>
      </c>
      <c r="G7" s="6">
        <v>295</v>
      </c>
      <c r="H7" s="7">
        <v>70574000</v>
      </c>
      <c r="I7" s="8">
        <v>7360</v>
      </c>
      <c r="J7" s="9">
        <v>5924000</v>
      </c>
      <c r="K7" s="10">
        <v>11459</v>
      </c>
      <c r="L7" s="11">
        <v>202604</v>
      </c>
      <c r="M7" s="12"/>
    </row>
    <row r="8" spans="1:13">
      <c r="A8" s="3" t="s">
        <v>22</v>
      </c>
      <c r="B8" s="4">
        <v>163334000</v>
      </c>
      <c r="C8" s="4">
        <v>91196000</v>
      </c>
      <c r="D8" s="4">
        <v>26000000</v>
      </c>
      <c r="E8" s="4">
        <f t="shared" si="0"/>
        <v>46138000</v>
      </c>
      <c r="F8" s="5">
        <v>1500000</v>
      </c>
      <c r="G8" s="6">
        <v>50</v>
      </c>
      <c r="H8" s="7">
        <v>35913000</v>
      </c>
      <c r="I8" s="8">
        <v>6270</v>
      </c>
      <c r="J8" s="9">
        <v>8730000</v>
      </c>
      <c r="K8" s="10">
        <v>5679</v>
      </c>
      <c r="L8" s="11">
        <v>202605</v>
      </c>
      <c r="M8" s="12"/>
    </row>
    <row r="9" spans="1:13">
      <c r="A9" s="3" t="s">
        <v>23</v>
      </c>
      <c r="B9" s="13">
        <v>197424000</v>
      </c>
      <c r="C9" s="13">
        <v>61619000</v>
      </c>
      <c r="D9" s="13">
        <v>32391000</v>
      </c>
      <c r="E9" s="13">
        <f t="shared" si="0"/>
        <v>103414000</v>
      </c>
      <c r="F9" s="5">
        <v>584000</v>
      </c>
      <c r="G9" s="6">
        <v>686</v>
      </c>
      <c r="H9" s="7">
        <v>35652000</v>
      </c>
      <c r="I9" s="8">
        <v>11283</v>
      </c>
      <c r="J9" s="9">
        <v>6647000</v>
      </c>
      <c r="K9" s="10">
        <v>5101</v>
      </c>
      <c r="L9" s="11">
        <v>202606</v>
      </c>
      <c r="M9" s="12">
        <v>13300</v>
      </c>
    </row>
    <row r="10" spans="1:13">
      <c r="A10" s="3" t="s">
        <v>24</v>
      </c>
      <c r="B10" s="4">
        <v>191042000</v>
      </c>
      <c r="C10" s="4">
        <v>140673000</v>
      </c>
      <c r="D10" s="4">
        <v>29190000</v>
      </c>
      <c r="E10" s="4">
        <f t="shared" si="0"/>
        <v>21179000</v>
      </c>
      <c r="F10" s="5">
        <v>4287000</v>
      </c>
      <c r="G10" s="6">
        <v>330</v>
      </c>
      <c r="H10" s="7">
        <v>46227000</v>
      </c>
      <c r="I10" s="8">
        <v>10118</v>
      </c>
      <c r="J10" s="9">
        <v>8341000</v>
      </c>
      <c r="K10" s="10">
        <v>7147</v>
      </c>
      <c r="L10" s="11">
        <v>202607</v>
      </c>
      <c r="M10" s="12">
        <v>13200</v>
      </c>
    </row>
    <row r="11" spans="1:13">
      <c r="A11" s="3" t="s">
        <v>25</v>
      </c>
      <c r="B11" s="13"/>
      <c r="C11" s="13"/>
      <c r="D11" s="13"/>
      <c r="E11" s="13" t="str">
        <f t="shared" si="0"/>
        <v/>
      </c>
      <c r="F11" s="5"/>
      <c r="G11" s="6"/>
      <c r="H11" s="7"/>
      <c r="I11" s="8"/>
      <c r="J11" s="9"/>
      <c r="K11" s="10"/>
      <c r="L11" s="11"/>
      <c r="M11" s="12"/>
    </row>
    <row r="12" spans="1:13">
      <c r="A12" s="3" t="s">
        <v>26</v>
      </c>
      <c r="B12" s="4"/>
      <c r="C12" s="4"/>
      <c r="D12" s="4"/>
      <c r="E12" s="4" t="str">
        <f t="shared" si="0"/>
        <v/>
      </c>
      <c r="F12" s="5"/>
      <c r="G12" s="6"/>
      <c r="H12" s="7"/>
      <c r="I12" s="8"/>
      <c r="J12" s="9"/>
      <c r="K12" s="10"/>
      <c r="L12" s="11"/>
      <c r="M12" s="12"/>
    </row>
    <row r="13" spans="1:13">
      <c r="A13" s="3" t="s">
        <v>27</v>
      </c>
      <c r="B13" s="13"/>
      <c r="C13" s="13"/>
      <c r="D13" s="13"/>
      <c r="E13" s="13" t="str">
        <f t="shared" si="0"/>
        <v/>
      </c>
      <c r="F13" s="5"/>
      <c r="G13" s="6"/>
      <c r="H13" s="7"/>
      <c r="I13" s="8"/>
      <c r="J13" s="9"/>
      <c r="K13" s="10"/>
      <c r="L13" s="11"/>
      <c r="M13" s="12"/>
    </row>
    <row r="14" spans="1:13">
      <c r="A14" s="3" t="s">
        <v>28</v>
      </c>
      <c r="B14" s="14"/>
      <c r="C14" s="14"/>
      <c r="D14" s="14"/>
      <c r="E14" s="4" t="str">
        <f t="shared" si="0"/>
        <v/>
      </c>
      <c r="F14" s="5"/>
      <c r="G14" s="6"/>
      <c r="H14" s="15"/>
      <c r="I14" s="8"/>
      <c r="J14" s="16"/>
      <c r="K14" s="10"/>
      <c r="L14" s="11"/>
      <c r="M14" s="12"/>
    </row>
    <row r="15" spans="1:13">
      <c r="A15" s="3" t="s">
        <v>29</v>
      </c>
      <c r="B15" s="17"/>
      <c r="C15" s="17"/>
      <c r="D15" s="17"/>
      <c r="E15" s="13" t="str">
        <f t="shared" si="0"/>
        <v/>
      </c>
      <c r="F15" s="5"/>
      <c r="G15" s="6"/>
      <c r="H15" s="15"/>
      <c r="I15" s="8"/>
      <c r="J15" s="16"/>
      <c r="K15" s="10"/>
      <c r="L15" s="11"/>
      <c r="M15" s="12"/>
    </row>
    <row r="17" spans="1:13" ht="19.5" customHeight="1">
      <c r="A17" s="58" t="s">
        <v>30</v>
      </c>
      <c r="B17" s="58"/>
      <c r="C17" s="58"/>
      <c r="D17" s="58"/>
      <c r="E17" s="58"/>
      <c r="F17" s="58"/>
      <c r="G17" s="58"/>
      <c r="H17" s="58"/>
      <c r="I17" s="58"/>
      <c r="J17" s="58"/>
      <c r="K17" s="58"/>
      <c r="L17" s="58"/>
      <c r="M17" s="58"/>
    </row>
    <row r="18" spans="1:13" ht="30" customHeight="1">
      <c r="A18" s="58" t="s">
        <v>31</v>
      </c>
      <c r="B18" s="58"/>
      <c r="C18" s="58"/>
      <c r="D18" s="58"/>
      <c r="E18" s="58"/>
      <c r="F18" s="58"/>
      <c r="G18" s="58"/>
      <c r="H18" s="58"/>
      <c r="I18" s="58"/>
      <c r="J18" s="58"/>
      <c r="K18" s="58"/>
      <c r="L18" s="58"/>
      <c r="M18" s="58"/>
    </row>
  </sheetData>
  <mergeCells count="7">
    <mergeCell ref="A17:M17"/>
    <mergeCell ref="A18:M18"/>
    <mergeCell ref="A1:M1"/>
    <mergeCell ref="B2:E2"/>
    <mergeCell ref="F2:G2"/>
    <mergeCell ref="H2:I2"/>
    <mergeCell ref="J2:K2"/>
  </mergeCells>
  <conditionalFormatting sqref="E4:E15">
    <cfRule type="cellIs" dxfId="43" priority="2" operator="greaterThan">
      <formula>0</formula>
    </cfRule>
    <cfRule type="cellIs" dxfId="42" priority="3" operator="lessThan">
      <formula>0</formula>
    </cfRule>
  </conditionalFormatting>
  <pageMargins left="0.5" right="0.5"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rightToLeft="1" tabSelected="1" topLeftCell="G1" zoomScaleNormal="100" workbookViewId="0">
      <selection activeCell="N2" sqref="N2"/>
    </sheetView>
  </sheetViews>
  <sheetFormatPr defaultColWidth="8.7109375" defaultRowHeight="15"/>
  <cols>
    <col min="1" max="1" width="12" customWidth="1"/>
    <col min="2" max="2" width="18" customWidth="1"/>
    <col min="3" max="5" width="14" customWidth="1"/>
    <col min="6" max="6" width="18" customWidth="1"/>
    <col min="7" max="7" width="14" customWidth="1"/>
    <col min="8" max="8" width="18" customWidth="1"/>
    <col min="9" max="10" width="14" customWidth="1"/>
    <col min="11" max="11" width="16" customWidth="1"/>
    <col min="12" max="12" width="18" customWidth="1"/>
    <col min="13" max="13" width="20" customWidth="1"/>
    <col min="14" max="15" width="18" customWidth="1"/>
    <col min="16" max="18" width="16" customWidth="1"/>
  </cols>
  <sheetData>
    <row r="1" spans="1:18" ht="37.5" customHeight="1">
      <c r="A1" s="57" t="s">
        <v>32</v>
      </c>
      <c r="B1" s="57"/>
      <c r="C1" s="57"/>
      <c r="D1" s="57"/>
      <c r="E1" s="57"/>
      <c r="F1" s="57"/>
      <c r="G1" s="57"/>
      <c r="H1" s="57"/>
      <c r="I1" s="57"/>
      <c r="J1" s="57"/>
      <c r="K1" s="57"/>
      <c r="L1" s="57"/>
      <c r="M1" s="57"/>
      <c r="N1" s="57"/>
      <c r="O1" s="57"/>
      <c r="P1" s="57"/>
      <c r="Q1" s="57"/>
      <c r="R1" s="57"/>
    </row>
    <row r="2" spans="1:18" ht="30" customHeight="1">
      <c r="A2" s="2" t="s">
        <v>5</v>
      </c>
      <c r="B2" s="2" t="s">
        <v>33</v>
      </c>
      <c r="C2" s="2" t="s">
        <v>34</v>
      </c>
      <c r="D2" s="2" t="s">
        <v>35</v>
      </c>
      <c r="E2" s="2" t="s">
        <v>36</v>
      </c>
      <c r="F2" s="2" t="s">
        <v>10</v>
      </c>
      <c r="G2" s="2" t="s">
        <v>37</v>
      </c>
      <c r="H2" s="2" t="s">
        <v>38</v>
      </c>
      <c r="I2" s="2" t="s">
        <v>39</v>
      </c>
      <c r="J2" s="2" t="s">
        <v>40</v>
      </c>
      <c r="K2" s="2" t="s">
        <v>41</v>
      </c>
      <c r="L2" s="2" t="s">
        <v>42</v>
      </c>
      <c r="M2" s="2" t="s">
        <v>43</v>
      </c>
      <c r="N2" s="2" t="s">
        <v>44</v>
      </c>
      <c r="O2" s="2" t="s">
        <v>45</v>
      </c>
      <c r="P2" s="2" t="s">
        <v>46</v>
      </c>
      <c r="Q2" s="2" t="s">
        <v>47</v>
      </c>
      <c r="R2" s="2" t="s">
        <v>48</v>
      </c>
    </row>
    <row r="3" spans="1:18">
      <c r="A3" s="3" t="str">
        <f>المدخلات!A4</f>
        <v>يناير</v>
      </c>
      <c r="B3" s="4">
        <f>IF(المدخلات!B4="","",المدخلات!B4-المدخلات!C4-المدخلات!D4)</f>
        <v>6217000</v>
      </c>
      <c r="C3" s="18">
        <f>IF(المدخلات!B4=0,"",B3/المدخلات!B4)</f>
        <v>5.2276205371407432E-2</v>
      </c>
      <c r="D3" s="19"/>
      <c r="E3" s="18">
        <f>IF(المدخلات!B4=0,"",المدخلات!D4/المدخلات!B4)</f>
        <v>0.31952642819904814</v>
      </c>
      <c r="F3" s="4">
        <f>IF(المدخلات!F4="","",المدخلات!F4)</f>
        <v>1000000</v>
      </c>
      <c r="G3" s="20">
        <f>IF(المدخلات!G4="","",المدخلات!G4)</f>
        <v>0</v>
      </c>
      <c r="H3" s="4">
        <f>IF(OR(المدخلات!H4="",المدخلات!J4=""),"",المدخلات!H4-المدخلات!J4)</f>
        <v>66644000</v>
      </c>
      <c r="I3" s="20">
        <f>IF(OR(المدخلات!I4="",المدخلات!K4=""),"",المدخلات!I4-المدخلات!K4)</f>
        <v>-8454</v>
      </c>
      <c r="J3" s="21" t="str">
        <f t="shared" ref="J3:J14" si="0">IF(B3="","",IF(B3&gt;0,"✅ ربح","🔴 خسارة"))</f>
        <v>✅ ربح</v>
      </c>
      <c r="K3" s="11">
        <f>IF(المدخلات!L4="","",المدخلات!L4)</f>
        <v>202601</v>
      </c>
      <c r="L3" s="4">
        <f>IF(K3="","",SUMIFS('أرشيف المخزون'!$N$5:$N$2004,'أرشيف المخزون'!$A$5:$A$2004,K3))</f>
        <v>0</v>
      </c>
      <c r="M3" s="4">
        <f>IF(K3="","",SUMIFS('أرشيف المخزون'!$O$5:$O$2004,'أرشيف المخزون'!$A$5:$A$2004,K3))</f>
        <v>0</v>
      </c>
      <c r="N3" s="4">
        <f>IF(OR(المدخلات!B4="",M3=""),"",المدخلات!B4-M3-المدخلات!D4)</f>
        <v>80926000</v>
      </c>
      <c r="O3" s="18">
        <f>IF(OR(المدخلات!B4="",المدخلات!B4=0,N3=""),"",N3/المدخلات!B4)</f>
        <v>0.6804735718009518</v>
      </c>
      <c r="P3" s="19"/>
      <c r="Q3" s="19"/>
      <c r="R3" s="19"/>
    </row>
    <row r="4" spans="1:18">
      <c r="A4" s="3" t="str">
        <f>المدخلات!A5</f>
        <v>فبراير</v>
      </c>
      <c r="B4" s="13">
        <f>IF(المدخلات!B5="","",المدخلات!B5-المدخلات!C5-المدخلات!D5)</f>
        <v>10348000</v>
      </c>
      <c r="C4" s="22">
        <f>IF(المدخلات!B5=0,"",B4/المدخلات!B5)</f>
        <v>0.11777962417054599</v>
      </c>
      <c r="D4" s="22">
        <f>IF(OR(المدخلات!B4=0,المدخلات!B5=""),"",(المدخلات!B5-المدخلات!B4)/المدخلات!B4)</f>
        <v>-0.26122967223315341</v>
      </c>
      <c r="E4" s="22">
        <f>IF(المدخلات!B5=0,"",المدخلات!D5/المدخلات!B5)</f>
        <v>0.41219453897722486</v>
      </c>
      <c r="F4" s="13">
        <f>IF(المدخلات!F5="","",المدخلات!F5)</f>
        <v>2489000</v>
      </c>
      <c r="G4" s="23">
        <f>IF(المدخلات!G5="","",المدخلات!G5)</f>
        <v>325</v>
      </c>
      <c r="H4" s="13">
        <f>IF(OR(المدخلات!H5="",المدخلات!J5=""),"",المدخلات!H5-المدخلات!J5)</f>
        <v>54846000</v>
      </c>
      <c r="I4" s="23">
        <f>IF(OR(المدخلات!I5="",المدخلات!K5=""),"",المدخلات!I5-المدخلات!K5)</f>
        <v>-7922</v>
      </c>
      <c r="J4" s="24" t="str">
        <f t="shared" si="0"/>
        <v>✅ ربح</v>
      </c>
      <c r="K4" s="25">
        <f>IF(المدخلات!L5="","",المدخلات!L5)</f>
        <v>202602</v>
      </c>
      <c r="L4" s="13">
        <f>IF(K4="","",SUMIFS('أرشيف المخزون'!$N$5:$N$2004,'أرشيف المخزون'!$A$5:$A$2004,K4))</f>
        <v>0</v>
      </c>
      <c r="M4" s="13">
        <f>IF(K4="","",SUMIFS('أرشيف المخزون'!$O$5:$O$2004,'أرشيف المخزون'!$A$5:$A$2004,K4))</f>
        <v>0</v>
      </c>
      <c r="N4" s="13">
        <f>IF(OR(المدخلات!B5="",M4=""),"",المدخلات!B5-M4-المدخلات!D5)</f>
        <v>51644000</v>
      </c>
      <c r="O4" s="22">
        <f>IF(OR(المدخلات!B5="",المدخلات!B5=0,N4=""),"",N4/المدخلات!B5)</f>
        <v>0.58780546102277509</v>
      </c>
      <c r="P4" s="22" t="str">
        <f t="shared" ref="P4:P14" si="1">IF(OR(L3="",L3=0,L4=""),"",(L4-L3)/L3)</f>
        <v/>
      </c>
      <c r="Q4" s="22" t="str">
        <f t="shared" ref="Q4:Q14" si="2">IF(OR(M3="",M3=0,M4=""),"",(M4-M3)/M3)</f>
        <v/>
      </c>
      <c r="R4" s="22">
        <f t="shared" ref="R4:R14" si="3">IF(OR(N3="",N3=0,N4=""),"",(N4-N3)/N3)</f>
        <v>-0.36183673973753799</v>
      </c>
    </row>
    <row r="5" spans="1:18">
      <c r="A5" s="3" t="str">
        <f>المدخلات!A6</f>
        <v>مارس</v>
      </c>
      <c r="B5" s="4">
        <f>IF(المدخلات!B6="","",المدخلات!B6-المدخلات!C6-المدخلات!D6)</f>
        <v>23085000</v>
      </c>
      <c r="C5" s="18">
        <f>IF(المدخلات!B6=0,"",B5/المدخلات!B6)</f>
        <v>0.21893345219692156</v>
      </c>
      <c r="D5" s="18">
        <f>IF(OR(المدخلات!B5=0,المدخلات!B6=""),"",(المدخلات!B6-المدخلات!B5)/المدخلات!B5)</f>
        <v>0.20013885885339008</v>
      </c>
      <c r="E5" s="18">
        <f>IF(المدخلات!B6=0,"",المدخلات!D6/المدخلات!B6)</f>
        <v>0.35282569729616947</v>
      </c>
      <c r="F5" s="4">
        <f>IF(المدخلات!F6="","",المدخلات!F6)</f>
        <v>1684000</v>
      </c>
      <c r="G5" s="20">
        <f>IF(المدخلات!G6="","",المدخلات!G6)</f>
        <v>270</v>
      </c>
      <c r="H5" s="4">
        <f>IF(OR(المدخلات!H6="",المدخلات!J6=""),"",المدخلات!H6-المدخلات!J6)</f>
        <v>61791000</v>
      </c>
      <c r="I5" s="20">
        <f>IF(OR(المدخلات!I6="",المدخلات!K6=""),"",المدخلات!I6-المدخلات!K6)</f>
        <v>-7670</v>
      </c>
      <c r="J5" s="21" t="str">
        <f t="shared" si="0"/>
        <v>✅ ربح</v>
      </c>
      <c r="K5" s="11">
        <f>IF(المدخلات!L6="","",المدخلات!L6)</f>
        <v>202603</v>
      </c>
      <c r="L5" s="4">
        <f>IF(K5="","",SUMIFS('أرشيف المخزون'!$N$5:$N$2004,'أرشيف المخزون'!$A$5:$A$2004,K5))</f>
        <v>0</v>
      </c>
      <c r="M5" s="4">
        <f>IF(K5="","",SUMIFS('أرشيف المخزون'!$O$5:$O$2004,'أرشيف المخزون'!$A$5:$A$2004,K5))</f>
        <v>0</v>
      </c>
      <c r="N5" s="4">
        <f>IF(OR(المدخلات!B6="",M5=""),"",المدخلات!B6-M5-المدخلات!D6)</f>
        <v>68240000</v>
      </c>
      <c r="O5" s="18">
        <f>IF(OR(المدخلات!B6="",المدخلات!B6=0,N5=""),"",N5/المدخلات!B6)</f>
        <v>0.64717430270383047</v>
      </c>
      <c r="P5" s="18" t="str">
        <f t="shared" si="1"/>
        <v/>
      </c>
      <c r="Q5" s="18" t="str">
        <f t="shared" si="2"/>
        <v/>
      </c>
      <c r="R5" s="18">
        <f t="shared" si="3"/>
        <v>0.32135388428471845</v>
      </c>
    </row>
    <row r="6" spans="1:18">
      <c r="A6" s="3" t="str">
        <f>المدخلات!A7</f>
        <v>أبريل</v>
      </c>
      <c r="B6" s="13">
        <f>IF(المدخلات!B7="","",المدخلات!B7-المدخلات!C7-المدخلات!D7)</f>
        <v>36765000</v>
      </c>
      <c r="C6" s="22">
        <f>IF(المدخلات!B7=0,"",B6/المدخلات!B7)</f>
        <v>0.22055779856141003</v>
      </c>
      <c r="D6" s="22">
        <f>IF(OR(المدخلات!B6=0,المدخلات!B7=""),"",(المدخلات!B7-المدخلات!B6)/المدخلات!B6)</f>
        <v>0.5808635945487135</v>
      </c>
      <c r="E6" s="22">
        <f>IF(المدخلات!B7=0,"",المدخلات!D7/المدخلات!B7)</f>
        <v>0.23019239191078103</v>
      </c>
      <c r="F6" s="13">
        <f>IF(المدخلات!F7="","",المدخلات!F7)</f>
        <v>1436000</v>
      </c>
      <c r="G6" s="23">
        <f>IF(المدخلات!G7="","",المدخلات!G7)</f>
        <v>295</v>
      </c>
      <c r="H6" s="13">
        <f>IF(OR(المدخلات!H7="",المدخلات!J7=""),"",المدخلات!H7-المدخلات!J7)</f>
        <v>64650000</v>
      </c>
      <c r="I6" s="23">
        <f>IF(OR(المدخلات!I7="",المدخلات!K7=""),"",المدخلات!I7-المدخلات!K7)</f>
        <v>-4099</v>
      </c>
      <c r="J6" s="24" t="str">
        <f t="shared" si="0"/>
        <v>✅ ربح</v>
      </c>
      <c r="K6" s="25">
        <f>IF(المدخلات!L7="","",المدخلات!L7)</f>
        <v>202604</v>
      </c>
      <c r="L6" s="13">
        <f>IF(K6="","",SUMIFS('أرشيف المخزون'!$N$5:$N$2004,'أرشيف المخزون'!$A$5:$A$2004,K6))</f>
        <v>0</v>
      </c>
      <c r="M6" s="13">
        <f>IF(K6="","",SUMIFS('أرشيف المخزون'!$O$5:$O$2004,'أرشيف المخزون'!$A$5:$A$2004,K6))</f>
        <v>0</v>
      </c>
      <c r="N6" s="13">
        <f>IF(OR(المدخلات!B7="",M6=""),"",المدخلات!B7-M6-المدخلات!D7)</f>
        <v>128320000</v>
      </c>
      <c r="O6" s="22">
        <f>IF(OR(المدخلات!B7="",المدخلات!B7=0,N6=""),"",N6/المدخلات!B7)</f>
        <v>0.769807608089219</v>
      </c>
      <c r="P6" s="22" t="str">
        <f t="shared" si="1"/>
        <v/>
      </c>
      <c r="Q6" s="22" t="str">
        <f t="shared" si="2"/>
        <v/>
      </c>
      <c r="R6" s="22">
        <f t="shared" si="3"/>
        <v>0.88042203985931999</v>
      </c>
    </row>
    <row r="7" spans="1:18">
      <c r="A7" s="3" t="str">
        <f>المدخلات!A8</f>
        <v>مايو</v>
      </c>
      <c r="B7" s="4">
        <f>IF(المدخلات!B8="","",المدخلات!B8-المدخلات!C8-المدخلات!D8)</f>
        <v>46138000</v>
      </c>
      <c r="C7" s="18">
        <f>IF(المدخلات!B8=0,"",B7/المدخلات!B8)</f>
        <v>0.28247639805551816</v>
      </c>
      <c r="D7" s="18">
        <f>IF(OR(المدخلات!B7=0,المدخلات!B8=""),"",(المدخلات!B8-المدخلات!B7)/المدخلات!B7)</f>
        <v>-2.0139059697284196E-2</v>
      </c>
      <c r="E7" s="18">
        <f>IF(المدخلات!B8=0,"",المدخلات!D8/المدخلات!B8)</f>
        <v>0.15918302374276022</v>
      </c>
      <c r="F7" s="4">
        <f>IF(المدخلات!F8="","",المدخلات!F8)</f>
        <v>1500000</v>
      </c>
      <c r="G7" s="20">
        <f>IF(المدخلات!G8="","",المدخلات!G8)</f>
        <v>50</v>
      </c>
      <c r="H7" s="4">
        <f>IF(OR(المدخلات!H8="",المدخلات!J8=""),"",المدخلات!H8-المدخلات!J8)</f>
        <v>27183000</v>
      </c>
      <c r="I7" s="20">
        <f>IF(OR(المدخلات!I8="",المدخلات!K8=""),"",المدخلات!I8-المدخلات!K8)</f>
        <v>591</v>
      </c>
      <c r="J7" s="21" t="str">
        <f t="shared" si="0"/>
        <v>✅ ربح</v>
      </c>
      <c r="K7" s="11">
        <f>IF(المدخلات!L8="","",المدخلات!L8)</f>
        <v>202605</v>
      </c>
      <c r="L7" s="4">
        <f>IF(K7="","",SUMIFS('أرشيف المخزون'!$N$5:$N$2004,'أرشيف المخزون'!$A$5:$A$2004,K7))</f>
        <v>0</v>
      </c>
      <c r="M7" s="4">
        <f>IF(K7="","",SUMIFS('أرشيف المخزون'!$O$5:$O$2004,'أرشيف المخزون'!$A$5:$A$2004,K7))</f>
        <v>0</v>
      </c>
      <c r="N7" s="4">
        <f>IF(OR(المدخلات!B8="",M7=""),"",المدخلات!B8-M7-المدخلات!D8)</f>
        <v>137334000</v>
      </c>
      <c r="O7" s="18">
        <f>IF(OR(المدخلات!B8="",المدخلات!B8=0,N7=""),"",N7/المدخلات!B8)</f>
        <v>0.84081697625723972</v>
      </c>
      <c r="P7" s="18" t="str">
        <f t="shared" si="1"/>
        <v/>
      </c>
      <c r="Q7" s="18" t="str">
        <f t="shared" si="2"/>
        <v/>
      </c>
      <c r="R7" s="18">
        <f t="shared" si="3"/>
        <v>7.0246259351620946E-2</v>
      </c>
    </row>
    <row r="8" spans="1:18">
      <c r="A8" s="3" t="str">
        <f>المدخلات!A9</f>
        <v>يونيو</v>
      </c>
      <c r="B8" s="13">
        <f>IF(المدخلات!B9="","",المدخلات!B9-المدخلات!C9-المدخلات!D9)</f>
        <v>103414000</v>
      </c>
      <c r="C8" s="22">
        <f>IF(المدخلات!B9=0,"",B8/المدخلات!B9)</f>
        <v>0.52381675986708809</v>
      </c>
      <c r="D8" s="22">
        <f>IF(OR(المدخلات!B8=0,المدخلات!B9=""),"",(المدخلات!B9-المدخلات!B8)/المدخلات!B8)</f>
        <v>0.20871343382271909</v>
      </c>
      <c r="E8" s="22">
        <f>IF(المدخلات!B9=0,"",المدخلات!D9/المدخلات!B9)</f>
        <v>0.16406819839533188</v>
      </c>
      <c r="F8" s="13">
        <f>IF(المدخلات!F9="","",المدخلات!F9)</f>
        <v>584000</v>
      </c>
      <c r="G8" s="23">
        <f>IF(المدخلات!G9="","",المدخلات!G9)</f>
        <v>686</v>
      </c>
      <c r="H8" s="13">
        <f>IF(OR(المدخلات!H9="",المدخلات!J9=""),"",المدخلات!H9-المدخلات!J9)</f>
        <v>29005000</v>
      </c>
      <c r="I8" s="23">
        <f>IF(OR(المدخلات!I9="",المدخلات!K9=""),"",المدخلات!I9-المدخلات!K9)</f>
        <v>6182</v>
      </c>
      <c r="J8" s="24" t="str">
        <f t="shared" si="0"/>
        <v>✅ ربح</v>
      </c>
      <c r="K8" s="25">
        <f>IF(المدخلات!L9="","",المدخلات!L9)</f>
        <v>202606</v>
      </c>
      <c r="L8" s="13">
        <f>IF(K8="","",SUMIFS('أرشيف المخزون'!$N$5:$N$2004,'أرشيف المخزون'!$A$5:$A$2004,K8))</f>
        <v>470821308.05000001</v>
      </c>
      <c r="M8" s="13">
        <f>IF(K8="","",SUMIFS('أرشيف المخزون'!$O$5:$O$2004,'أرشيف المخزون'!$A$5:$A$2004,K8))</f>
        <v>0</v>
      </c>
      <c r="N8" s="13">
        <f>IF(OR(المدخلات!B9="",M8=""),"",المدخلات!B9-M8-المدخلات!D9)</f>
        <v>165033000</v>
      </c>
      <c r="O8" s="22">
        <f>IF(OR(المدخلات!B9="",المدخلات!B9=0,N8=""),"",N8/المدخلات!B9)</f>
        <v>0.83593180160466818</v>
      </c>
      <c r="P8" s="22" t="str">
        <f t="shared" si="1"/>
        <v/>
      </c>
      <c r="Q8" s="22" t="str">
        <f t="shared" si="2"/>
        <v/>
      </c>
      <c r="R8" s="22">
        <f t="shared" si="3"/>
        <v>0.2016907684914151</v>
      </c>
    </row>
    <row r="9" spans="1:18">
      <c r="A9" s="3" t="str">
        <f>المدخلات!A10</f>
        <v>يوليو</v>
      </c>
      <c r="B9" s="4">
        <f>IF(المدخلات!B10="","",المدخلات!B10-المدخلات!C10-المدخلات!D10)</f>
        <v>21179000</v>
      </c>
      <c r="C9" s="18">
        <f>IF(المدخلات!B10=0,"",B9/المدخلات!B10)</f>
        <v>0.11086043906575517</v>
      </c>
      <c r="D9" s="18">
        <f>IF(OR(المدخلات!B9=0,المدخلات!B10=""),"",(المدخلات!B10-المدخلات!B9)/المدخلات!B9)</f>
        <v>-3.2326363562687414E-2</v>
      </c>
      <c r="E9" s="18">
        <f>IF(المدخلات!B10=0,"",المدخلات!D10/المدخلات!B10)</f>
        <v>0.15279362653238554</v>
      </c>
      <c r="F9" s="4">
        <f>IF(المدخلات!F10="","",المدخلات!F10)</f>
        <v>4287000</v>
      </c>
      <c r="G9" s="20">
        <f>IF(المدخلات!G10="","",المدخلات!G10)</f>
        <v>330</v>
      </c>
      <c r="H9" s="4">
        <f>IF(OR(المدخلات!H10="",المدخلات!J10=""),"",المدخلات!H10-المدخلات!J10)</f>
        <v>37886000</v>
      </c>
      <c r="I9" s="20">
        <f>IF(OR(المدخلات!I10="",المدخلات!K10=""),"",المدخلات!I10-المدخلات!K10)</f>
        <v>2971</v>
      </c>
      <c r="J9" s="21" t="str">
        <f t="shared" si="0"/>
        <v>✅ ربح</v>
      </c>
      <c r="K9" s="11">
        <f>IF(المدخلات!L10="","",المدخلات!L10)</f>
        <v>202607</v>
      </c>
      <c r="L9" s="4">
        <f>IF(K9="","",SUMIFS('أرشيف المخزون'!$N$5:$N$2004,'أرشيف المخزون'!$A$5:$A$2004,K9))</f>
        <v>537756808.03999996</v>
      </c>
      <c r="M9" s="4">
        <f>IF(K9="","",SUMIFS('أرشيف المخزون'!$O$5:$O$2004,'أرشيف المخزون'!$A$5:$A$2004,K9))</f>
        <v>25442362.159999996</v>
      </c>
      <c r="N9" s="4">
        <f>IF(OR(المدخلات!B10="",M9=""),"",المدخلات!B10-M9-المدخلات!D10)</f>
        <v>136409637.84</v>
      </c>
      <c r="O9" s="18">
        <f>IF(OR(المدخلات!B10="",المدخلات!B10=0,N9=""),"",N9/المدخلات!B10)</f>
        <v>0.71402957381099441</v>
      </c>
      <c r="P9" s="18">
        <f t="shared" si="1"/>
        <v>0.1421675248030439</v>
      </c>
      <c r="Q9" s="18" t="str">
        <f t="shared" si="2"/>
        <v/>
      </c>
      <c r="R9" s="18">
        <f t="shared" si="3"/>
        <v>-0.17344023413499116</v>
      </c>
    </row>
    <row r="10" spans="1:18">
      <c r="A10" s="3" t="str">
        <f>المدخلات!A11</f>
        <v>أغسطس</v>
      </c>
      <c r="B10" s="13" t="str">
        <f>IF(المدخلات!B11="","",المدخلات!B11-المدخلات!C11-المدخلات!D11)</f>
        <v/>
      </c>
      <c r="C10" s="22" t="str">
        <f>IF(المدخلات!B11=0,"",B10/المدخلات!B11)</f>
        <v/>
      </c>
      <c r="D10" s="22" t="str">
        <f>IF(OR(المدخلات!B10=0,المدخلات!B11=""),"",(المدخلات!B11-المدخلات!B10)/المدخلات!B10)</f>
        <v/>
      </c>
      <c r="E10" s="22" t="str">
        <f>IF(المدخلات!B11=0,"",المدخلات!D11/المدخلات!B11)</f>
        <v/>
      </c>
      <c r="F10" s="13" t="str">
        <f>IF(المدخلات!F11="","",المدخلات!F11)</f>
        <v/>
      </c>
      <c r="G10" s="23" t="str">
        <f>IF(المدخلات!G11="","",المدخلات!G11)</f>
        <v/>
      </c>
      <c r="H10" s="13" t="str">
        <f>IF(OR(المدخلات!H11="",المدخلات!J11=""),"",المدخلات!H11-المدخلات!J11)</f>
        <v/>
      </c>
      <c r="I10" s="23" t="str">
        <f>IF(OR(المدخلات!I11="",المدخلات!K11=""),"",المدخلات!I11-المدخلات!K11)</f>
        <v/>
      </c>
      <c r="J10" s="24" t="str">
        <f t="shared" si="0"/>
        <v/>
      </c>
      <c r="K10" s="25" t="str">
        <f>IF(المدخلات!L11="","",المدخلات!L11)</f>
        <v/>
      </c>
      <c r="L10" s="13" t="str">
        <f>IF(K10="","",SUMIFS('أرشيف المخزون'!$N$5:$N$2004,'أرشيف المخزون'!$A$5:$A$2004,K10))</f>
        <v/>
      </c>
      <c r="M10" s="13" t="str">
        <f>IF(K10="","",SUMIFS('أرشيف المخزون'!$O$5:$O$2004,'أرشيف المخزون'!$A$5:$A$2004,K10))</f>
        <v/>
      </c>
      <c r="N10" s="13" t="str">
        <f>IF(OR(المدخلات!B11="",M10=""),"",المدخلات!B11-M10-المدخلات!D11)</f>
        <v/>
      </c>
      <c r="O10" s="22" t="str">
        <f>IF(OR(المدخلات!B11="",المدخلات!B11=0,N10=""),"",N10/المدخلات!B11)</f>
        <v/>
      </c>
      <c r="P10" s="22" t="str">
        <f t="shared" si="1"/>
        <v/>
      </c>
      <c r="Q10" s="22" t="str">
        <f t="shared" si="2"/>
        <v/>
      </c>
      <c r="R10" s="22" t="str">
        <f t="shared" si="3"/>
        <v/>
      </c>
    </row>
    <row r="11" spans="1:18">
      <c r="A11" s="3" t="str">
        <f>المدخلات!A12</f>
        <v>سبتمبر</v>
      </c>
      <c r="B11" s="4" t="str">
        <f>IF(المدخلات!B12="","",المدخلات!B12-المدخلات!C12-المدخلات!D12)</f>
        <v/>
      </c>
      <c r="C11" s="18" t="str">
        <f>IF(المدخلات!B12=0,"",B11/المدخلات!B12)</f>
        <v/>
      </c>
      <c r="D11" s="18" t="str">
        <f>IF(OR(المدخلات!B11=0,المدخلات!B12=""),"",(المدخلات!B12-المدخلات!B11)/المدخلات!B11)</f>
        <v/>
      </c>
      <c r="E11" s="18" t="str">
        <f>IF(المدخلات!B12=0,"",المدخلات!D12/المدخلات!B12)</f>
        <v/>
      </c>
      <c r="F11" s="4" t="str">
        <f>IF(المدخلات!F12="","",المدخلات!F12)</f>
        <v/>
      </c>
      <c r="G11" s="20" t="str">
        <f>IF(المدخلات!G12="","",المدخلات!G12)</f>
        <v/>
      </c>
      <c r="H11" s="4" t="str">
        <f>IF(OR(المدخلات!H12="",المدخلات!J12=""),"",المدخلات!H12-المدخلات!J12)</f>
        <v/>
      </c>
      <c r="I11" s="20" t="str">
        <f>IF(OR(المدخلات!I12="",المدخلات!K12=""),"",المدخلات!I12-المدخلات!K12)</f>
        <v/>
      </c>
      <c r="J11" s="21" t="str">
        <f t="shared" si="0"/>
        <v/>
      </c>
      <c r="K11" s="11" t="str">
        <f>IF(المدخلات!L12="","",المدخلات!L12)</f>
        <v/>
      </c>
      <c r="L11" s="4" t="str">
        <f>IF(K11="","",SUMIFS('أرشيف المخزون'!$N$5:$N$2004,'أرشيف المخزون'!$A$5:$A$2004,K11))</f>
        <v/>
      </c>
      <c r="M11" s="4" t="str">
        <f>IF(K11="","",SUMIFS('أرشيف المخزون'!$O$5:$O$2004,'أرشيف المخزون'!$A$5:$A$2004,K11))</f>
        <v/>
      </c>
      <c r="N11" s="4" t="str">
        <f>IF(OR(المدخلات!B12="",M11=""),"",المدخلات!B12-M11-المدخلات!D12)</f>
        <v/>
      </c>
      <c r="O11" s="18" t="str">
        <f>IF(OR(المدخلات!B12="",المدخلات!B12=0,N11=""),"",N11/المدخلات!B12)</f>
        <v/>
      </c>
      <c r="P11" s="18" t="str">
        <f t="shared" si="1"/>
        <v/>
      </c>
      <c r="Q11" s="18" t="str">
        <f t="shared" si="2"/>
        <v/>
      </c>
      <c r="R11" s="18" t="str">
        <f t="shared" si="3"/>
        <v/>
      </c>
    </row>
    <row r="12" spans="1:18">
      <c r="A12" s="3" t="str">
        <f>المدخلات!A13</f>
        <v>أكتوبر</v>
      </c>
      <c r="B12" s="13" t="str">
        <f>IF(المدخلات!B13="","",المدخلات!B13-المدخلات!C13-المدخلات!D13)</f>
        <v/>
      </c>
      <c r="C12" s="22" t="str">
        <f>IF(المدخلات!B13=0,"",B12/المدخلات!B13)</f>
        <v/>
      </c>
      <c r="D12" s="22" t="str">
        <f>IF(OR(المدخلات!B12=0,المدخلات!B13=""),"",(المدخلات!B13-المدخلات!B12)/المدخلات!B12)</f>
        <v/>
      </c>
      <c r="E12" s="22" t="str">
        <f>IF(المدخلات!B13=0,"",المدخلات!D13/المدخلات!B13)</f>
        <v/>
      </c>
      <c r="F12" s="13" t="str">
        <f>IF(المدخلات!F13="","",المدخلات!F13)</f>
        <v/>
      </c>
      <c r="G12" s="23" t="str">
        <f>IF(المدخلات!G13="","",المدخلات!G13)</f>
        <v/>
      </c>
      <c r="H12" s="13" t="str">
        <f>IF(OR(المدخلات!H13="",المدخلات!J13=""),"",المدخلات!H13-المدخلات!J13)</f>
        <v/>
      </c>
      <c r="I12" s="23" t="str">
        <f>IF(OR(المدخلات!I13="",المدخلات!K13=""),"",المدخلات!I13-المدخلات!K13)</f>
        <v/>
      </c>
      <c r="J12" s="24" t="str">
        <f t="shared" si="0"/>
        <v/>
      </c>
      <c r="K12" s="25" t="str">
        <f>IF(المدخلات!L13="","",المدخلات!L13)</f>
        <v/>
      </c>
      <c r="L12" s="13" t="str">
        <f>IF(K12="","",SUMIFS('أرشيف المخزون'!$N$5:$N$2004,'أرشيف المخزون'!$A$5:$A$2004,K12))</f>
        <v/>
      </c>
      <c r="M12" s="13" t="str">
        <f>IF(K12="","",SUMIFS('أرشيف المخزون'!$O$5:$O$2004,'أرشيف المخزون'!$A$5:$A$2004,K12))</f>
        <v/>
      </c>
      <c r="N12" s="13" t="str">
        <f>IF(OR(المدخلات!B13="",M12=""),"",المدخلات!B13-M12-المدخلات!D13)</f>
        <v/>
      </c>
      <c r="O12" s="22" t="str">
        <f>IF(OR(المدخلات!B13="",المدخلات!B13=0,N12=""),"",N12/المدخلات!B13)</f>
        <v/>
      </c>
      <c r="P12" s="22" t="str">
        <f t="shared" si="1"/>
        <v/>
      </c>
      <c r="Q12" s="22" t="str">
        <f t="shared" si="2"/>
        <v/>
      </c>
      <c r="R12" s="22" t="str">
        <f t="shared" si="3"/>
        <v/>
      </c>
    </row>
    <row r="13" spans="1:18">
      <c r="A13" s="3" t="str">
        <f>المدخلات!A14</f>
        <v>نوفمبر</v>
      </c>
      <c r="B13" s="4" t="str">
        <f>IF(المدخلات!B14="","",المدخلات!B14-المدخلات!C14-المدخلات!D14)</f>
        <v/>
      </c>
      <c r="C13" s="18" t="str">
        <f>IF(المدخلات!B14=0,"",B13/المدخلات!B14)</f>
        <v/>
      </c>
      <c r="D13" s="18" t="str">
        <f>IF(OR(المدخلات!B13=0,المدخلات!B14=""),"",(المدخلات!B14-المدخلات!B13)/المدخلات!B13)</f>
        <v/>
      </c>
      <c r="E13" s="18" t="str">
        <f>IF(المدخلات!B14=0,"",المدخلات!D14/المدخلات!B14)</f>
        <v/>
      </c>
      <c r="F13" s="4" t="str">
        <f>IF(المدخلات!F14="","",المدخلات!F14)</f>
        <v/>
      </c>
      <c r="G13" s="20" t="str">
        <f>IF(المدخلات!G14="","",المدخلات!G14)</f>
        <v/>
      </c>
      <c r="H13" s="4" t="str">
        <f>IF(OR(المدخلات!H14="",المدخلات!J14=""),"",المدخلات!H14-المدخلات!J14)</f>
        <v/>
      </c>
      <c r="I13" s="20" t="str">
        <f>IF(OR(المدخلات!I14="",المدخلات!K14=""),"",المدخلات!I14-المدخلات!K14)</f>
        <v/>
      </c>
      <c r="J13" s="21" t="str">
        <f t="shared" si="0"/>
        <v/>
      </c>
      <c r="K13" s="11" t="str">
        <f>IF(المدخلات!L14="","",المدخلات!L14)</f>
        <v/>
      </c>
      <c r="L13" s="4" t="str">
        <f>IF(K13="","",SUMIFS('أرشيف المخزون'!$N$5:$N$2004,'أرشيف المخزون'!$A$5:$A$2004,K13))</f>
        <v/>
      </c>
      <c r="M13" s="4" t="str">
        <f>IF(K13="","",SUMIFS('أرشيف المخزون'!$O$5:$O$2004,'أرشيف المخزون'!$A$5:$A$2004,K13))</f>
        <v/>
      </c>
      <c r="N13" s="4" t="str">
        <f>IF(OR(المدخلات!B14="",M13=""),"",المدخلات!B14-M13-المدخلات!D14)</f>
        <v/>
      </c>
      <c r="O13" s="18" t="str">
        <f>IF(OR(المدخلات!B14="",المدخلات!B14=0,N13=""),"",N13/المدخلات!B14)</f>
        <v/>
      </c>
      <c r="P13" s="18" t="str">
        <f t="shared" si="1"/>
        <v/>
      </c>
      <c r="Q13" s="18" t="str">
        <f t="shared" si="2"/>
        <v/>
      </c>
      <c r="R13" s="18" t="str">
        <f t="shared" si="3"/>
        <v/>
      </c>
    </row>
    <row r="14" spans="1:18">
      <c r="A14" s="3" t="str">
        <f>المدخلات!A15</f>
        <v>ديسمبر</v>
      </c>
      <c r="B14" s="13" t="str">
        <f>IF(المدخلات!B15="","",المدخلات!B15-المدخلات!C15-المدخلات!D15)</f>
        <v/>
      </c>
      <c r="C14" s="22" t="str">
        <f>IF(المدخلات!B15=0,"",B14/المدخلات!B15)</f>
        <v/>
      </c>
      <c r="D14" s="22" t="str">
        <f>IF(OR(المدخلات!B14=0,المدخلات!B15=""),"",(المدخلات!B15-المدخلات!B14)/المدخلات!B14)</f>
        <v/>
      </c>
      <c r="E14" s="22" t="str">
        <f>IF(المدخلات!B15=0,"",المدخلات!D15/المدخلات!B15)</f>
        <v/>
      </c>
      <c r="F14" s="13" t="str">
        <f>IF(المدخلات!F15="","",المدخلات!F15)</f>
        <v/>
      </c>
      <c r="G14" s="23" t="str">
        <f>IF(المدخلات!G15="","",المدخلات!G15)</f>
        <v/>
      </c>
      <c r="H14" s="13" t="str">
        <f>IF(OR(المدخلات!H15="",المدخلات!J15=""),"",المدخلات!H15-المدخلات!J15)</f>
        <v/>
      </c>
      <c r="I14" s="23" t="str">
        <f>IF(OR(المدخلات!I15="",المدخلات!K15=""),"",المدخلات!I15-المدخلات!K15)</f>
        <v/>
      </c>
      <c r="J14" s="24" t="str">
        <f t="shared" si="0"/>
        <v/>
      </c>
      <c r="K14" s="25" t="str">
        <f>IF(المدخلات!L15="","",المدخلات!L15)</f>
        <v/>
      </c>
      <c r="L14" s="13" t="str">
        <f>IF(K14="","",SUMIFS('أرشيف المخزون'!$N$5:$N$2004,'أرشيف المخزون'!$A$5:$A$2004,K14))</f>
        <v/>
      </c>
      <c r="M14" s="13" t="str">
        <f>IF(K14="","",SUMIFS('أرشيف المخزون'!$O$5:$O$2004,'أرشيف المخزون'!$A$5:$A$2004,K14))</f>
        <v/>
      </c>
      <c r="N14" s="13" t="str">
        <f>IF(OR(المدخلات!B15="",M14=""),"",المدخلات!B15-M14-المدخلات!D15)</f>
        <v/>
      </c>
      <c r="O14" s="22" t="str">
        <f>IF(OR(المدخلات!B15="",المدخلات!B15=0,N14=""),"",N14/المدخلات!B15)</f>
        <v/>
      </c>
      <c r="P14" s="22" t="str">
        <f t="shared" si="1"/>
        <v/>
      </c>
      <c r="Q14" s="22" t="str">
        <f t="shared" si="2"/>
        <v/>
      </c>
      <c r="R14" s="22" t="str">
        <f t="shared" si="3"/>
        <v/>
      </c>
    </row>
  </sheetData>
  <mergeCells count="1">
    <mergeCell ref="A1:R1"/>
  </mergeCells>
  <conditionalFormatting sqref="B3:B14">
    <cfRule type="cellIs" dxfId="41" priority="2" operator="greaterThan">
      <formula>0</formula>
    </cfRule>
    <cfRule type="cellIs" dxfId="40" priority="3" operator="lessThan">
      <formula>0</formula>
    </cfRule>
  </conditionalFormatting>
  <conditionalFormatting sqref="D3:D14">
    <cfRule type="cellIs" dxfId="39" priority="6" operator="greaterThan">
      <formula>0</formula>
    </cfRule>
    <cfRule type="cellIs" dxfId="38" priority="7" operator="lessThan">
      <formula>0</formula>
    </cfRule>
  </conditionalFormatting>
  <conditionalFormatting sqref="H3:I14">
    <cfRule type="cellIs" dxfId="37" priority="4" operator="greaterThan">
      <formula>0</formula>
    </cfRule>
    <cfRule type="cellIs" dxfId="36" priority="5" operator="lessThan">
      <formula>0</formula>
    </cfRule>
  </conditionalFormatting>
  <pageMargins left="0.5" right="0.5"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showGridLines="0" rightToLeft="1" topLeftCell="A6" zoomScaleNormal="100" workbookViewId="0">
      <selection activeCell="B5" sqref="B5"/>
    </sheetView>
  </sheetViews>
  <sheetFormatPr defaultColWidth="8.7109375" defaultRowHeight="15"/>
  <cols>
    <col min="1" max="1" width="22" customWidth="1"/>
    <col min="2" max="3" width="20" customWidth="1"/>
    <col min="4" max="4" width="12" customWidth="1"/>
    <col min="5" max="5" width="8" customWidth="1"/>
    <col min="6" max="6" width="12" customWidth="1"/>
  </cols>
  <sheetData>
    <row r="1" spans="1:6" ht="42" customHeight="1">
      <c r="A1" s="70" t="s">
        <v>49</v>
      </c>
      <c r="B1" s="70"/>
      <c r="C1" s="70"/>
      <c r="D1" s="70"/>
      <c r="E1" s="70"/>
      <c r="F1" s="70"/>
    </row>
    <row r="2" spans="1:6" ht="27.75" customHeight="1">
      <c r="A2" s="71" t="str">
        <f>"📅 آخر شهر تم إدخاله: "&amp;IFERROR(LOOKUP(2,1/(المدخلات!B4:B15&lt;&gt;""),المدخلات!A4:A15),"")</f>
        <v>📅 آخر شهر تم إدخاله: يوليو</v>
      </c>
      <c r="B2" s="71"/>
      <c r="C2" s="71"/>
      <c r="D2" s="71"/>
      <c r="E2" s="71"/>
      <c r="F2" s="71"/>
    </row>
    <row r="4" spans="1:6" ht="19.5" customHeight="1">
      <c r="A4" s="64" t="s">
        <v>50</v>
      </c>
      <c r="B4" s="2" t="s">
        <v>51</v>
      </c>
      <c r="C4" s="2" t="s">
        <v>52</v>
      </c>
      <c r="D4" s="2" t="s">
        <v>53</v>
      </c>
      <c r="E4" s="2" t="s">
        <v>54</v>
      </c>
      <c r="F4" s="2" t="s">
        <v>55</v>
      </c>
    </row>
    <row r="5" spans="1:6" ht="25.5" customHeight="1">
      <c r="A5" s="64"/>
      <c r="B5" s="26">
        <f>IFERROR(LOOKUP(2,1/(المدخلات!B4:B15&lt;&gt;""),المدخلات!B4:B15),"")</f>
        <v>191042000</v>
      </c>
      <c r="C5" s="27">
        <f>IFERROR(INDEX(المدخلات!B4:B15,COUNTA(المدخلات!B4:B15)-1),"")</f>
        <v>197424000</v>
      </c>
      <c r="D5" s="28">
        <f>IF(OR(C5=0,C5=""),"",(B5-C5)/C5)</f>
        <v>-3.2326363562687414E-2</v>
      </c>
      <c r="E5" s="29" t="str">
        <f>IF(D5="","",IF(D5&gt;0,"▲  ","▼  "))</f>
        <v xml:space="preserve">▼  </v>
      </c>
      <c r="F5" s="30" t="str">
        <f>IF(D5="","",IF(D5&gt;0,"✅","🔴"))</f>
        <v>🔴</v>
      </c>
    </row>
    <row r="6" spans="1:6" ht="6" customHeight="1"/>
    <row r="7" spans="1:6" ht="19.5" customHeight="1">
      <c r="A7" s="64" t="s">
        <v>56</v>
      </c>
      <c r="B7" s="2" t="s">
        <v>51</v>
      </c>
      <c r="C7" s="2" t="s">
        <v>52</v>
      </c>
      <c r="D7" s="2" t="s">
        <v>53</v>
      </c>
      <c r="E7" s="2" t="s">
        <v>54</v>
      </c>
      <c r="F7" s="2" t="s">
        <v>55</v>
      </c>
    </row>
    <row r="8" spans="1:6" ht="25.5" customHeight="1">
      <c r="A8" s="64"/>
      <c r="B8" s="26">
        <f>IFERROR(LOOKUP(2,1/(المدخلات!B4:B15&lt;&gt;""),الحسابات!B3:B14),"")</f>
        <v>21179000</v>
      </c>
      <c r="C8" s="27">
        <f>IFERROR(INDEX(الحسابات!B3:B14,COUNTA(المدخلات!B4:B15)-1),"")</f>
        <v>103414000</v>
      </c>
      <c r="D8" s="28">
        <f>IF(OR(C8=0,C8=""),"",(B8-C8)/C8)</f>
        <v>-0.79520181019977954</v>
      </c>
      <c r="E8" s="29" t="str">
        <f>IF(D8="","",IF(D8&gt;0,"▲  ","▼  "))</f>
        <v xml:space="preserve">▼  </v>
      </c>
      <c r="F8" s="30" t="str">
        <f>IF(D8="","",IF(D8&gt;0,"✅","🔴"))</f>
        <v>🔴</v>
      </c>
    </row>
    <row r="9" spans="1:6" ht="6" customHeight="1"/>
    <row r="10" spans="1:6" ht="19.5" customHeight="1">
      <c r="A10" s="72" t="s">
        <v>57</v>
      </c>
      <c r="B10" s="2" t="s">
        <v>51</v>
      </c>
      <c r="C10" s="2" t="s">
        <v>52</v>
      </c>
      <c r="D10" s="2" t="s">
        <v>53</v>
      </c>
      <c r="E10" s="2" t="s">
        <v>54</v>
      </c>
      <c r="F10" s="2" t="s">
        <v>55</v>
      </c>
    </row>
    <row r="11" spans="1:6" ht="25.5" customHeight="1">
      <c r="A11" s="72"/>
      <c r="B11" s="26">
        <f>IFERROR(LOOKUP(2,1/(المدخلات!B4:B15&lt;&gt;""),المدخلات!D4:D15),"")</f>
        <v>29190000</v>
      </c>
      <c r="C11" s="27">
        <f>IFERROR(INDEX(المدخلات!D4:D15,COUNTA(المدخلات!B4:B15)-1),"")</f>
        <v>32391000</v>
      </c>
      <c r="D11" s="28">
        <f>IF(OR(C11=0,C11=""),"",(B11-C11)/C11)</f>
        <v>-9.8823747337223308E-2</v>
      </c>
      <c r="E11" s="29" t="str">
        <f>IF(D11="","",IF(D11&gt;0,"▲  ","▼  "))</f>
        <v xml:space="preserve">▼  </v>
      </c>
      <c r="F11" s="30" t="str">
        <f>IF(D11="","",IF(D11&gt;0,"✅","🔴"))</f>
        <v>🔴</v>
      </c>
    </row>
    <row r="12" spans="1:6" ht="6" customHeight="1"/>
    <row r="13" spans="1:6" ht="19.5" customHeight="1">
      <c r="A13" s="66" t="s">
        <v>58</v>
      </c>
      <c r="B13" s="2" t="s">
        <v>51</v>
      </c>
      <c r="C13" s="2" t="s">
        <v>52</v>
      </c>
      <c r="D13" s="2" t="s">
        <v>53</v>
      </c>
      <c r="E13" s="2" t="s">
        <v>54</v>
      </c>
      <c r="F13" s="2" t="s">
        <v>55</v>
      </c>
    </row>
    <row r="14" spans="1:6" ht="25.5" customHeight="1">
      <c r="A14" s="66"/>
      <c r="B14" s="26">
        <f>IFERROR(LOOKUP(2,1/(المدخلات!B4:B15&lt;&gt;""),الحسابات!H3:H14),"")</f>
        <v>37886000</v>
      </c>
      <c r="C14" s="27">
        <f>IFERROR(INDEX(الحسابات!H3:H14,COUNTA(المدخلات!B4:B15)-1),"")</f>
        <v>29005000</v>
      </c>
      <c r="D14" s="28">
        <f>IF(OR(C14=0,C14=""),"",(B14-C14)/C14)</f>
        <v>0.30618858817445266</v>
      </c>
      <c r="E14" s="29" t="str">
        <f>IF(D14="","",IF(D14&gt;0,"▲  ","▼  "))</f>
        <v xml:space="preserve">▲  </v>
      </c>
      <c r="F14" s="30" t="str">
        <f>IF(D14="","",IF(D14&gt;0,"✅","🔴"))</f>
        <v>✅</v>
      </c>
    </row>
    <row r="15" spans="1:6" ht="6" customHeight="1"/>
    <row r="16" spans="1:6" ht="19.5" customHeight="1">
      <c r="A16" s="67" t="s">
        <v>59</v>
      </c>
      <c r="B16" s="2" t="s">
        <v>51</v>
      </c>
      <c r="C16" s="2" t="s">
        <v>52</v>
      </c>
      <c r="D16" s="2" t="s">
        <v>53</v>
      </c>
      <c r="E16" s="2" t="s">
        <v>54</v>
      </c>
      <c r="F16" s="2" t="s">
        <v>55</v>
      </c>
    </row>
    <row r="17" spans="1:6" ht="25.5" customHeight="1">
      <c r="A17" s="67"/>
      <c r="B17" s="31">
        <f>IFERROR(LOOKUP(2,1/(المدخلات!B4:B15&lt;&gt;""),الحسابات!I3:I14),"")</f>
        <v>2971</v>
      </c>
      <c r="C17" s="32">
        <f>IFERROR(INDEX(الحسابات!I3:I14,COUNTA(المدخلات!B4:B15)-1),"")</f>
        <v>6182</v>
      </c>
      <c r="D17" s="28">
        <f>IF(OR(C17=0,C17=""),"",(B17-C17)/C17)</f>
        <v>-0.51941119378841794</v>
      </c>
      <c r="E17" s="29" t="str">
        <f>IF(D17="","",IF(D17&gt;0,"▲  ","▼  "))</f>
        <v xml:space="preserve">▼  </v>
      </c>
      <c r="F17" s="30" t="str">
        <f>IF(D17="","",IF(D17&gt;0,"✅","🔴"))</f>
        <v>🔴</v>
      </c>
    </row>
    <row r="19" spans="1:6" ht="25.5" customHeight="1">
      <c r="A19" s="68" t="s">
        <v>60</v>
      </c>
      <c r="B19" s="68"/>
      <c r="C19" s="68"/>
      <c r="D19" s="68"/>
      <c r="E19" s="68"/>
      <c r="F19" s="68"/>
    </row>
    <row r="20" spans="1:6" ht="21.75" customHeight="1">
      <c r="A20" s="33" t="s">
        <v>61</v>
      </c>
      <c r="B20" s="34">
        <f>IFERROR(LOOKUP(2,1/(المدخلات!B4:B15&lt;&gt;""),المدخلات!F4:F15),"")</f>
        <v>4287000</v>
      </c>
      <c r="C20" s="35" t="s">
        <v>62</v>
      </c>
      <c r="D20" s="69"/>
      <c r="E20" s="69"/>
      <c r="F20" s="69"/>
    </row>
    <row r="21" spans="1:6" ht="21.75" customHeight="1">
      <c r="A21" s="33" t="s">
        <v>61</v>
      </c>
      <c r="B21" s="36">
        <f>IFERROR(LOOKUP(2,1/(المدخلات!B4:B15&lt;&gt;""),المدخلات!G4:G15),"")</f>
        <v>330</v>
      </c>
      <c r="C21" s="35" t="s">
        <v>63</v>
      </c>
      <c r="D21" s="69"/>
      <c r="E21" s="69"/>
      <c r="F21" s="69"/>
    </row>
    <row r="23" spans="1:6" ht="25.5" customHeight="1">
      <c r="A23" s="63" t="s">
        <v>64</v>
      </c>
      <c r="B23" s="63"/>
      <c r="C23" s="63"/>
      <c r="D23" s="63"/>
      <c r="E23" s="63"/>
      <c r="F23" s="63"/>
    </row>
    <row r="24" spans="1:6" ht="19.5" customHeight="1">
      <c r="A24" s="37" t="s">
        <v>65</v>
      </c>
      <c r="B24" s="37" t="s">
        <v>62</v>
      </c>
      <c r="C24" s="37" t="s">
        <v>66</v>
      </c>
    </row>
    <row r="25" spans="1:6" ht="21.75" customHeight="1">
      <c r="A25" s="33" t="s">
        <v>67</v>
      </c>
      <c r="B25" s="38">
        <f>IFERROR(LOOKUP(2,1/(المدخلات!B4:B15&lt;&gt;""),المدخلات!H4:H15),"")</f>
        <v>46227000</v>
      </c>
      <c r="C25" s="39">
        <f>IFERROR(LOOKUP(2,1/(المدخلات!B4:B15&lt;&gt;""),المدخلات!I4:I15),"")</f>
        <v>10118</v>
      </c>
    </row>
    <row r="26" spans="1:6" ht="21.75" customHeight="1">
      <c r="A26" s="33" t="s">
        <v>68</v>
      </c>
      <c r="B26" s="40">
        <f>IFERROR(LOOKUP(2,1/(المدخلات!B4:B15&lt;&gt;""),المدخلات!J4:J15),"")</f>
        <v>8341000</v>
      </c>
      <c r="C26" s="41">
        <f>IFERROR(LOOKUP(2,1/(المدخلات!B4:B15&lt;&gt;""),المدخلات!K4:K15),"")</f>
        <v>7147</v>
      </c>
    </row>
    <row r="27" spans="1:6" ht="21.75" customHeight="1">
      <c r="A27" s="33" t="s">
        <v>69</v>
      </c>
      <c r="B27" s="26">
        <f>IFERROR(LOOKUP(2,1/(المدخلات!B4:B15&lt;&gt;""),الحسابات!H3:H14),"")</f>
        <v>37886000</v>
      </c>
      <c r="C27" s="31">
        <f>IFERROR(LOOKUP(2,1/(المدخلات!B4:B15&lt;&gt;""),الحسابات!I3:I14),"")</f>
        <v>2971</v>
      </c>
    </row>
    <row r="29" spans="1:6" ht="15" customHeight="1">
      <c r="A29" s="64" t="s">
        <v>70</v>
      </c>
      <c r="B29" s="2" t="s">
        <v>51</v>
      </c>
      <c r="C29" s="2" t="s">
        <v>52</v>
      </c>
      <c r="D29" s="2" t="s">
        <v>53</v>
      </c>
      <c r="E29" s="2" t="s">
        <v>54</v>
      </c>
      <c r="F29" s="2" t="s">
        <v>55</v>
      </c>
    </row>
    <row r="30" spans="1:6" ht="18" customHeight="1">
      <c r="A30" s="64"/>
      <c r="B30" s="26">
        <f>IFERROR(LOOKUP(2,1/(المدخلات!B4:B15&lt;&gt;""),الحسابات!L3:L14),"")</f>
        <v>537756808.03999996</v>
      </c>
      <c r="C30" s="26">
        <f>IFERROR(INDEX(الحسابات!L3:L14,COUNTA(المدخلات!B4:B15)-1),"")</f>
        <v>470821308.05000001</v>
      </c>
      <c r="D30" s="28">
        <f>IF(OR(C30=0,C30=""),"",(B30-C30)/C30)</f>
        <v>0.1421675248030439</v>
      </c>
      <c r="E30" s="29" t="str">
        <f>IF(D30="","",IF(D30&gt;0,"▲  ","▼  "))</f>
        <v xml:space="preserve">▲  </v>
      </c>
      <c r="F30" s="30" t="str">
        <f>IF(D30="","",IF(D30&gt;0,"✅","🔴"))</f>
        <v>✅</v>
      </c>
    </row>
    <row r="32" spans="1:6" ht="15" customHeight="1">
      <c r="A32" s="64" t="s">
        <v>71</v>
      </c>
      <c r="B32" s="2" t="s">
        <v>51</v>
      </c>
      <c r="C32" s="2" t="s">
        <v>52</v>
      </c>
      <c r="D32" s="2" t="s">
        <v>53</v>
      </c>
      <c r="E32" s="2" t="s">
        <v>54</v>
      </c>
      <c r="F32" s="2" t="s">
        <v>55</v>
      </c>
    </row>
    <row r="33" spans="1:6" ht="18" customHeight="1">
      <c r="A33" s="64"/>
      <c r="B33" s="26">
        <f>IFERROR(LOOKUP(2,1/(المدخلات!B4:B15&lt;&gt;""),الحسابات!M3:M14),"")</f>
        <v>25442362.159999996</v>
      </c>
      <c r="C33" s="26">
        <f>IFERROR(INDEX(الحسابات!M3:M14,COUNTA(المدخلات!B4:B15)-1),"")</f>
        <v>0</v>
      </c>
      <c r="D33" s="28" t="str">
        <f>IF(OR(C33=0,C33=""),"",(B33-C33)/C33)</f>
        <v/>
      </c>
      <c r="E33" s="29" t="str">
        <f>IF(D33="","",IF(D33&gt;0,"▲  ","▼  "))</f>
        <v/>
      </c>
      <c r="F33" s="30" t="str">
        <f>IF(D33="","",IF(D33&gt;0,"✅","🔴"))</f>
        <v/>
      </c>
    </row>
    <row r="35" spans="1:6" ht="15" customHeight="1">
      <c r="A35" s="64" t="s">
        <v>72</v>
      </c>
      <c r="B35" s="2" t="s">
        <v>51</v>
      </c>
      <c r="C35" s="2" t="s">
        <v>52</v>
      </c>
      <c r="D35" s="2" t="s">
        <v>53</v>
      </c>
      <c r="E35" s="2" t="s">
        <v>54</v>
      </c>
      <c r="F35" s="2" t="s">
        <v>55</v>
      </c>
    </row>
    <row r="36" spans="1:6" ht="18" customHeight="1">
      <c r="A36" s="64"/>
      <c r="B36" s="26">
        <f>IFERROR(LOOKUP(2,1/(المدخلات!B4:B15&lt;&gt;""),الحسابات!N3:N14),"")</f>
        <v>136409637.84</v>
      </c>
      <c r="C36" s="26">
        <f>IFERROR(INDEX(الحسابات!N3:N14,COUNTA(المدخلات!B4:B15)-1),"")</f>
        <v>165033000</v>
      </c>
      <c r="D36" s="28">
        <f>IF(OR(C36=0,C36=""),"",(B36-C36)/C36)</f>
        <v>-0.17344023413499116</v>
      </c>
      <c r="E36" s="29" t="str">
        <f>IF(D36="","",IF(D36&gt;0,"▲  ","▼  "))</f>
        <v xml:space="preserve">▼  </v>
      </c>
      <c r="F36" s="30" t="str">
        <f>IF(D36="","",IF(D36&gt;0,"✅","🔴"))</f>
        <v>🔴</v>
      </c>
    </row>
    <row r="38" spans="1:6" ht="39.75" customHeight="1">
      <c r="A38" s="65" t="s">
        <v>73</v>
      </c>
      <c r="B38" s="65"/>
      <c r="C38" s="65"/>
      <c r="D38" s="65"/>
      <c r="E38" s="65"/>
      <c r="F38" s="65"/>
    </row>
  </sheetData>
  <mergeCells count="15">
    <mergeCell ref="A1:F1"/>
    <mergeCell ref="A2:F2"/>
    <mergeCell ref="A4:A5"/>
    <mergeCell ref="A7:A8"/>
    <mergeCell ref="A10:A11"/>
    <mergeCell ref="A13:A14"/>
    <mergeCell ref="A16:A17"/>
    <mergeCell ref="A19:F19"/>
    <mergeCell ref="D20:F20"/>
    <mergeCell ref="D21:F21"/>
    <mergeCell ref="A23:F23"/>
    <mergeCell ref="A29:A30"/>
    <mergeCell ref="A32:A33"/>
    <mergeCell ref="A35:A36"/>
    <mergeCell ref="A38:F38"/>
  </mergeCells>
  <conditionalFormatting sqref="B5">
    <cfRule type="cellIs" dxfId="35" priority="6" operator="greaterThan">
      <formula>0</formula>
    </cfRule>
    <cfRule type="cellIs" dxfId="34" priority="7" operator="lessThan">
      <formula>0</formula>
    </cfRule>
  </conditionalFormatting>
  <conditionalFormatting sqref="B8">
    <cfRule type="cellIs" dxfId="33" priority="12" operator="greaterThan">
      <formula>0</formula>
    </cfRule>
    <cfRule type="cellIs" dxfId="32" priority="13" operator="lessThan">
      <formula>0</formula>
    </cfRule>
  </conditionalFormatting>
  <conditionalFormatting sqref="B11">
    <cfRule type="cellIs" dxfId="31" priority="18" operator="greaterThan">
      <formula>0</formula>
    </cfRule>
    <cfRule type="cellIs" dxfId="30" priority="19" operator="lessThan">
      <formula>0</formula>
    </cfRule>
  </conditionalFormatting>
  <conditionalFormatting sqref="B14">
    <cfRule type="cellIs" dxfId="29" priority="24" operator="greaterThan">
      <formula>0</formula>
    </cfRule>
    <cfRule type="cellIs" dxfId="28" priority="25" operator="lessThan">
      <formula>0</formula>
    </cfRule>
  </conditionalFormatting>
  <conditionalFormatting sqref="B17">
    <cfRule type="cellIs" dxfId="27" priority="30" operator="greaterThan">
      <formula>0</formula>
    </cfRule>
    <cfRule type="cellIs" dxfId="26" priority="31" operator="lessThan">
      <formula>0</formula>
    </cfRule>
  </conditionalFormatting>
  <conditionalFormatting sqref="B25:C27">
    <cfRule type="cellIs" dxfId="25" priority="32" operator="greaterThan">
      <formula>0</formula>
    </cfRule>
    <cfRule type="cellIs" dxfId="24" priority="33" operator="lessThan">
      <formula>0</formula>
    </cfRule>
  </conditionalFormatting>
  <conditionalFormatting sqref="D5">
    <cfRule type="cellIs" dxfId="23" priority="2" operator="greaterThan">
      <formula>0</formula>
    </cfRule>
    <cfRule type="cellIs" dxfId="22" priority="3" operator="lessThan">
      <formula>0</formula>
    </cfRule>
  </conditionalFormatting>
  <conditionalFormatting sqref="D8">
    <cfRule type="cellIs" dxfId="21" priority="8" operator="greaterThan">
      <formula>0</formula>
    </cfRule>
    <cfRule type="cellIs" dxfId="20" priority="9" operator="lessThan">
      <formula>0</formula>
    </cfRule>
  </conditionalFormatting>
  <conditionalFormatting sqref="D11">
    <cfRule type="cellIs" dxfId="19" priority="14" operator="greaterThan">
      <formula>0</formula>
    </cfRule>
    <cfRule type="cellIs" dxfId="18" priority="15" operator="lessThan">
      <formula>0</formula>
    </cfRule>
  </conditionalFormatting>
  <conditionalFormatting sqref="D14">
    <cfRule type="cellIs" dxfId="17" priority="20" operator="greaterThan">
      <formula>0</formula>
    </cfRule>
    <cfRule type="cellIs" dxfId="16" priority="21" operator="lessThan">
      <formula>0</formula>
    </cfRule>
  </conditionalFormatting>
  <conditionalFormatting sqref="D17">
    <cfRule type="cellIs" dxfId="15" priority="26" operator="greaterThan">
      <formula>0</formula>
    </cfRule>
    <cfRule type="cellIs" dxfId="14" priority="27" operator="lessThan">
      <formula>0</formula>
    </cfRule>
  </conditionalFormatting>
  <conditionalFormatting sqref="E5">
    <cfRule type="cellIs" dxfId="13" priority="4" operator="equal">
      <formula>"▲  "</formula>
    </cfRule>
    <cfRule type="cellIs" dxfId="12" priority="5" operator="equal">
      <formula>"▼  "</formula>
    </cfRule>
  </conditionalFormatting>
  <conditionalFormatting sqref="E8">
    <cfRule type="cellIs" dxfId="11" priority="10" operator="equal">
      <formula>"▲  "</formula>
    </cfRule>
    <cfRule type="cellIs" dxfId="10" priority="11" operator="equal">
      <formula>"▼  "</formula>
    </cfRule>
  </conditionalFormatting>
  <conditionalFormatting sqref="E11">
    <cfRule type="cellIs" dxfId="9" priority="16" operator="equal">
      <formula>"▲  "</formula>
    </cfRule>
    <cfRule type="cellIs" dxfId="8" priority="17" operator="equal">
      <formula>"▼  "</formula>
    </cfRule>
  </conditionalFormatting>
  <conditionalFormatting sqref="E14">
    <cfRule type="cellIs" dxfId="7" priority="22" operator="equal">
      <formula>"▲  "</formula>
    </cfRule>
    <cfRule type="cellIs" dxfId="6" priority="23" operator="equal">
      <formula>"▼  "</formula>
    </cfRule>
  </conditionalFormatting>
  <conditionalFormatting sqref="E17">
    <cfRule type="cellIs" dxfId="5" priority="28" operator="equal">
      <formula>"▲  "</formula>
    </cfRule>
    <cfRule type="cellIs" dxfId="4" priority="29" operator="equal">
      <formula>"▼  "</formula>
    </cfRule>
  </conditionalFormatting>
  <pageMargins left="0.5" right="0.5"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6"/>
  <sheetViews>
    <sheetView showGridLines="0" rightToLeft="1" topLeftCell="A3" zoomScaleNormal="100" workbookViewId="0">
      <selection sqref="A1:M1"/>
    </sheetView>
  </sheetViews>
  <sheetFormatPr defaultColWidth="8.7109375" defaultRowHeight="15"/>
  <cols>
    <col min="20" max="20" width="20" customWidth="1"/>
    <col min="21" max="21" width="21.85546875" customWidth="1"/>
    <col min="22" max="22" width="14.140625" customWidth="1"/>
    <col min="23" max="23" width="16.140625" customWidth="1"/>
    <col min="24" max="24" width="15" customWidth="1"/>
    <col min="25" max="25" width="17.28515625" customWidth="1"/>
    <col min="26" max="26" width="21.28515625" customWidth="1"/>
    <col min="27" max="27" width="20" customWidth="1"/>
    <col min="28" max="28" width="18" customWidth="1"/>
  </cols>
  <sheetData>
    <row r="1" spans="1:28" ht="37.5" customHeight="1">
      <c r="A1" s="57" t="s">
        <v>74</v>
      </c>
      <c r="B1" s="57"/>
      <c r="C1" s="57"/>
      <c r="D1" s="57"/>
      <c r="E1" s="57"/>
      <c r="F1" s="57"/>
      <c r="G1" s="57"/>
      <c r="H1" s="57"/>
      <c r="I1" s="57"/>
      <c r="J1" s="57"/>
      <c r="K1" s="57"/>
      <c r="L1" s="57"/>
      <c r="M1" s="57"/>
    </row>
    <row r="2" spans="1:28" ht="18" customHeight="1">
      <c r="A2" s="73" t="s">
        <v>75</v>
      </c>
      <c r="B2" s="73"/>
      <c r="C2" s="73"/>
      <c r="D2" s="73"/>
      <c r="E2" s="73"/>
      <c r="F2" s="73"/>
      <c r="G2" s="73"/>
      <c r="H2" s="73"/>
      <c r="I2" s="73"/>
      <c r="J2" s="73"/>
      <c r="K2" s="73"/>
      <c r="L2" s="73"/>
      <c r="M2" s="73"/>
    </row>
    <row r="3" spans="1:28">
      <c r="Q3" s="42" t="s">
        <v>5</v>
      </c>
      <c r="R3" s="42" t="s">
        <v>76</v>
      </c>
      <c r="S3" s="42" t="s">
        <v>77</v>
      </c>
      <c r="T3" s="42" t="s">
        <v>12</v>
      </c>
      <c r="U3" s="42" t="s">
        <v>14</v>
      </c>
      <c r="V3" s="42" t="s">
        <v>38</v>
      </c>
      <c r="W3" s="42" t="s">
        <v>13</v>
      </c>
      <c r="X3" s="42" t="s">
        <v>15</v>
      </c>
      <c r="Y3" s="42" t="s">
        <v>39</v>
      </c>
      <c r="Z3" s="42" t="s">
        <v>42</v>
      </c>
      <c r="AA3" s="42" t="s">
        <v>43</v>
      </c>
      <c r="AB3" s="42" t="s">
        <v>44</v>
      </c>
    </row>
    <row r="4" spans="1:28">
      <c r="Q4" t="str">
        <f>المدخلات!A4</f>
        <v>يناير</v>
      </c>
      <c r="R4" s="43">
        <f>IF(المدخلات!D4="","",المدخلات!D4)</f>
        <v>38000000</v>
      </c>
      <c r="S4">
        <f>IF(OR(المدخلات!B4=0,المدخلات!B4=""),"",المدخلات!D4/المدخلات!B4)</f>
        <v>0.31952642819904814</v>
      </c>
      <c r="T4" s="43">
        <f>IF(المدخلات!H4="","",المدخلات!H4)</f>
        <v>70767000</v>
      </c>
      <c r="U4" s="43">
        <f>IF(المدخلات!J4="","",المدخلات!J4)</f>
        <v>4123000</v>
      </c>
      <c r="V4">
        <f>IF(OR(المدخلات!H4="",المدخلات!J4=""),"",المدخلات!H4-المدخلات!J4)</f>
        <v>66644000</v>
      </c>
      <c r="W4" s="44">
        <f>IF(المدخلات!I4="","",المدخلات!I4)</f>
        <v>6080</v>
      </c>
      <c r="X4" s="44">
        <f>IF(المدخلات!K4="","",المدخلات!K4)</f>
        <v>14534</v>
      </c>
      <c r="Y4">
        <f>IF(OR(المدخلات!I4="",المدخلات!K4=""),"",المدخلات!I4-المدخلات!K4)</f>
        <v>-8454</v>
      </c>
      <c r="Z4" s="43">
        <f>IF(الحسابات!L3="","",الحسابات!L3)</f>
        <v>0</v>
      </c>
      <c r="AA4" s="43">
        <f>IF(الحسابات!M3="","",الحسابات!M3)</f>
        <v>0</v>
      </c>
      <c r="AB4" s="43">
        <f>IF(الحسابات!N3="","",الحسابات!N3)</f>
        <v>80926000</v>
      </c>
    </row>
    <row r="5" spans="1:28">
      <c r="Q5" t="str">
        <f>المدخلات!A5</f>
        <v>فبراير</v>
      </c>
      <c r="R5" s="43">
        <f>IF(المدخلات!D5="","",المدخلات!D5)</f>
        <v>36215000</v>
      </c>
      <c r="S5">
        <f>IF(OR(المدخلات!B5=0,المدخلات!B5=""),"",المدخلات!D5/المدخلات!B5)</f>
        <v>0.41219453897722486</v>
      </c>
      <c r="T5" s="43">
        <f>IF(المدخلات!H5="","",المدخلات!H5)</f>
        <v>58684000</v>
      </c>
      <c r="U5" s="43">
        <f>IF(المدخلات!J5="","",المدخلات!J5)</f>
        <v>3838000</v>
      </c>
      <c r="V5">
        <f>IF(OR(المدخلات!H5="",المدخلات!J5=""),"",المدخلات!H5-المدخلات!J5)</f>
        <v>54846000</v>
      </c>
      <c r="W5" s="44">
        <f>IF(المدخلات!I5="","",المدخلات!I5)</f>
        <v>5052</v>
      </c>
      <c r="X5" s="44">
        <f>IF(المدخلات!K5="","",المدخلات!K5)</f>
        <v>12974</v>
      </c>
      <c r="Y5">
        <f>IF(OR(المدخلات!I5="",المدخلات!K5=""),"",المدخلات!I5-المدخلات!K5)</f>
        <v>-7922</v>
      </c>
      <c r="Z5" s="43">
        <f>IF(الحسابات!L4="","",الحسابات!L4)</f>
        <v>0</v>
      </c>
      <c r="AA5" s="43">
        <f>IF(الحسابات!M4="","",الحسابات!M4)</f>
        <v>0</v>
      </c>
      <c r="AB5" s="43">
        <f>IF(الحسابات!N4="","",الحسابات!N4)</f>
        <v>51644000</v>
      </c>
    </row>
    <row r="6" spans="1:28">
      <c r="Q6" t="str">
        <f>المدخلات!A6</f>
        <v>مارس</v>
      </c>
      <c r="R6" s="43">
        <f>IF(المدخلات!D6="","",المدخلات!D6)</f>
        <v>37203000</v>
      </c>
      <c r="S6">
        <f>IF(OR(المدخلات!B6=0,المدخلات!B6=""),"",المدخلات!D6/المدخلات!B6)</f>
        <v>0.35282569729616947</v>
      </c>
      <c r="T6" s="43">
        <f>IF(المدخلات!H6="","",المدخلات!H6)</f>
        <v>66327000</v>
      </c>
      <c r="U6" s="43">
        <f>IF(المدخلات!J6="","",المدخلات!J6)</f>
        <v>4536000</v>
      </c>
      <c r="V6">
        <f>IF(OR(المدخلات!H6="",المدخلات!J6=""),"",المدخلات!H6-المدخلات!J6)</f>
        <v>61791000</v>
      </c>
      <c r="W6" s="44">
        <f>IF(المدخلات!I6="","",المدخلات!I6)</f>
        <v>5156</v>
      </c>
      <c r="X6" s="44">
        <f>IF(المدخلات!K6="","",المدخلات!K6)</f>
        <v>12826</v>
      </c>
      <c r="Y6">
        <f>IF(OR(المدخلات!I6="",المدخلات!K6=""),"",المدخلات!I6-المدخلات!K6)</f>
        <v>-7670</v>
      </c>
      <c r="Z6" s="43">
        <f>IF(الحسابات!L5="","",الحسابات!L5)</f>
        <v>0</v>
      </c>
      <c r="AA6" s="43">
        <f>IF(الحسابات!M5="","",الحسابات!M5)</f>
        <v>0</v>
      </c>
      <c r="AB6" s="43">
        <f>IF(الحسابات!N5="","",الحسابات!N5)</f>
        <v>68240000</v>
      </c>
    </row>
    <row r="7" spans="1:28">
      <c r="Q7" t="str">
        <f>المدخلات!A7</f>
        <v>أبريل</v>
      </c>
      <c r="R7" s="43">
        <f>IF(المدخلات!D7="","",المدخلات!D7)</f>
        <v>38371000</v>
      </c>
      <c r="S7">
        <f>IF(OR(المدخلات!B7=0,المدخلات!B7=""),"",المدخلات!D7/المدخلات!B7)</f>
        <v>0.23019239191078103</v>
      </c>
      <c r="T7" s="43">
        <f>IF(المدخلات!H7="","",المدخلات!H7)</f>
        <v>70574000</v>
      </c>
      <c r="U7" s="43">
        <f>IF(المدخلات!J7="","",المدخلات!J7)</f>
        <v>5924000</v>
      </c>
      <c r="V7">
        <f>IF(OR(المدخلات!H7="",المدخلات!J7=""),"",المدخلات!H7-المدخلات!J7)</f>
        <v>64650000</v>
      </c>
      <c r="W7" s="44">
        <f>IF(المدخلات!I7="","",المدخلات!I7)</f>
        <v>7360</v>
      </c>
      <c r="X7" s="44">
        <f>IF(المدخلات!K7="","",المدخلات!K7)</f>
        <v>11459</v>
      </c>
      <c r="Y7">
        <f>IF(OR(المدخلات!I7="",المدخلات!K7=""),"",المدخلات!I7-المدخلات!K7)</f>
        <v>-4099</v>
      </c>
      <c r="Z7" s="43">
        <f>IF(الحسابات!L6="","",الحسابات!L6)</f>
        <v>0</v>
      </c>
      <c r="AA7" s="43">
        <f>IF(الحسابات!M6="","",الحسابات!M6)</f>
        <v>0</v>
      </c>
      <c r="AB7" s="43">
        <f>IF(الحسابات!N6="","",الحسابات!N6)</f>
        <v>128320000</v>
      </c>
    </row>
    <row r="8" spans="1:28">
      <c r="Q8" t="str">
        <f>المدخلات!A8</f>
        <v>مايو</v>
      </c>
      <c r="R8" s="43">
        <f>IF(المدخلات!D8="","",المدخلات!D8)</f>
        <v>26000000</v>
      </c>
      <c r="S8">
        <f>IF(OR(المدخلات!B8=0,المدخلات!B8=""),"",المدخلات!D8/المدخلات!B8)</f>
        <v>0.15918302374276022</v>
      </c>
      <c r="T8" s="43">
        <f>IF(المدخلات!H8="","",المدخلات!H8)</f>
        <v>35913000</v>
      </c>
      <c r="U8" s="43">
        <f>IF(المدخلات!J8="","",المدخلات!J8)</f>
        <v>8730000</v>
      </c>
      <c r="V8">
        <f>IF(OR(المدخلات!H8="",المدخلات!J8=""),"",المدخلات!H8-المدخلات!J8)</f>
        <v>27183000</v>
      </c>
      <c r="W8" s="44">
        <f>IF(المدخلات!I8="","",المدخلات!I8)</f>
        <v>6270</v>
      </c>
      <c r="X8" s="44">
        <f>IF(المدخلات!K8="","",المدخلات!K8)</f>
        <v>5679</v>
      </c>
      <c r="Y8">
        <f>IF(OR(المدخلات!I8="",المدخلات!K8=""),"",المدخلات!I8-المدخلات!K8)</f>
        <v>591</v>
      </c>
      <c r="Z8" s="43">
        <f>IF(الحسابات!L7="","",الحسابات!L7)</f>
        <v>0</v>
      </c>
      <c r="AA8" s="43">
        <f>IF(الحسابات!M7="","",الحسابات!M7)</f>
        <v>0</v>
      </c>
      <c r="AB8" s="43">
        <f>IF(الحسابات!N7="","",الحسابات!N7)</f>
        <v>137334000</v>
      </c>
    </row>
    <row r="9" spans="1:28">
      <c r="Q9" t="str">
        <f>المدخلات!A9</f>
        <v>يونيو</v>
      </c>
      <c r="R9" s="43">
        <f>IF(المدخلات!D9="","",المدخلات!D9)</f>
        <v>32391000</v>
      </c>
      <c r="S9">
        <f>IF(OR(المدخلات!B9=0,المدخلات!B9=""),"",المدخلات!D9/المدخلات!B9)</f>
        <v>0.16406819839533188</v>
      </c>
      <c r="T9" s="43">
        <f>IF(المدخلات!H9="","",المدخلات!H9)</f>
        <v>35652000</v>
      </c>
      <c r="U9" s="43">
        <f>IF(المدخلات!J9="","",المدخلات!J9)</f>
        <v>6647000</v>
      </c>
      <c r="V9">
        <f>IF(OR(المدخلات!H9="",المدخلات!J9=""),"",المدخلات!H9-المدخلات!J9)</f>
        <v>29005000</v>
      </c>
      <c r="W9" s="44">
        <f>IF(المدخلات!I9="","",المدخلات!I9)</f>
        <v>11283</v>
      </c>
      <c r="X9" s="44">
        <f>IF(المدخلات!K9="","",المدخلات!K9)</f>
        <v>5101</v>
      </c>
      <c r="Y9">
        <f>IF(OR(المدخلات!I9="",المدخلات!K9=""),"",المدخلات!I9-المدخلات!K9)</f>
        <v>6182</v>
      </c>
      <c r="Z9" s="43">
        <f>IF(الحسابات!L8="","",الحسابات!L8)</f>
        <v>470821308.05000001</v>
      </c>
      <c r="AA9" s="43">
        <f>IF(الحسابات!M8="","",الحسابات!M8)</f>
        <v>0</v>
      </c>
      <c r="AB9" s="43">
        <f>IF(الحسابات!N8="","",الحسابات!N8)</f>
        <v>165033000</v>
      </c>
    </row>
    <row r="10" spans="1:28">
      <c r="Q10" t="str">
        <f>المدخلات!A10</f>
        <v>يوليو</v>
      </c>
      <c r="R10" s="43">
        <f>IF(المدخلات!D10="","",المدخلات!D10)</f>
        <v>29190000</v>
      </c>
      <c r="S10">
        <f>IF(OR(المدخلات!B10=0,المدخلات!B10=""),"",المدخلات!D10/المدخلات!B10)</f>
        <v>0.15279362653238554</v>
      </c>
      <c r="T10" s="43">
        <f>IF(المدخلات!H10="","",المدخلات!H10)</f>
        <v>46227000</v>
      </c>
      <c r="U10" s="43">
        <f>IF(المدخلات!J10="","",المدخلات!J10)</f>
        <v>8341000</v>
      </c>
      <c r="V10">
        <f>IF(OR(المدخلات!H10="",المدخلات!J10=""),"",المدخلات!H10-المدخلات!J10)</f>
        <v>37886000</v>
      </c>
      <c r="W10" s="44">
        <f>IF(المدخلات!I10="","",المدخلات!I10)</f>
        <v>10118</v>
      </c>
      <c r="X10" s="44">
        <f>IF(المدخلات!K10="","",المدخلات!K10)</f>
        <v>7147</v>
      </c>
      <c r="Y10">
        <f>IF(OR(المدخلات!I10="",المدخلات!K10=""),"",المدخلات!I10-المدخلات!K10)</f>
        <v>2971</v>
      </c>
      <c r="Z10" s="43">
        <f>IF(الحسابات!L9="","",الحسابات!L9)</f>
        <v>537756808.03999996</v>
      </c>
      <c r="AA10" s="43">
        <f>IF(الحسابات!M9="","",الحسابات!M9)</f>
        <v>25442362.159999996</v>
      </c>
      <c r="AB10" s="43">
        <f>IF(الحسابات!N9="","",الحسابات!N9)</f>
        <v>136409637.84</v>
      </c>
    </row>
    <row r="11" spans="1:28">
      <c r="Q11" t="str">
        <f>المدخلات!A11</f>
        <v>أغسطس</v>
      </c>
      <c r="R11" t="str">
        <f>IF(المدخلات!D11="","",المدخلات!D11)</f>
        <v/>
      </c>
      <c r="S11" t="str">
        <f>IF(OR(المدخلات!B11=0,المدخلات!B11=""),"",المدخلات!D11/المدخلات!B11)</f>
        <v/>
      </c>
      <c r="T11" t="str">
        <f>IF(المدخلات!H11="","",المدخلات!H11)</f>
        <v/>
      </c>
      <c r="U11" t="str">
        <f>IF(المدخلات!J11="","",المدخلات!J11)</f>
        <v/>
      </c>
      <c r="V11" t="str">
        <f>IF(OR(المدخلات!H11="",المدخلات!J11=""),"",المدخلات!H11-المدخلات!J11)</f>
        <v/>
      </c>
      <c r="W11" t="str">
        <f>IF(المدخلات!I11="","",المدخلات!I11)</f>
        <v/>
      </c>
      <c r="X11" t="str">
        <f>IF(المدخلات!K11="","",المدخلات!K11)</f>
        <v/>
      </c>
      <c r="Y11" t="str">
        <f>IF(OR(المدخلات!I11="",المدخلات!K11=""),"",المدخلات!I11-المدخلات!K11)</f>
        <v/>
      </c>
      <c r="Z11" s="43" t="str">
        <f>IF(الحسابات!L10="","",الحسابات!L10)</f>
        <v/>
      </c>
      <c r="AA11" s="43" t="str">
        <f>IF(الحسابات!M10="","",الحسابات!M10)</f>
        <v/>
      </c>
      <c r="AB11" s="43" t="str">
        <f>IF(الحسابات!N10="","",الحسابات!N10)</f>
        <v/>
      </c>
    </row>
    <row r="12" spans="1:28">
      <c r="Q12" t="str">
        <f>المدخلات!A12</f>
        <v>سبتمبر</v>
      </c>
      <c r="R12" t="str">
        <f>IF(المدخلات!D12="","",المدخلات!D12)</f>
        <v/>
      </c>
      <c r="S12" t="str">
        <f>IF(OR(المدخلات!B12=0,المدخلات!B12=""),"",المدخلات!D12/المدخلات!B12)</f>
        <v/>
      </c>
      <c r="T12" t="str">
        <f>IF(المدخلات!H12="","",المدخلات!H12)</f>
        <v/>
      </c>
      <c r="U12" t="str">
        <f>IF(المدخلات!J12="","",المدخلات!J12)</f>
        <v/>
      </c>
      <c r="V12" t="str">
        <f>IF(OR(المدخلات!H12="",المدخلات!J12=""),"",المدخلات!H12-المدخلات!J12)</f>
        <v/>
      </c>
      <c r="W12" t="str">
        <f>IF(المدخلات!I12="","",المدخلات!I12)</f>
        <v/>
      </c>
      <c r="X12" t="str">
        <f>IF(المدخلات!K12="","",المدخلات!K12)</f>
        <v/>
      </c>
      <c r="Y12" t="str">
        <f>IF(OR(المدخلات!I12="",المدخلات!K12=""),"",المدخلات!I12-المدخلات!K12)</f>
        <v/>
      </c>
      <c r="Z12" s="43" t="str">
        <f>IF(الحسابات!L11="","",الحسابات!L11)</f>
        <v/>
      </c>
      <c r="AA12" s="43" t="str">
        <f>IF(الحسابات!M11="","",الحسابات!M11)</f>
        <v/>
      </c>
      <c r="AB12" s="43" t="str">
        <f>IF(الحسابات!N11="","",الحسابات!N11)</f>
        <v/>
      </c>
    </row>
    <row r="13" spans="1:28">
      <c r="Q13" t="str">
        <f>المدخلات!A13</f>
        <v>أكتوبر</v>
      </c>
      <c r="R13" t="str">
        <f>IF(المدخلات!D13="","",المدخلات!D13)</f>
        <v/>
      </c>
      <c r="S13" t="str">
        <f>IF(OR(المدخلات!B13=0,المدخلات!B13=""),"",المدخلات!D13/المدخلات!B13)</f>
        <v/>
      </c>
      <c r="T13" t="str">
        <f>IF(المدخلات!H13="","",المدخلات!H13)</f>
        <v/>
      </c>
      <c r="U13" t="str">
        <f>IF(المدخلات!J13="","",المدخلات!J13)</f>
        <v/>
      </c>
      <c r="V13" t="str">
        <f>IF(OR(المدخلات!H13="",المدخلات!J13=""),"",المدخلات!H13-المدخلات!J13)</f>
        <v/>
      </c>
      <c r="W13" t="str">
        <f>IF(المدخلات!I13="","",المدخلات!I13)</f>
        <v/>
      </c>
      <c r="X13" t="str">
        <f>IF(المدخلات!K13="","",المدخلات!K13)</f>
        <v/>
      </c>
      <c r="Y13" t="str">
        <f>IF(OR(المدخلات!I13="",المدخلات!K13=""),"",المدخلات!I13-المدخلات!K13)</f>
        <v/>
      </c>
      <c r="Z13" s="43" t="str">
        <f>IF(الحسابات!L12="","",الحسابات!L12)</f>
        <v/>
      </c>
      <c r="AA13" s="43" t="str">
        <f>IF(الحسابات!M12="","",الحسابات!M12)</f>
        <v/>
      </c>
      <c r="AB13" s="43" t="str">
        <f>IF(الحسابات!N12="","",الحسابات!N12)</f>
        <v/>
      </c>
    </row>
    <row r="14" spans="1:28">
      <c r="Q14" t="str">
        <f>المدخلات!A14</f>
        <v>نوفمبر</v>
      </c>
      <c r="R14" s="43" t="str">
        <f>IF(المدخلات!D14="","",المدخلات!D14)</f>
        <v/>
      </c>
      <c r="S14" t="str">
        <f>IF(OR(المدخلات!B14=0,المدخلات!B14=""),"",المدخلات!D14/المدخلات!B14)</f>
        <v/>
      </c>
      <c r="T14" s="43" t="str">
        <f>IF(المدخلات!H14="","",المدخلات!H14)</f>
        <v/>
      </c>
      <c r="U14" s="43" t="str">
        <f>IF(المدخلات!J14="","",المدخلات!J14)</f>
        <v/>
      </c>
      <c r="V14" t="str">
        <f>IF(OR(المدخلات!H14="",المدخلات!J14=""),"",المدخلات!H14-المدخلات!J14)</f>
        <v/>
      </c>
      <c r="W14" t="str">
        <f>IF(المدخلات!I14="","",المدخلات!I14)</f>
        <v/>
      </c>
      <c r="X14" t="str">
        <f>IF(المدخلات!K14="","",المدخلات!K14)</f>
        <v/>
      </c>
      <c r="Y14" t="str">
        <f>IF(OR(المدخلات!I14="",المدخلات!K14=""),"",المدخلات!I14-المدخلات!K14)</f>
        <v/>
      </c>
      <c r="Z14" s="43" t="str">
        <f>IF(الحسابات!L13="","",الحسابات!L13)</f>
        <v/>
      </c>
      <c r="AA14" s="43" t="str">
        <f>IF(الحسابات!M13="","",الحسابات!M13)</f>
        <v/>
      </c>
      <c r="AB14" s="43" t="str">
        <f>IF(الحسابات!N13="","",الحسابات!N13)</f>
        <v/>
      </c>
    </row>
    <row r="15" spans="1:28">
      <c r="Q15" t="str">
        <f>المدخلات!A15</f>
        <v>ديسمبر</v>
      </c>
      <c r="R15" s="43" t="str">
        <f>IF(المدخلات!D15="","",المدخلات!D15)</f>
        <v/>
      </c>
      <c r="S15" t="str">
        <f>IF(OR(المدخلات!B15=0,المدخلات!B15=""),"",المدخلات!D15/المدخلات!B15)</f>
        <v/>
      </c>
      <c r="T15" s="43" t="str">
        <f>IF(المدخلات!H15="","",المدخلات!H15)</f>
        <v/>
      </c>
      <c r="U15" s="43" t="str">
        <f>IF(المدخلات!J15="","",المدخلات!J15)</f>
        <v/>
      </c>
      <c r="V15" t="str">
        <f>IF(OR(المدخلات!H15="",المدخلات!J15=""),"",المدخلات!H15-المدخلات!J15)</f>
        <v/>
      </c>
      <c r="W15" t="str">
        <f>IF(المدخلات!I15="","",المدخلات!I15)</f>
        <v/>
      </c>
      <c r="X15" t="str">
        <f>IF(المدخلات!K15="","",المدخلات!K15)</f>
        <v/>
      </c>
      <c r="Y15" t="str">
        <f>IF(OR(المدخلات!I15="",المدخلات!K15=""),"",المدخلات!I15-المدخلات!K15)</f>
        <v/>
      </c>
      <c r="Z15" s="43" t="str">
        <f>IF(الحسابات!L14="","",الحسابات!L14)</f>
        <v/>
      </c>
      <c r="AA15" s="43" t="str">
        <f>IF(الحسابات!M14="","",الحسابات!M14)</f>
        <v/>
      </c>
      <c r="AB15" s="43" t="str">
        <f>IF(الحسابات!N14="","",الحسابات!N14)</f>
        <v/>
      </c>
    </row>
    <row r="56" spans="1:13" ht="15" customHeight="1">
      <c r="A56" s="73" t="s">
        <v>78</v>
      </c>
      <c r="B56" s="73"/>
      <c r="C56" s="73"/>
      <c r="D56" s="73"/>
      <c r="E56" s="73"/>
      <c r="F56" s="73"/>
      <c r="G56" s="73"/>
      <c r="H56" s="73"/>
      <c r="I56" s="73"/>
      <c r="J56" s="73"/>
      <c r="K56" s="73"/>
      <c r="L56" s="73"/>
      <c r="M56" s="73"/>
    </row>
  </sheetData>
  <mergeCells count="3">
    <mergeCell ref="A1:M1"/>
    <mergeCell ref="A2:M2"/>
    <mergeCell ref="A56:M56"/>
  </mergeCells>
  <pageMargins left="0.5" right="0.5" top="0.75" bottom="0.75" header="0.511811023622047" footer="0.511811023622047"/>
  <pageSetup paperSize="9"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showGridLines="0" rightToLeft="1" zoomScaleNormal="100" workbookViewId="0">
      <selection activeCell="F4" sqref="F4"/>
    </sheetView>
  </sheetViews>
  <sheetFormatPr defaultColWidth="8.7109375" defaultRowHeight="15"/>
  <cols>
    <col min="1" max="1" width="28" customWidth="1"/>
    <col min="2" max="2" width="22" customWidth="1"/>
    <col min="3" max="3" width="8" customWidth="1"/>
    <col min="4" max="4" width="14" customWidth="1"/>
  </cols>
  <sheetData>
    <row r="1" spans="1:4" ht="37.5" customHeight="1">
      <c r="A1" s="57" t="s">
        <v>79</v>
      </c>
      <c r="B1" s="57"/>
      <c r="C1" s="57"/>
      <c r="D1" s="57"/>
    </row>
    <row r="2" spans="1:4" ht="25.5" customHeight="1">
      <c r="A2" s="71" t="str">
        <f>"📅 تقرير شهر: "&amp;IFERROR(LOOKUP(2,1/(المدخلات!B4:B15&lt;&gt;""),المدخلات!A4:A15),"")</f>
        <v>📅 تقرير شهر: يوليو</v>
      </c>
      <c r="B2" s="71"/>
      <c r="C2" s="71"/>
      <c r="D2" s="71"/>
    </row>
    <row r="4" spans="1:4" ht="25.5" customHeight="1">
      <c r="A4" s="74" t="s">
        <v>80</v>
      </c>
      <c r="B4" s="74"/>
      <c r="C4" s="74"/>
      <c r="D4" s="74"/>
    </row>
    <row r="5" spans="1:4" ht="19.5" customHeight="1">
      <c r="A5" s="45" t="s">
        <v>65</v>
      </c>
      <c r="B5" s="45" t="s">
        <v>81</v>
      </c>
      <c r="C5" s="45" t="s">
        <v>55</v>
      </c>
      <c r="D5" s="45" t="s">
        <v>82</v>
      </c>
    </row>
    <row r="6" spans="1:4" ht="21.75" customHeight="1">
      <c r="A6" s="46" t="s">
        <v>83</v>
      </c>
      <c r="B6" s="47">
        <f>IFERROR(LOOKUP(2,1/(المدخلات!B4:B15&lt;&gt;""),المدخلات!B4:B15),"")</f>
        <v>191042000</v>
      </c>
      <c r="C6" s="48" t="str">
        <f t="shared" ref="C6:C13" si="0">IF(B6="","",IF(B6&gt;0,"✅","🔴"))</f>
        <v>✅</v>
      </c>
    </row>
    <row r="7" spans="1:4" ht="21.75" customHeight="1">
      <c r="A7" s="33" t="s">
        <v>84</v>
      </c>
      <c r="B7" s="49">
        <f>IFERROR(LOOKUP(2,1/(المدخلات!B4:B15&lt;&gt;""),المدخلات!C4:C15),"")</f>
        <v>140673000</v>
      </c>
      <c r="C7" s="50" t="str">
        <f t="shared" si="0"/>
        <v>✅</v>
      </c>
    </row>
    <row r="8" spans="1:4" ht="21.75" customHeight="1">
      <c r="A8" s="46" t="s">
        <v>76</v>
      </c>
      <c r="B8" s="47">
        <f>IFERROR(LOOKUP(2,1/(المدخلات!B4:B15&lt;&gt;""),المدخلات!D4:D15),"")</f>
        <v>29190000</v>
      </c>
      <c r="C8" s="48" t="str">
        <f t="shared" si="0"/>
        <v>✅</v>
      </c>
    </row>
    <row r="9" spans="1:4" ht="21.75" customHeight="1">
      <c r="A9" s="33" t="s">
        <v>85</v>
      </c>
      <c r="B9" s="49">
        <f>IFERROR(LOOKUP(2,1/(المدخلات!B4:B15&lt;&gt;""),الحسابات!B3:B14),"")</f>
        <v>21179000</v>
      </c>
      <c r="C9" s="50" t="str">
        <f t="shared" si="0"/>
        <v>✅</v>
      </c>
    </row>
    <row r="10" spans="1:4" ht="21.75" customHeight="1">
      <c r="A10" s="46" t="s">
        <v>61</v>
      </c>
      <c r="B10" s="47">
        <f>IFERROR(LOOKUP(2,1/(المدخلات!B4:B15&lt;&gt;""),المدخلات!F4:F15),"")</f>
        <v>4287000</v>
      </c>
      <c r="C10" s="48" t="str">
        <f t="shared" si="0"/>
        <v>✅</v>
      </c>
    </row>
    <row r="11" spans="1:4" ht="21.75" customHeight="1">
      <c r="A11" s="33" t="s">
        <v>86</v>
      </c>
      <c r="B11" s="49">
        <f>IFERROR(LOOKUP(2,1/(المدخلات!B4:B15&lt;&gt;""),المدخلات!H4:H15),"")</f>
        <v>46227000</v>
      </c>
      <c r="C11" s="50" t="str">
        <f t="shared" si="0"/>
        <v>✅</v>
      </c>
    </row>
    <row r="12" spans="1:4" ht="21.75" customHeight="1">
      <c r="A12" s="46" t="s">
        <v>87</v>
      </c>
      <c r="B12" s="47">
        <f>IFERROR(LOOKUP(2,1/(المدخلات!B4:B15&lt;&gt;""),المدخلات!J4:J15),"")</f>
        <v>8341000</v>
      </c>
      <c r="C12" s="48" t="str">
        <f t="shared" si="0"/>
        <v>✅</v>
      </c>
    </row>
    <row r="13" spans="1:4" ht="21.75" customHeight="1">
      <c r="A13" s="33" t="s">
        <v>69</v>
      </c>
      <c r="B13" s="49">
        <f>IFERROR(LOOKUP(2,1/(المدخلات!B4:B15&lt;&gt;""),الحسابات!H3:H14),"")</f>
        <v>37886000</v>
      </c>
      <c r="C13" s="50" t="str">
        <f t="shared" si="0"/>
        <v>✅</v>
      </c>
    </row>
    <row r="15" spans="1:4" ht="25.5" customHeight="1">
      <c r="A15" s="68" t="s">
        <v>88</v>
      </c>
      <c r="B15" s="68"/>
      <c r="C15" s="68"/>
      <c r="D15" s="68"/>
    </row>
    <row r="16" spans="1:4" ht="19.5" customHeight="1">
      <c r="A16" s="51" t="s">
        <v>65</v>
      </c>
      <c r="B16" s="51" t="s">
        <v>81</v>
      </c>
      <c r="C16" s="51" t="s">
        <v>55</v>
      </c>
      <c r="D16" s="51" t="s">
        <v>82</v>
      </c>
    </row>
    <row r="17" spans="1:3" ht="21.75" customHeight="1">
      <c r="A17" s="46" t="s">
        <v>61</v>
      </c>
      <c r="B17" s="52">
        <f>IFERROR(LOOKUP(2,1/(المدخلات!B4:B15&lt;&gt;""),المدخلات!G4:G15),"")</f>
        <v>330</v>
      </c>
      <c r="C17" s="48" t="str">
        <f>IF(B17="","",IF(B17&gt;0,"✅","🔴"))</f>
        <v>✅</v>
      </c>
    </row>
    <row r="18" spans="1:3" ht="21.75" customHeight="1">
      <c r="A18" s="33" t="s">
        <v>86</v>
      </c>
      <c r="B18" s="53">
        <f>IFERROR(LOOKUP(2,1/(المدخلات!B4:B15&lt;&gt;""),المدخلات!I4:I15),"")</f>
        <v>10118</v>
      </c>
      <c r="C18" s="50" t="str">
        <f>IF(B18="","",IF(B18&gt;0,"✅","🔴"))</f>
        <v>✅</v>
      </c>
    </row>
    <row r="19" spans="1:3" ht="21.75" customHeight="1">
      <c r="A19" s="46" t="s">
        <v>87</v>
      </c>
      <c r="B19" s="52">
        <f>IFERROR(LOOKUP(2,1/(المدخلات!B4:B15&lt;&gt;""),المدخلات!K4:K15),"")</f>
        <v>7147</v>
      </c>
      <c r="C19" s="48" t="str">
        <f>IF(B19="","",IF(B19&gt;0,"✅","🔴"))</f>
        <v>✅</v>
      </c>
    </row>
    <row r="20" spans="1:3" ht="21.75" customHeight="1">
      <c r="A20" s="33" t="s">
        <v>69</v>
      </c>
      <c r="B20" s="53">
        <f>IFERROR(LOOKUP(2,1/(المدخلات!B4:B15&lt;&gt;""),الحسابات!I3:I14),"")</f>
        <v>2971</v>
      </c>
      <c r="C20" s="50" t="str">
        <f>IF(B20="","",IF(B20&gt;0,"✅","🔴"))</f>
        <v>✅</v>
      </c>
    </row>
  </sheetData>
  <mergeCells count="4">
    <mergeCell ref="A1:D1"/>
    <mergeCell ref="A2:D2"/>
    <mergeCell ref="A4:D4"/>
    <mergeCell ref="A15:D15"/>
  </mergeCells>
  <conditionalFormatting sqref="B6:B13">
    <cfRule type="cellIs" dxfId="3" priority="2" operator="greaterThan">
      <formula>0</formula>
    </cfRule>
    <cfRule type="cellIs" dxfId="2" priority="3" operator="lessThan">
      <formula>0</formula>
    </cfRule>
  </conditionalFormatting>
  <conditionalFormatting sqref="B17:B20">
    <cfRule type="cellIs" dxfId="1" priority="4" operator="greaterThan">
      <formula>0</formula>
    </cfRule>
    <cfRule type="cellIs" dxfId="0" priority="5" operator="lessThan">
      <formula>0</formula>
    </cfRule>
  </conditionalFormatting>
  <pageMargins left="0.5" right="0.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5"/>
  <sheetViews>
    <sheetView rightToLeft="1" zoomScale="98" zoomScaleNormal="100" workbookViewId="0">
      <pane ySplit="6" topLeftCell="A7" activePane="bottomLeft" state="frozen"/>
      <selection activeCell="J1" sqref="J1"/>
      <selection pane="bottomLeft" activeCell="O251" sqref="O251"/>
    </sheetView>
  </sheetViews>
  <sheetFormatPr defaultColWidth="8.7109375" defaultRowHeight="15"/>
  <cols>
    <col min="1" max="1" width="26" customWidth="1"/>
    <col min="2" max="3" width="12" customWidth="1"/>
    <col min="4" max="4" width="10" customWidth="1"/>
    <col min="5" max="5" width="12" customWidth="1"/>
    <col min="6" max="6" width="14" customWidth="1"/>
    <col min="7" max="7" width="10" customWidth="1"/>
    <col min="8" max="8" width="14" customWidth="1"/>
    <col min="9" max="9" width="10" customWidth="1"/>
    <col min="10" max="11" width="16" customWidth="1"/>
    <col min="12" max="12" width="10" customWidth="1"/>
    <col min="13" max="13" width="3" customWidth="1"/>
    <col min="14" max="14" width="21.140625" customWidth="1"/>
    <col min="15" max="15" width="14" customWidth="1"/>
    <col min="16" max="16" width="22" customWidth="1"/>
    <col min="17" max="18" width="14" customWidth="1"/>
    <col min="19" max="19" width="12" customWidth="1"/>
  </cols>
  <sheetData>
    <row r="1" spans="1:19" ht="30" customHeight="1">
      <c r="A1" s="57" t="s">
        <v>89</v>
      </c>
      <c r="B1" s="57"/>
      <c r="C1" s="57"/>
      <c r="D1" s="57"/>
      <c r="E1" s="57"/>
      <c r="F1" s="57"/>
      <c r="G1" s="57"/>
      <c r="H1" s="57"/>
      <c r="I1" s="57"/>
      <c r="J1" s="57"/>
      <c r="K1" s="57"/>
      <c r="L1" s="57"/>
    </row>
    <row r="2" spans="1:19" ht="60" customHeight="1">
      <c r="A2" s="65" t="s">
        <v>90</v>
      </c>
      <c r="B2" s="65"/>
      <c r="C2" s="65"/>
      <c r="D2" s="65"/>
      <c r="E2" s="65"/>
      <c r="F2" s="65"/>
      <c r="G2" s="65"/>
      <c r="H2" s="65"/>
      <c r="I2" s="65"/>
      <c r="J2" s="65"/>
      <c r="K2" s="65"/>
      <c r="L2" s="65"/>
    </row>
    <row r="3" spans="1:19">
      <c r="A3" s="1" t="s">
        <v>91</v>
      </c>
      <c r="B3" s="11">
        <v>202607</v>
      </c>
    </row>
    <row r="4" spans="1:19">
      <c r="A4" s="1" t="s">
        <v>92</v>
      </c>
      <c r="B4" s="19" t="s">
        <v>93</v>
      </c>
    </row>
    <row r="5" spans="1:19" ht="15" customHeight="1">
      <c r="N5" s="59" t="s">
        <v>94</v>
      </c>
      <c r="O5" s="59"/>
      <c r="P5" s="59"/>
      <c r="Q5" s="59"/>
      <c r="R5" s="59"/>
      <c r="S5" s="59"/>
    </row>
    <row r="6" spans="1:19">
      <c r="A6" s="2" t="s">
        <v>95</v>
      </c>
      <c r="B6" s="2" t="s">
        <v>96</v>
      </c>
      <c r="C6" s="2" t="s">
        <v>97</v>
      </c>
      <c r="D6" s="2" t="s">
        <v>98</v>
      </c>
      <c r="E6" s="2" t="s">
        <v>99</v>
      </c>
      <c r="F6" s="2" t="s">
        <v>100</v>
      </c>
      <c r="G6" s="2" t="s">
        <v>101</v>
      </c>
      <c r="H6" s="2" t="s">
        <v>102</v>
      </c>
      <c r="I6" s="2" t="s">
        <v>103</v>
      </c>
      <c r="J6" s="2" t="s">
        <v>104</v>
      </c>
      <c r="K6" s="2" t="s">
        <v>105</v>
      </c>
      <c r="L6" s="2" t="s">
        <v>106</v>
      </c>
      <c r="N6" s="2" t="s">
        <v>41</v>
      </c>
      <c r="O6" s="2" t="s">
        <v>107</v>
      </c>
      <c r="P6" s="2" t="s">
        <v>108</v>
      </c>
      <c r="Q6" s="2" t="s">
        <v>96</v>
      </c>
      <c r="R6" s="2" t="s">
        <v>109</v>
      </c>
      <c r="S6" s="2" t="s">
        <v>100</v>
      </c>
    </row>
    <row r="7" spans="1:19" ht="25.5" customHeight="1">
      <c r="A7" s="54" t="s">
        <v>307</v>
      </c>
      <c r="B7">
        <v>0</v>
      </c>
      <c r="C7">
        <v>6000</v>
      </c>
      <c r="D7">
        <v>6000</v>
      </c>
      <c r="E7">
        <v>6000</v>
      </c>
      <c r="F7" s="54" t="s">
        <v>62</v>
      </c>
      <c r="G7" t="s">
        <v>111</v>
      </c>
      <c r="H7" s="54" t="s">
        <v>139</v>
      </c>
      <c r="I7">
        <v>3250</v>
      </c>
      <c r="J7" s="11">
        <f t="shared" ref="J7:J70" si="0">IF($B$3="","",$B$3)</f>
        <v>202607</v>
      </c>
      <c r="K7" s="19" t="str">
        <f t="shared" ref="K7:K70" si="1">IF($B$4="","",$B$4)</f>
        <v>يوليو 2026</v>
      </c>
      <c r="L7" s="19" t="str">
        <f t="shared" ref="L7:L70" si="2">IF(A7="","",IF(OR(B7="",B7=0),"⚠️ كمية مفقودة/صفر",IF(I7="","⚠️ سعر شراء مفقود",IF(F7="","⚠️ عملة مفقودة",IF(COUNTIF($A$7:$A$505,A7)&gt;1,"⚠️ مادة مكررة بالقائمة","✅ جاهز")))))</f>
        <v>⚠️ كمية مفقودة/صفر</v>
      </c>
      <c r="N7" s="11">
        <f t="shared" ref="N7:N70" si="3">J7</f>
        <v>202607</v>
      </c>
      <c r="O7" s="19" t="str">
        <f t="shared" ref="O7:O70" si="4">K7</f>
        <v>يوليو 2026</v>
      </c>
      <c r="P7" s="19" t="str">
        <f t="shared" ref="P7:P70" si="5">A7</f>
        <v>مياه مقطرة 4 لتر</v>
      </c>
      <c r="Q7" s="55">
        <f t="shared" ref="Q7:Q70" si="6">B7</f>
        <v>0</v>
      </c>
      <c r="R7" s="55">
        <f t="shared" ref="R7:R70" si="7">I7</f>
        <v>3250</v>
      </c>
      <c r="S7" s="19" t="str">
        <f t="shared" ref="S7:S70" si="8">F7</f>
        <v>ليرة سورية</v>
      </c>
    </row>
    <row r="8" spans="1:19" ht="25.5" customHeight="1">
      <c r="A8" s="54" t="s">
        <v>308</v>
      </c>
      <c r="B8">
        <v>0</v>
      </c>
      <c r="C8">
        <v>1800</v>
      </c>
      <c r="D8">
        <v>1800</v>
      </c>
      <c r="E8">
        <v>1800</v>
      </c>
      <c r="F8" s="54" t="s">
        <v>62</v>
      </c>
      <c r="G8" t="s">
        <v>111</v>
      </c>
      <c r="H8" s="54" t="s">
        <v>139</v>
      </c>
      <c r="I8">
        <v>1700</v>
      </c>
      <c r="J8" s="11">
        <f t="shared" si="0"/>
        <v>202607</v>
      </c>
      <c r="K8" s="19" t="str">
        <f t="shared" si="1"/>
        <v>يوليو 2026</v>
      </c>
      <c r="L8" s="19" t="str">
        <f t="shared" si="2"/>
        <v>⚠️ كمية مفقودة/صفر</v>
      </c>
      <c r="N8" s="11">
        <f t="shared" si="3"/>
        <v>202607</v>
      </c>
      <c r="O8" s="19" t="str">
        <f t="shared" si="4"/>
        <v>يوليو 2026</v>
      </c>
      <c r="P8" s="19" t="str">
        <f t="shared" si="5"/>
        <v>مياه مقطرة 1 لتر</v>
      </c>
      <c r="Q8" s="55">
        <f t="shared" si="6"/>
        <v>0</v>
      </c>
      <c r="R8" s="55">
        <f t="shared" si="7"/>
        <v>1700</v>
      </c>
      <c r="S8" s="19" t="str">
        <f t="shared" si="8"/>
        <v>ليرة سورية</v>
      </c>
    </row>
    <row r="9" spans="1:19">
      <c r="A9" s="54" t="s">
        <v>309</v>
      </c>
      <c r="B9">
        <v>12</v>
      </c>
      <c r="C9">
        <v>14000</v>
      </c>
      <c r="D9">
        <v>14000</v>
      </c>
      <c r="E9">
        <v>14000</v>
      </c>
      <c r="F9" s="54" t="s">
        <v>62</v>
      </c>
      <c r="G9" t="s">
        <v>111</v>
      </c>
      <c r="H9" s="54" t="s">
        <v>139</v>
      </c>
      <c r="I9">
        <v>10000</v>
      </c>
      <c r="J9" s="11">
        <f t="shared" si="0"/>
        <v>202607</v>
      </c>
      <c r="K9" s="19" t="str">
        <f t="shared" si="1"/>
        <v>يوليو 2026</v>
      </c>
      <c r="L9" s="19" t="str">
        <f t="shared" si="2"/>
        <v>✅ جاهز</v>
      </c>
      <c r="N9" s="11">
        <f t="shared" si="3"/>
        <v>202607</v>
      </c>
      <c r="O9" s="19" t="str">
        <f t="shared" si="4"/>
        <v>يوليو 2026</v>
      </c>
      <c r="P9" s="19" t="str">
        <f t="shared" si="5"/>
        <v>مهسهس زفته - معجون</v>
      </c>
      <c r="Q9" s="55">
        <f t="shared" si="6"/>
        <v>12</v>
      </c>
      <c r="R9" s="55">
        <f t="shared" si="7"/>
        <v>10000</v>
      </c>
      <c r="S9" s="19" t="str">
        <f t="shared" si="8"/>
        <v>ليرة سورية</v>
      </c>
    </row>
    <row r="10" spans="1:19">
      <c r="A10" s="54" t="s">
        <v>201</v>
      </c>
      <c r="B10">
        <v>5.15</v>
      </c>
      <c r="C10">
        <v>220000</v>
      </c>
      <c r="D10">
        <v>220000</v>
      </c>
      <c r="E10">
        <v>220000</v>
      </c>
      <c r="F10" s="54" t="s">
        <v>62</v>
      </c>
      <c r="G10" t="s">
        <v>111</v>
      </c>
      <c r="H10" s="54" t="s">
        <v>139</v>
      </c>
      <c r="I10">
        <v>108000</v>
      </c>
      <c r="J10" s="11">
        <f t="shared" si="0"/>
        <v>202607</v>
      </c>
      <c r="K10" s="19" t="str">
        <f t="shared" si="1"/>
        <v>يوليو 2026</v>
      </c>
      <c r="L10" s="19" t="str">
        <f t="shared" si="2"/>
        <v>✅ جاهز</v>
      </c>
      <c r="N10" s="11">
        <f t="shared" si="3"/>
        <v>202607</v>
      </c>
      <c r="O10" s="19" t="str">
        <f t="shared" si="4"/>
        <v>يوليو 2026</v>
      </c>
      <c r="P10" s="19" t="str">
        <f t="shared" si="5"/>
        <v>مماسح مكتب َ</v>
      </c>
      <c r="Q10" s="55">
        <f t="shared" si="6"/>
        <v>5.15</v>
      </c>
      <c r="R10" s="55">
        <f t="shared" si="7"/>
        <v>108000</v>
      </c>
      <c r="S10" s="19" t="str">
        <f t="shared" si="8"/>
        <v>ليرة سورية</v>
      </c>
    </row>
    <row r="11" spans="1:19" ht="25.5" customHeight="1">
      <c r="A11" s="54" t="s">
        <v>202</v>
      </c>
      <c r="B11">
        <v>0</v>
      </c>
      <c r="C11">
        <v>420000</v>
      </c>
      <c r="D11">
        <v>420000</v>
      </c>
      <c r="E11">
        <v>420000</v>
      </c>
      <c r="F11" s="54" t="s">
        <v>62</v>
      </c>
      <c r="G11" t="s">
        <v>111</v>
      </c>
      <c r="H11" s="54" t="s">
        <v>139</v>
      </c>
      <c r="I11">
        <v>360000</v>
      </c>
      <c r="J11" s="11">
        <f t="shared" si="0"/>
        <v>202607</v>
      </c>
      <c r="K11" s="19" t="str">
        <f t="shared" si="1"/>
        <v>يوليو 2026</v>
      </c>
      <c r="L11" s="19" t="str">
        <f t="shared" si="2"/>
        <v>⚠️ كمية مفقودة/صفر</v>
      </c>
      <c r="N11" s="11">
        <f t="shared" si="3"/>
        <v>202607</v>
      </c>
      <c r="O11" s="19" t="str">
        <f t="shared" si="4"/>
        <v>يوليو 2026</v>
      </c>
      <c r="P11" s="19" t="str">
        <f t="shared" si="5"/>
        <v>مماسح قماش عائلة فايبر</v>
      </c>
      <c r="Q11" s="55">
        <f t="shared" si="6"/>
        <v>0</v>
      </c>
      <c r="R11" s="55">
        <f t="shared" si="7"/>
        <v>360000</v>
      </c>
      <c r="S11" s="19" t="str">
        <f t="shared" si="8"/>
        <v>ليرة سورية</v>
      </c>
    </row>
    <row r="12" spans="1:19" ht="25.5" customHeight="1">
      <c r="A12" s="54" t="s">
        <v>203</v>
      </c>
      <c r="B12">
        <v>0</v>
      </c>
      <c r="C12">
        <v>0</v>
      </c>
      <c r="D12">
        <v>0</v>
      </c>
      <c r="E12">
        <v>0</v>
      </c>
      <c r="F12" s="54" t="s">
        <v>62</v>
      </c>
      <c r="G12" t="s">
        <v>111</v>
      </c>
      <c r="H12" s="54" t="s">
        <v>111</v>
      </c>
      <c r="I12">
        <v>25000</v>
      </c>
      <c r="J12" s="11">
        <f t="shared" si="0"/>
        <v>202607</v>
      </c>
      <c r="K12" s="19" t="str">
        <f t="shared" si="1"/>
        <v>يوليو 2026</v>
      </c>
      <c r="L12" s="19" t="str">
        <f t="shared" si="2"/>
        <v>⚠️ كمية مفقودة/صفر</v>
      </c>
      <c r="N12" s="11">
        <f t="shared" si="3"/>
        <v>202607</v>
      </c>
      <c r="O12" s="19" t="str">
        <f t="shared" si="4"/>
        <v>يوليو 2026</v>
      </c>
      <c r="P12" s="19" t="str">
        <f t="shared" si="5"/>
        <v>مماسح جلدية</v>
      </c>
      <c r="Q12" s="55">
        <f t="shared" si="6"/>
        <v>0</v>
      </c>
      <c r="R12" s="55">
        <f t="shared" si="7"/>
        <v>25000</v>
      </c>
      <c r="S12" s="19" t="str">
        <f t="shared" si="8"/>
        <v>ليرة سورية</v>
      </c>
    </row>
    <row r="13" spans="1:19" ht="25.5" customHeight="1">
      <c r="A13" s="54" t="s">
        <v>204</v>
      </c>
      <c r="B13">
        <v>27</v>
      </c>
      <c r="C13">
        <v>13000</v>
      </c>
      <c r="D13">
        <v>13000</v>
      </c>
      <c r="E13">
        <v>13000</v>
      </c>
      <c r="F13" s="54" t="s">
        <v>62</v>
      </c>
      <c r="G13" t="s">
        <v>111</v>
      </c>
      <c r="H13" s="54" t="s">
        <v>139</v>
      </c>
      <c r="I13">
        <v>50000</v>
      </c>
      <c r="J13" s="11">
        <f t="shared" si="0"/>
        <v>202607</v>
      </c>
      <c r="K13" s="19" t="str">
        <f t="shared" si="1"/>
        <v>يوليو 2026</v>
      </c>
      <c r="L13" s="19" t="str">
        <f t="shared" si="2"/>
        <v>✅ جاهز</v>
      </c>
      <c r="N13" s="11">
        <f t="shared" si="3"/>
        <v>202607</v>
      </c>
      <c r="O13" s="19" t="str">
        <f t="shared" si="4"/>
        <v>يوليو 2026</v>
      </c>
      <c r="P13" s="19" t="str">
        <f t="shared" si="5"/>
        <v>مماسح بلور</v>
      </c>
      <c r="Q13" s="55">
        <f t="shared" si="6"/>
        <v>27</v>
      </c>
      <c r="R13" s="55">
        <f t="shared" si="7"/>
        <v>50000</v>
      </c>
      <c r="S13" s="19" t="str">
        <f t="shared" si="8"/>
        <v>ليرة سورية</v>
      </c>
    </row>
    <row r="14" spans="1:19" ht="25.5" customHeight="1">
      <c r="A14" s="54" t="s">
        <v>205</v>
      </c>
      <c r="B14">
        <v>9.42</v>
      </c>
      <c r="C14">
        <v>110000</v>
      </c>
      <c r="D14">
        <v>110000</v>
      </c>
      <c r="E14">
        <v>110000</v>
      </c>
      <c r="F14" s="54" t="s">
        <v>62</v>
      </c>
      <c r="G14" t="s">
        <v>111</v>
      </c>
      <c r="H14" s="54" t="s">
        <v>139</v>
      </c>
      <c r="I14">
        <v>72000</v>
      </c>
      <c r="J14" s="11">
        <f t="shared" si="0"/>
        <v>202607</v>
      </c>
      <c r="K14" s="19" t="str">
        <f t="shared" si="1"/>
        <v>يوليو 2026</v>
      </c>
      <c r="L14" s="19" t="str">
        <f t="shared" si="2"/>
        <v>✅ جاهز</v>
      </c>
      <c r="N14" s="11">
        <f t="shared" si="3"/>
        <v>202607</v>
      </c>
      <c r="O14" s="19" t="str">
        <f t="shared" si="4"/>
        <v>يوليو 2026</v>
      </c>
      <c r="P14" s="19" t="str">
        <f t="shared" si="5"/>
        <v>مماسح ارضيات</v>
      </c>
      <c r="Q14" s="55">
        <f t="shared" si="6"/>
        <v>9.42</v>
      </c>
      <c r="R14" s="55">
        <f t="shared" si="7"/>
        <v>72000</v>
      </c>
      <c r="S14" s="19" t="str">
        <f t="shared" si="8"/>
        <v>ليرة سورية</v>
      </c>
    </row>
    <row r="15" spans="1:19" ht="25.5" customHeight="1">
      <c r="A15" s="54" t="s">
        <v>310</v>
      </c>
      <c r="B15">
        <v>0</v>
      </c>
      <c r="C15">
        <v>35000</v>
      </c>
      <c r="D15">
        <v>35000</v>
      </c>
      <c r="E15">
        <v>35000</v>
      </c>
      <c r="F15" s="54" t="s">
        <v>62</v>
      </c>
      <c r="G15" t="s">
        <v>111</v>
      </c>
      <c r="H15" s="54" t="s">
        <v>139</v>
      </c>
      <c r="I15">
        <v>28000</v>
      </c>
      <c r="J15" s="11">
        <f t="shared" si="0"/>
        <v>202607</v>
      </c>
      <c r="K15" s="19" t="str">
        <f t="shared" si="1"/>
        <v>يوليو 2026</v>
      </c>
      <c r="L15" s="19" t="str">
        <f t="shared" si="2"/>
        <v>⚠️ كمية مفقودة/صفر</v>
      </c>
      <c r="N15" s="11">
        <f t="shared" si="3"/>
        <v>202607</v>
      </c>
      <c r="O15" s="19" t="str">
        <f t="shared" si="4"/>
        <v>يوليو 2026</v>
      </c>
      <c r="P15" s="19" t="str">
        <f t="shared" si="5"/>
        <v>ملمع سيارات 3 لتر</v>
      </c>
      <c r="Q15" s="55">
        <f t="shared" si="6"/>
        <v>0</v>
      </c>
      <c r="R15" s="55">
        <f t="shared" si="7"/>
        <v>28000</v>
      </c>
      <c r="S15" s="19" t="str">
        <f t="shared" si="8"/>
        <v>ليرة سورية</v>
      </c>
    </row>
    <row r="16" spans="1:19" ht="25.5" customHeight="1">
      <c r="A16" s="54" t="s">
        <v>311</v>
      </c>
      <c r="B16">
        <v>8</v>
      </c>
      <c r="C16">
        <v>15000</v>
      </c>
      <c r="D16">
        <v>15000</v>
      </c>
      <c r="E16">
        <v>15000</v>
      </c>
      <c r="F16" s="54" t="s">
        <v>62</v>
      </c>
      <c r="G16" t="s">
        <v>111</v>
      </c>
      <c r="H16" s="54" t="s">
        <v>139</v>
      </c>
      <c r="I16">
        <v>8500</v>
      </c>
      <c r="J16" s="11">
        <f t="shared" si="0"/>
        <v>202607</v>
      </c>
      <c r="K16" s="19" t="str">
        <f t="shared" si="1"/>
        <v>يوليو 2026</v>
      </c>
      <c r="L16" s="19" t="str">
        <f t="shared" si="2"/>
        <v>✅ جاهز</v>
      </c>
      <c r="N16" s="11">
        <f t="shared" si="3"/>
        <v>202607</v>
      </c>
      <c r="O16" s="19" t="str">
        <f t="shared" si="4"/>
        <v>يوليو 2026</v>
      </c>
      <c r="P16" s="19" t="str">
        <f t="shared" si="5"/>
        <v>ملمع سيارات / فرط</v>
      </c>
      <c r="Q16" s="55">
        <f t="shared" si="6"/>
        <v>8</v>
      </c>
      <c r="R16" s="55">
        <f t="shared" si="7"/>
        <v>8500</v>
      </c>
      <c r="S16" s="19" t="str">
        <f t="shared" si="8"/>
        <v>ليرة سورية</v>
      </c>
    </row>
    <row r="17" spans="1:19" ht="25.5" customHeight="1">
      <c r="A17" s="54" t="s">
        <v>110</v>
      </c>
      <c r="B17">
        <v>0</v>
      </c>
      <c r="C17">
        <v>0</v>
      </c>
      <c r="D17">
        <v>0</v>
      </c>
      <c r="E17">
        <v>0</v>
      </c>
      <c r="F17" s="54" t="s">
        <v>63</v>
      </c>
      <c r="G17" t="s">
        <v>111</v>
      </c>
      <c r="H17" s="54" t="s">
        <v>112</v>
      </c>
      <c r="I17">
        <v>175</v>
      </c>
      <c r="J17" s="11">
        <f t="shared" si="0"/>
        <v>202607</v>
      </c>
      <c r="K17" s="19" t="str">
        <f t="shared" si="1"/>
        <v>يوليو 2026</v>
      </c>
      <c r="L17" s="19" t="str">
        <f t="shared" si="2"/>
        <v>⚠️ كمية مفقودة/صفر</v>
      </c>
      <c r="N17" s="11">
        <f t="shared" si="3"/>
        <v>202607</v>
      </c>
      <c r="O17" s="19" t="str">
        <f t="shared" si="4"/>
        <v>يوليو 2026</v>
      </c>
      <c r="P17" s="19" t="str">
        <f t="shared" si="5"/>
        <v>ملمع زجاج خام</v>
      </c>
      <c r="Q17" s="55">
        <f t="shared" si="6"/>
        <v>0</v>
      </c>
      <c r="R17" s="55">
        <f t="shared" si="7"/>
        <v>175</v>
      </c>
      <c r="S17" s="19" t="str">
        <f t="shared" si="8"/>
        <v>دولار أمريكي</v>
      </c>
    </row>
    <row r="18" spans="1:19" ht="25.5" customHeight="1">
      <c r="A18" s="54" t="s">
        <v>206</v>
      </c>
      <c r="B18">
        <v>0</v>
      </c>
      <c r="C18">
        <v>156000</v>
      </c>
      <c r="D18">
        <v>156000</v>
      </c>
      <c r="E18">
        <v>156000</v>
      </c>
      <c r="F18" s="54" t="s">
        <v>62</v>
      </c>
      <c r="G18" t="s">
        <v>111</v>
      </c>
      <c r="H18" s="54" t="s">
        <v>139</v>
      </c>
      <c r="I18">
        <v>120000</v>
      </c>
      <c r="J18" s="11">
        <f t="shared" si="0"/>
        <v>202607</v>
      </c>
      <c r="K18" s="19" t="str">
        <f t="shared" si="1"/>
        <v>يوليو 2026</v>
      </c>
      <c r="L18" s="19" t="str">
        <f t="shared" si="2"/>
        <v>⚠️ كمية مفقودة/صفر</v>
      </c>
      <c r="N18" s="11">
        <f t="shared" si="3"/>
        <v>202607</v>
      </c>
      <c r="O18" s="19" t="str">
        <f t="shared" si="4"/>
        <v>يوليو 2026</v>
      </c>
      <c r="P18" s="19" t="str">
        <f t="shared" si="5"/>
        <v>ملمع زجاج الكرمل</v>
      </c>
      <c r="Q18" s="55">
        <f t="shared" si="6"/>
        <v>0</v>
      </c>
      <c r="R18" s="55">
        <f t="shared" si="7"/>
        <v>120000</v>
      </c>
      <c r="S18" s="19" t="str">
        <f t="shared" si="8"/>
        <v>ليرة سورية</v>
      </c>
    </row>
    <row r="19" spans="1:19" ht="25.5" customHeight="1">
      <c r="A19" s="54" t="s">
        <v>312</v>
      </c>
      <c r="B19">
        <v>21</v>
      </c>
      <c r="C19">
        <v>30000</v>
      </c>
      <c r="D19">
        <v>30000</v>
      </c>
      <c r="E19">
        <v>30000</v>
      </c>
      <c r="F19" s="54" t="s">
        <v>62</v>
      </c>
      <c r="G19" t="s">
        <v>111</v>
      </c>
      <c r="H19" s="54" t="s">
        <v>139</v>
      </c>
      <c r="I19">
        <v>9500</v>
      </c>
      <c r="J19" s="11">
        <f t="shared" si="0"/>
        <v>202607</v>
      </c>
      <c r="K19" s="19" t="str">
        <f t="shared" si="1"/>
        <v>يوليو 2026</v>
      </c>
      <c r="L19" s="19" t="str">
        <f t="shared" si="2"/>
        <v>✅ جاهز</v>
      </c>
      <c r="N19" s="11">
        <f t="shared" si="3"/>
        <v>202607</v>
      </c>
      <c r="O19" s="19" t="str">
        <f t="shared" si="4"/>
        <v>يوليو 2026</v>
      </c>
      <c r="P19" s="19" t="str">
        <f t="shared" si="5"/>
        <v>ملمع زجاج 3 لتر</v>
      </c>
      <c r="Q19" s="55">
        <f t="shared" si="6"/>
        <v>21</v>
      </c>
      <c r="R19" s="55">
        <f t="shared" si="7"/>
        <v>9500</v>
      </c>
      <c r="S19" s="19" t="str">
        <f t="shared" si="8"/>
        <v>ليرة سورية</v>
      </c>
    </row>
    <row r="20" spans="1:19">
      <c r="A20" s="54" t="s">
        <v>313</v>
      </c>
      <c r="B20">
        <v>119.5</v>
      </c>
      <c r="C20">
        <v>10000</v>
      </c>
      <c r="D20">
        <v>10000</v>
      </c>
      <c r="E20">
        <v>10000</v>
      </c>
      <c r="F20" s="54" t="s">
        <v>62</v>
      </c>
      <c r="G20" t="s">
        <v>111</v>
      </c>
      <c r="H20" s="54" t="s">
        <v>139</v>
      </c>
      <c r="I20">
        <v>3000</v>
      </c>
      <c r="J20" s="11">
        <f t="shared" si="0"/>
        <v>202607</v>
      </c>
      <c r="K20" s="19" t="str">
        <f t="shared" si="1"/>
        <v>يوليو 2026</v>
      </c>
      <c r="L20" s="19" t="str">
        <f t="shared" si="2"/>
        <v>✅ جاهز</v>
      </c>
      <c r="N20" s="11">
        <f t="shared" si="3"/>
        <v>202607</v>
      </c>
      <c r="O20" s="19" t="str">
        <f t="shared" si="4"/>
        <v>يوليو 2026</v>
      </c>
      <c r="P20" s="19" t="str">
        <f t="shared" si="5"/>
        <v>ملمع زجاج / فرط</v>
      </c>
      <c r="Q20" s="55">
        <f t="shared" si="6"/>
        <v>119.5</v>
      </c>
      <c r="R20" s="55">
        <f t="shared" si="7"/>
        <v>3000</v>
      </c>
      <c r="S20" s="19" t="str">
        <f t="shared" si="8"/>
        <v>ليرة سورية</v>
      </c>
    </row>
    <row r="21" spans="1:19" ht="25.5" customHeight="1">
      <c r="A21" s="54" t="s">
        <v>113</v>
      </c>
      <c r="B21">
        <v>0</v>
      </c>
      <c r="C21">
        <v>0</v>
      </c>
      <c r="D21">
        <v>0</v>
      </c>
      <c r="E21">
        <v>0</v>
      </c>
      <c r="F21" s="54" t="s">
        <v>63</v>
      </c>
      <c r="G21" t="s">
        <v>111</v>
      </c>
      <c r="H21" s="54" t="s">
        <v>112</v>
      </c>
      <c r="I21">
        <v>63</v>
      </c>
      <c r="J21" s="11">
        <f t="shared" si="0"/>
        <v>202607</v>
      </c>
      <c r="K21" s="19" t="str">
        <f t="shared" si="1"/>
        <v>يوليو 2026</v>
      </c>
      <c r="L21" s="19" t="str">
        <f t="shared" si="2"/>
        <v>⚠️ كمية مفقودة/صفر</v>
      </c>
      <c r="N21" s="11">
        <f t="shared" si="3"/>
        <v>202607</v>
      </c>
      <c r="O21" s="19" t="str">
        <f t="shared" si="4"/>
        <v>يوليو 2026</v>
      </c>
      <c r="P21" s="19" t="str">
        <f t="shared" si="5"/>
        <v>ملمع دواليب خام</v>
      </c>
      <c r="Q21" s="55">
        <f t="shared" si="6"/>
        <v>0</v>
      </c>
      <c r="R21" s="55">
        <f t="shared" si="7"/>
        <v>63</v>
      </c>
      <c r="S21" s="19" t="str">
        <f t="shared" si="8"/>
        <v>دولار أمريكي</v>
      </c>
    </row>
    <row r="22" spans="1:19" ht="25.5" customHeight="1">
      <c r="A22" s="54" t="s">
        <v>207</v>
      </c>
      <c r="B22">
        <v>0</v>
      </c>
      <c r="C22">
        <v>408000</v>
      </c>
      <c r="D22">
        <v>408000</v>
      </c>
      <c r="E22">
        <v>408000</v>
      </c>
      <c r="F22" s="54" t="s">
        <v>62</v>
      </c>
      <c r="G22" t="s">
        <v>111</v>
      </c>
      <c r="H22" s="54" t="s">
        <v>139</v>
      </c>
      <c r="I22">
        <v>0</v>
      </c>
      <c r="J22" s="11">
        <f t="shared" si="0"/>
        <v>202607</v>
      </c>
      <c r="K22" s="19" t="str">
        <f t="shared" si="1"/>
        <v>يوليو 2026</v>
      </c>
      <c r="L22" s="19" t="str">
        <f t="shared" si="2"/>
        <v>⚠️ كمية مفقودة/صفر</v>
      </c>
      <c r="N22" s="11">
        <f t="shared" si="3"/>
        <v>202607</v>
      </c>
      <c r="O22" s="19" t="str">
        <f t="shared" si="4"/>
        <v>يوليو 2026</v>
      </c>
      <c r="P22" s="19" t="str">
        <f t="shared" si="5"/>
        <v>ملطف جو ليتس</v>
      </c>
      <c r="Q22" s="55">
        <f t="shared" si="6"/>
        <v>0</v>
      </c>
      <c r="R22" s="55">
        <f t="shared" si="7"/>
        <v>0</v>
      </c>
      <c r="S22" s="19" t="str">
        <f t="shared" si="8"/>
        <v>ليرة سورية</v>
      </c>
    </row>
    <row r="23" spans="1:19">
      <c r="A23" s="54" t="s">
        <v>208</v>
      </c>
      <c r="B23">
        <v>0</v>
      </c>
      <c r="C23">
        <v>240000</v>
      </c>
      <c r="D23">
        <v>240000</v>
      </c>
      <c r="E23">
        <v>240000</v>
      </c>
      <c r="F23" s="54" t="s">
        <v>62</v>
      </c>
      <c r="G23" t="s">
        <v>111</v>
      </c>
      <c r="H23" s="54" t="s">
        <v>139</v>
      </c>
      <c r="I23">
        <v>139200</v>
      </c>
      <c r="J23" s="11">
        <f t="shared" si="0"/>
        <v>202607</v>
      </c>
      <c r="K23" s="19" t="str">
        <f t="shared" si="1"/>
        <v>يوليو 2026</v>
      </c>
      <c r="L23" s="19" t="str">
        <f t="shared" si="2"/>
        <v>⚠️ كمية مفقودة/صفر</v>
      </c>
      <c r="N23" s="11">
        <f t="shared" si="3"/>
        <v>202607</v>
      </c>
      <c r="O23" s="19" t="str">
        <f t="shared" si="4"/>
        <v>يوليو 2026</v>
      </c>
      <c r="P23" s="19" t="str">
        <f t="shared" si="5"/>
        <v>ملطف جو</v>
      </c>
      <c r="Q23" s="55">
        <f t="shared" si="6"/>
        <v>0</v>
      </c>
      <c r="R23" s="55">
        <f t="shared" si="7"/>
        <v>139200</v>
      </c>
      <c r="S23" s="19" t="str">
        <f t="shared" si="8"/>
        <v>ليرة سورية</v>
      </c>
    </row>
    <row r="24" spans="1:19">
      <c r="A24" s="54" t="s">
        <v>114</v>
      </c>
      <c r="B24">
        <v>93.04</v>
      </c>
      <c r="C24">
        <v>0</v>
      </c>
      <c r="D24">
        <v>0</v>
      </c>
      <c r="E24">
        <v>0</v>
      </c>
      <c r="F24" s="54" t="s">
        <v>63</v>
      </c>
      <c r="G24" t="s">
        <v>111</v>
      </c>
      <c r="H24" s="54" t="s">
        <v>115</v>
      </c>
      <c r="I24">
        <v>2.1</v>
      </c>
      <c r="J24" s="11">
        <f t="shared" si="0"/>
        <v>202607</v>
      </c>
      <c r="K24" s="19" t="str">
        <f t="shared" si="1"/>
        <v>يوليو 2026</v>
      </c>
      <c r="L24" s="19" t="str">
        <f t="shared" si="2"/>
        <v>✅ جاهز</v>
      </c>
      <c r="N24" s="11">
        <f t="shared" si="3"/>
        <v>202607</v>
      </c>
      <c r="O24" s="19" t="str">
        <f t="shared" si="4"/>
        <v>يوليو 2026</v>
      </c>
      <c r="P24" s="19" t="str">
        <f t="shared" si="5"/>
        <v>ملح</v>
      </c>
      <c r="Q24" s="55">
        <f t="shared" si="6"/>
        <v>93.04</v>
      </c>
      <c r="R24" s="55">
        <f t="shared" si="7"/>
        <v>2.1</v>
      </c>
      <c r="S24" s="19" t="str">
        <f t="shared" si="8"/>
        <v>دولار أمريكي</v>
      </c>
    </row>
    <row r="25" spans="1:19">
      <c r="A25" s="54" t="s">
        <v>209</v>
      </c>
      <c r="B25">
        <v>0.08</v>
      </c>
      <c r="C25">
        <v>156000</v>
      </c>
      <c r="D25">
        <v>156000</v>
      </c>
      <c r="E25">
        <v>156000</v>
      </c>
      <c r="F25" s="54" t="s">
        <v>62</v>
      </c>
      <c r="G25" t="s">
        <v>111</v>
      </c>
      <c r="H25" s="54" t="s">
        <v>139</v>
      </c>
      <c r="I25">
        <v>74400</v>
      </c>
      <c r="J25" s="11">
        <f t="shared" si="0"/>
        <v>202607</v>
      </c>
      <c r="K25" s="19" t="str">
        <f t="shared" si="1"/>
        <v>يوليو 2026</v>
      </c>
      <c r="L25" s="19" t="str">
        <f t="shared" si="2"/>
        <v>✅ جاهز</v>
      </c>
      <c r="N25" s="11">
        <f t="shared" si="3"/>
        <v>202607</v>
      </c>
      <c r="O25" s="19" t="str">
        <f t="shared" si="4"/>
        <v>يوليو 2026</v>
      </c>
      <c r="P25" s="19" t="str">
        <f t="shared" si="5"/>
        <v xml:space="preserve">مكانس ناعمة كثيفة </v>
      </c>
      <c r="Q25" s="55">
        <f t="shared" si="6"/>
        <v>0.08</v>
      </c>
      <c r="R25" s="55">
        <f t="shared" si="7"/>
        <v>74400</v>
      </c>
      <c r="S25" s="19" t="str">
        <f t="shared" si="8"/>
        <v>ليرة سورية</v>
      </c>
    </row>
    <row r="26" spans="1:19" ht="25.5" customHeight="1">
      <c r="A26" s="54" t="s">
        <v>210</v>
      </c>
      <c r="B26">
        <v>6</v>
      </c>
      <c r="C26">
        <v>20000</v>
      </c>
      <c r="D26">
        <v>20000</v>
      </c>
      <c r="E26">
        <v>20000</v>
      </c>
      <c r="F26" s="54" t="s">
        <v>62</v>
      </c>
      <c r="G26" t="s">
        <v>111</v>
      </c>
      <c r="H26" s="54" t="s">
        <v>139</v>
      </c>
      <c r="I26">
        <v>8125</v>
      </c>
      <c r="J26" s="11">
        <f t="shared" si="0"/>
        <v>202607</v>
      </c>
      <c r="K26" s="19" t="str">
        <f t="shared" si="1"/>
        <v>يوليو 2026</v>
      </c>
      <c r="L26" s="19" t="str">
        <f t="shared" si="2"/>
        <v>✅ جاهز</v>
      </c>
      <c r="N26" s="11">
        <f t="shared" si="3"/>
        <v>202607</v>
      </c>
      <c r="O26" s="19" t="str">
        <f t="shared" si="4"/>
        <v>يوليو 2026</v>
      </c>
      <c r="P26" s="19" t="str">
        <f t="shared" si="5"/>
        <v xml:space="preserve">مكانس خشنة </v>
      </c>
      <c r="Q26" s="55">
        <f t="shared" si="6"/>
        <v>6</v>
      </c>
      <c r="R26" s="55">
        <f t="shared" si="7"/>
        <v>8125</v>
      </c>
      <c r="S26" s="19" t="str">
        <f t="shared" si="8"/>
        <v>ليرة سورية</v>
      </c>
    </row>
    <row r="27" spans="1:19">
      <c r="A27" s="54" t="s">
        <v>116</v>
      </c>
      <c r="B27">
        <v>2</v>
      </c>
      <c r="C27">
        <v>0</v>
      </c>
      <c r="D27">
        <v>0</v>
      </c>
      <c r="E27">
        <v>0</v>
      </c>
      <c r="F27" s="54" t="s">
        <v>63</v>
      </c>
      <c r="G27" t="s">
        <v>111</v>
      </c>
      <c r="H27" s="54" t="s">
        <v>115</v>
      </c>
      <c r="I27">
        <v>3</v>
      </c>
      <c r="J27" s="11">
        <f t="shared" si="0"/>
        <v>202607</v>
      </c>
      <c r="K27" s="19" t="str">
        <f t="shared" si="1"/>
        <v>يوليو 2026</v>
      </c>
      <c r="L27" s="19" t="str">
        <f t="shared" si="2"/>
        <v>✅ جاهز</v>
      </c>
      <c r="N27" s="11">
        <f t="shared" si="3"/>
        <v>202607</v>
      </c>
      <c r="O27" s="19" t="str">
        <f t="shared" si="4"/>
        <v>يوليو 2026</v>
      </c>
      <c r="P27" s="19" t="str">
        <f t="shared" si="5"/>
        <v>مقصب</v>
      </c>
      <c r="Q27" s="55">
        <f t="shared" si="6"/>
        <v>2</v>
      </c>
      <c r="R27" s="55">
        <f t="shared" si="7"/>
        <v>3</v>
      </c>
      <c r="S27" s="19" t="str">
        <f t="shared" si="8"/>
        <v>دولار أمريكي</v>
      </c>
    </row>
    <row r="28" spans="1:19" ht="25.5" customHeight="1">
      <c r="A28" s="54" t="s">
        <v>314</v>
      </c>
      <c r="B28">
        <v>0.5</v>
      </c>
      <c r="C28">
        <v>0</v>
      </c>
      <c r="D28">
        <v>0</v>
      </c>
      <c r="E28">
        <v>0</v>
      </c>
      <c r="F28" s="54" t="s">
        <v>62</v>
      </c>
      <c r="G28" t="s">
        <v>111</v>
      </c>
      <c r="H28" s="54" t="s">
        <v>139</v>
      </c>
      <c r="I28">
        <v>168000</v>
      </c>
      <c r="J28" s="11">
        <f t="shared" si="0"/>
        <v>202607</v>
      </c>
      <c r="K28" s="19" t="str">
        <f t="shared" si="1"/>
        <v>يوليو 2026</v>
      </c>
      <c r="L28" s="19" t="str">
        <f t="shared" si="2"/>
        <v>✅ جاهز</v>
      </c>
      <c r="N28" s="11">
        <f t="shared" si="3"/>
        <v>202607</v>
      </c>
      <c r="O28" s="19" t="str">
        <f t="shared" si="4"/>
        <v>يوليو 2026</v>
      </c>
      <c r="P28" s="19" t="str">
        <f t="shared" si="5"/>
        <v>معطر كرمل .</v>
      </c>
      <c r="Q28" s="55">
        <f t="shared" si="6"/>
        <v>0.5</v>
      </c>
      <c r="R28" s="55">
        <f t="shared" si="7"/>
        <v>168000</v>
      </c>
      <c r="S28" s="19" t="str">
        <f t="shared" si="8"/>
        <v>ليرة سورية</v>
      </c>
    </row>
    <row r="29" spans="1:19" ht="25.5" customHeight="1">
      <c r="A29" s="54" t="s">
        <v>117</v>
      </c>
      <c r="B29">
        <v>0</v>
      </c>
      <c r="C29">
        <v>0</v>
      </c>
      <c r="D29">
        <v>0</v>
      </c>
      <c r="E29">
        <v>0</v>
      </c>
      <c r="F29" s="54" t="s">
        <v>63</v>
      </c>
      <c r="G29" t="s">
        <v>111</v>
      </c>
      <c r="H29" s="54" t="s">
        <v>112</v>
      </c>
      <c r="I29">
        <v>44</v>
      </c>
      <c r="J29" s="11">
        <f t="shared" si="0"/>
        <v>202607</v>
      </c>
      <c r="K29" s="19" t="str">
        <f t="shared" si="1"/>
        <v>يوليو 2026</v>
      </c>
      <c r="L29" s="19" t="str">
        <f t="shared" si="2"/>
        <v>⚠️ كمية مفقودة/صفر</v>
      </c>
      <c r="N29" s="11">
        <f t="shared" si="3"/>
        <v>202607</v>
      </c>
      <c r="O29" s="19" t="str">
        <f t="shared" si="4"/>
        <v>يوليو 2026</v>
      </c>
      <c r="P29" s="19" t="str">
        <f t="shared" si="5"/>
        <v>معطر فانيليا خام</v>
      </c>
      <c r="Q29" s="55">
        <f t="shared" si="6"/>
        <v>0</v>
      </c>
      <c r="R29" s="55">
        <f t="shared" si="7"/>
        <v>44</v>
      </c>
      <c r="S29" s="19" t="str">
        <f t="shared" si="8"/>
        <v>دولار أمريكي</v>
      </c>
    </row>
    <row r="30" spans="1:19">
      <c r="A30" s="54" t="s">
        <v>211</v>
      </c>
      <c r="B30">
        <v>0</v>
      </c>
      <c r="C30">
        <v>120000</v>
      </c>
      <c r="D30">
        <v>120000</v>
      </c>
      <c r="E30">
        <v>120000</v>
      </c>
      <c r="F30" s="54" t="s">
        <v>62</v>
      </c>
      <c r="G30" t="s">
        <v>111</v>
      </c>
      <c r="H30" s="54" t="s">
        <v>139</v>
      </c>
      <c r="I30">
        <v>117000</v>
      </c>
      <c r="J30" s="11">
        <f t="shared" si="0"/>
        <v>202607</v>
      </c>
      <c r="K30" s="19" t="str">
        <f t="shared" si="1"/>
        <v>يوليو 2026</v>
      </c>
      <c r="L30" s="19" t="str">
        <f t="shared" si="2"/>
        <v>⚠️ كمية مفقودة/صفر</v>
      </c>
      <c r="N30" s="11">
        <f t="shared" si="3"/>
        <v>202607</v>
      </c>
      <c r="O30" s="19" t="str">
        <f t="shared" si="4"/>
        <v>يوليو 2026</v>
      </c>
      <c r="P30" s="19" t="str">
        <f t="shared" si="5"/>
        <v>معطر عافية</v>
      </c>
      <c r="Q30" s="55">
        <f t="shared" si="6"/>
        <v>0</v>
      </c>
      <c r="R30" s="55">
        <f t="shared" si="7"/>
        <v>117000</v>
      </c>
      <c r="S30" s="19" t="str">
        <f t="shared" si="8"/>
        <v>ليرة سورية</v>
      </c>
    </row>
    <row r="31" spans="1:19">
      <c r="A31" s="54" t="s">
        <v>212</v>
      </c>
      <c r="B31">
        <v>0</v>
      </c>
      <c r="C31">
        <v>0</v>
      </c>
      <c r="D31">
        <v>0</v>
      </c>
      <c r="E31">
        <v>0</v>
      </c>
      <c r="F31" s="54" t="s">
        <v>62</v>
      </c>
      <c r="G31" t="s">
        <v>111</v>
      </c>
      <c r="H31" s="54" t="s">
        <v>111</v>
      </c>
      <c r="I31">
        <v>0</v>
      </c>
      <c r="J31" s="11">
        <f t="shared" si="0"/>
        <v>202607</v>
      </c>
      <c r="K31" s="19" t="str">
        <f t="shared" si="1"/>
        <v>يوليو 2026</v>
      </c>
      <c r="L31" s="19" t="str">
        <f t="shared" si="2"/>
        <v>⚠️ كمية مفقودة/صفر</v>
      </c>
      <c r="N31" s="11">
        <f t="shared" si="3"/>
        <v>202607</v>
      </c>
      <c r="O31" s="19" t="str">
        <f t="shared" si="4"/>
        <v>يوليو 2026</v>
      </c>
      <c r="P31" s="19" t="str">
        <f t="shared" si="5"/>
        <v>معطر سيارات</v>
      </c>
      <c r="Q31" s="55">
        <f t="shared" si="6"/>
        <v>0</v>
      </c>
      <c r="R31" s="55">
        <f t="shared" si="7"/>
        <v>0</v>
      </c>
      <c r="S31" s="19" t="str">
        <f t="shared" si="8"/>
        <v>ليرة سورية</v>
      </c>
    </row>
    <row r="32" spans="1:19" ht="25.5" customHeight="1">
      <c r="A32" s="54" t="s">
        <v>213</v>
      </c>
      <c r="B32">
        <v>0</v>
      </c>
      <c r="C32">
        <v>195000</v>
      </c>
      <c r="D32">
        <v>195000</v>
      </c>
      <c r="E32">
        <v>195000</v>
      </c>
      <c r="F32" s="54" t="s">
        <v>62</v>
      </c>
      <c r="G32" t="s">
        <v>111</v>
      </c>
      <c r="H32" s="54" t="s">
        <v>111</v>
      </c>
      <c r="I32">
        <v>0</v>
      </c>
      <c r="J32" s="11">
        <f t="shared" si="0"/>
        <v>202607</v>
      </c>
      <c r="K32" s="19" t="str">
        <f t="shared" si="1"/>
        <v>يوليو 2026</v>
      </c>
      <c r="L32" s="19" t="str">
        <f t="shared" si="2"/>
        <v>⚠️ كمية مفقودة/صفر</v>
      </c>
      <c r="N32" s="11">
        <f t="shared" si="3"/>
        <v>202607</v>
      </c>
      <c r="O32" s="19" t="str">
        <f t="shared" si="4"/>
        <v>يوليو 2026</v>
      </c>
      <c r="P32" s="19" t="str">
        <f t="shared" si="5"/>
        <v>معطر رينزو</v>
      </c>
      <c r="Q32" s="55">
        <f t="shared" si="6"/>
        <v>0</v>
      </c>
      <c r="R32" s="55">
        <f t="shared" si="7"/>
        <v>0</v>
      </c>
      <c r="S32" s="19" t="str">
        <f t="shared" si="8"/>
        <v>ليرة سورية</v>
      </c>
    </row>
    <row r="33" spans="1:19" ht="25.5" customHeight="1">
      <c r="A33" s="54" t="s">
        <v>118</v>
      </c>
      <c r="B33">
        <v>0</v>
      </c>
      <c r="C33">
        <v>0</v>
      </c>
      <c r="D33">
        <v>0</v>
      </c>
      <c r="E33">
        <v>0</v>
      </c>
      <c r="F33" s="54" t="s">
        <v>63</v>
      </c>
      <c r="G33" t="s">
        <v>111</v>
      </c>
      <c r="H33" s="54" t="s">
        <v>112</v>
      </c>
      <c r="I33">
        <v>215</v>
      </c>
      <c r="J33" s="11">
        <f t="shared" si="0"/>
        <v>202607</v>
      </c>
      <c r="K33" s="19" t="str">
        <f t="shared" si="1"/>
        <v>يوليو 2026</v>
      </c>
      <c r="L33" s="19" t="str">
        <f t="shared" si="2"/>
        <v>⚠️ كمية مفقودة/صفر</v>
      </c>
      <c r="N33" s="11">
        <f t="shared" si="3"/>
        <v>202607</v>
      </c>
      <c r="O33" s="19" t="str">
        <f t="shared" si="4"/>
        <v>يوليو 2026</v>
      </c>
      <c r="P33" s="19" t="str">
        <f t="shared" si="5"/>
        <v>معطر ارضيات نسيم المحيط خام</v>
      </c>
      <c r="Q33" s="55">
        <f t="shared" si="6"/>
        <v>0</v>
      </c>
      <c r="R33" s="55">
        <f t="shared" si="7"/>
        <v>215</v>
      </c>
      <c r="S33" s="19" t="str">
        <f t="shared" si="8"/>
        <v>دولار أمريكي</v>
      </c>
    </row>
    <row r="34" spans="1:19">
      <c r="A34" s="54" t="s">
        <v>119</v>
      </c>
      <c r="B34">
        <v>0</v>
      </c>
      <c r="C34">
        <v>0</v>
      </c>
      <c r="D34">
        <v>0</v>
      </c>
      <c r="E34">
        <v>0</v>
      </c>
      <c r="F34" s="54" t="s">
        <v>63</v>
      </c>
      <c r="G34" t="s">
        <v>111</v>
      </c>
      <c r="H34" s="54" t="s">
        <v>112</v>
      </c>
      <c r="I34">
        <v>205</v>
      </c>
      <c r="J34" s="11">
        <f t="shared" si="0"/>
        <v>202607</v>
      </c>
      <c r="K34" s="19" t="str">
        <f t="shared" si="1"/>
        <v>يوليو 2026</v>
      </c>
      <c r="L34" s="19" t="str">
        <f t="shared" si="2"/>
        <v>⚠️ كمية مفقودة/صفر</v>
      </c>
      <c r="N34" s="11">
        <f t="shared" si="3"/>
        <v>202607</v>
      </c>
      <c r="O34" s="19" t="str">
        <f t="shared" si="4"/>
        <v>يوليو 2026</v>
      </c>
      <c r="P34" s="19" t="str">
        <f t="shared" si="5"/>
        <v>معطر ارضيات ليلك خام</v>
      </c>
      <c r="Q34" s="55">
        <f t="shared" si="6"/>
        <v>0</v>
      </c>
      <c r="R34" s="55">
        <f t="shared" si="7"/>
        <v>205</v>
      </c>
      <c r="S34" s="19" t="str">
        <f t="shared" si="8"/>
        <v>دولار أمريكي</v>
      </c>
    </row>
    <row r="35" spans="1:19">
      <c r="A35" s="54" t="s">
        <v>120</v>
      </c>
      <c r="B35">
        <v>0</v>
      </c>
      <c r="C35">
        <v>0</v>
      </c>
      <c r="D35">
        <v>0</v>
      </c>
      <c r="E35">
        <v>0</v>
      </c>
      <c r="F35" s="54" t="s">
        <v>63</v>
      </c>
      <c r="G35" t="s">
        <v>111</v>
      </c>
      <c r="H35" s="54" t="s">
        <v>112</v>
      </c>
      <c r="I35">
        <v>205</v>
      </c>
      <c r="J35" s="11">
        <f t="shared" si="0"/>
        <v>202607</v>
      </c>
      <c r="K35" s="19" t="str">
        <f t="shared" si="1"/>
        <v>يوليو 2026</v>
      </c>
      <c r="L35" s="19" t="str">
        <f t="shared" si="2"/>
        <v>⚠️ كمية مفقودة/صفر</v>
      </c>
      <c r="N35" s="11">
        <f t="shared" si="3"/>
        <v>202607</v>
      </c>
      <c r="O35" s="19" t="str">
        <f t="shared" si="4"/>
        <v>يوليو 2026</v>
      </c>
      <c r="P35" s="19" t="str">
        <f t="shared" si="5"/>
        <v>معطر ارضيات زهرة التوليب خام</v>
      </c>
      <c r="Q35" s="55">
        <f t="shared" si="6"/>
        <v>0</v>
      </c>
      <c r="R35" s="55">
        <f t="shared" si="7"/>
        <v>205</v>
      </c>
      <c r="S35" s="19" t="str">
        <f t="shared" si="8"/>
        <v>دولار أمريكي</v>
      </c>
    </row>
    <row r="36" spans="1:19" ht="25.5" customHeight="1">
      <c r="A36" s="54" t="s">
        <v>121</v>
      </c>
      <c r="B36">
        <v>0</v>
      </c>
      <c r="C36">
        <v>0</v>
      </c>
      <c r="D36">
        <v>0</v>
      </c>
      <c r="E36">
        <v>0</v>
      </c>
      <c r="F36" s="54" t="s">
        <v>63</v>
      </c>
      <c r="G36" t="s">
        <v>111</v>
      </c>
      <c r="H36" s="54" t="s">
        <v>112</v>
      </c>
      <c r="I36">
        <v>180</v>
      </c>
      <c r="J36" s="11">
        <f t="shared" si="0"/>
        <v>202607</v>
      </c>
      <c r="K36" s="19" t="str">
        <f t="shared" si="1"/>
        <v>يوليو 2026</v>
      </c>
      <c r="L36" s="19" t="str">
        <f t="shared" si="2"/>
        <v>⚠️ كمية مفقودة/صفر</v>
      </c>
      <c r="N36" s="11">
        <f t="shared" si="3"/>
        <v>202607</v>
      </c>
      <c r="O36" s="19" t="str">
        <f t="shared" si="4"/>
        <v>يوليو 2026</v>
      </c>
      <c r="P36" s="19" t="str">
        <f t="shared" si="5"/>
        <v>معطر ارضيات رائحة الورود خام</v>
      </c>
      <c r="Q36" s="55">
        <f t="shared" si="6"/>
        <v>0</v>
      </c>
      <c r="R36" s="55">
        <f t="shared" si="7"/>
        <v>180</v>
      </c>
      <c r="S36" s="19" t="str">
        <f t="shared" si="8"/>
        <v>دولار أمريكي</v>
      </c>
    </row>
    <row r="37" spans="1:19">
      <c r="A37" s="54" t="s">
        <v>122</v>
      </c>
      <c r="B37">
        <v>0</v>
      </c>
      <c r="C37">
        <v>0</v>
      </c>
      <c r="D37">
        <v>0</v>
      </c>
      <c r="E37">
        <v>0</v>
      </c>
      <c r="F37" s="54" t="s">
        <v>63</v>
      </c>
      <c r="G37" t="s">
        <v>111</v>
      </c>
      <c r="H37" s="54" t="s">
        <v>112</v>
      </c>
      <c r="I37">
        <v>150</v>
      </c>
      <c r="J37" s="11">
        <f t="shared" si="0"/>
        <v>202607</v>
      </c>
      <c r="K37" s="19" t="str">
        <f t="shared" si="1"/>
        <v>يوليو 2026</v>
      </c>
      <c r="L37" s="19" t="str">
        <f t="shared" si="2"/>
        <v>⚠️ كمية مفقودة/صفر</v>
      </c>
      <c r="N37" s="11">
        <f t="shared" si="3"/>
        <v>202607</v>
      </c>
      <c r="O37" s="19" t="str">
        <f t="shared" si="4"/>
        <v>يوليو 2026</v>
      </c>
      <c r="P37" s="19" t="str">
        <f t="shared" si="5"/>
        <v>معطر ارضيات ببوري خام</v>
      </c>
      <c r="Q37" s="55">
        <f t="shared" si="6"/>
        <v>0</v>
      </c>
      <c r="R37" s="55">
        <f t="shared" si="7"/>
        <v>150</v>
      </c>
      <c r="S37" s="19" t="str">
        <f t="shared" si="8"/>
        <v>دولار أمريكي</v>
      </c>
    </row>
    <row r="38" spans="1:19" ht="25.5" customHeight="1">
      <c r="A38" s="54" t="s">
        <v>123</v>
      </c>
      <c r="B38">
        <v>0</v>
      </c>
      <c r="C38">
        <v>0</v>
      </c>
      <c r="D38">
        <v>0</v>
      </c>
      <c r="E38">
        <v>0</v>
      </c>
      <c r="F38" s="54" t="s">
        <v>63</v>
      </c>
      <c r="G38" t="s">
        <v>111</v>
      </c>
      <c r="H38" s="54" t="s">
        <v>112</v>
      </c>
      <c r="I38">
        <v>160</v>
      </c>
      <c r="J38" s="11">
        <f t="shared" si="0"/>
        <v>202607</v>
      </c>
      <c r="K38" s="19" t="str">
        <f t="shared" si="1"/>
        <v>يوليو 2026</v>
      </c>
      <c r="L38" s="19" t="str">
        <f t="shared" si="2"/>
        <v>⚠️ كمية مفقودة/صفر</v>
      </c>
      <c r="N38" s="11">
        <f t="shared" si="3"/>
        <v>202607</v>
      </c>
      <c r="O38" s="19" t="str">
        <f t="shared" si="4"/>
        <v>يوليو 2026</v>
      </c>
      <c r="P38" s="19" t="str">
        <f t="shared" si="5"/>
        <v>معطر ارضيات الليمون المنعش خام</v>
      </c>
      <c r="Q38" s="55">
        <f t="shared" si="6"/>
        <v>0</v>
      </c>
      <c r="R38" s="55">
        <f t="shared" si="7"/>
        <v>160</v>
      </c>
      <c r="S38" s="19" t="str">
        <f t="shared" si="8"/>
        <v>دولار أمريكي</v>
      </c>
    </row>
    <row r="39" spans="1:19" ht="25.5" customHeight="1">
      <c r="A39" s="54" t="s">
        <v>124</v>
      </c>
      <c r="B39">
        <v>0</v>
      </c>
      <c r="C39">
        <v>0</v>
      </c>
      <c r="D39">
        <v>0</v>
      </c>
      <c r="E39">
        <v>0</v>
      </c>
      <c r="F39" s="54" t="s">
        <v>63</v>
      </c>
      <c r="G39" t="s">
        <v>111</v>
      </c>
      <c r="H39" s="54" t="s">
        <v>112</v>
      </c>
      <c r="I39">
        <v>215</v>
      </c>
      <c r="J39" s="11">
        <f t="shared" si="0"/>
        <v>202607</v>
      </c>
      <c r="K39" s="19" t="str">
        <f t="shared" si="1"/>
        <v>يوليو 2026</v>
      </c>
      <c r="L39" s="19" t="str">
        <f t="shared" si="2"/>
        <v>⚠️ كمية مفقودة/صفر</v>
      </c>
      <c r="N39" s="11">
        <f t="shared" si="3"/>
        <v>202607</v>
      </c>
      <c r="O39" s="19" t="str">
        <f t="shared" si="4"/>
        <v>يوليو 2026</v>
      </c>
      <c r="P39" s="19" t="str">
        <f t="shared" si="5"/>
        <v>معطر ارضيات العود خام</v>
      </c>
      <c r="Q39" s="55">
        <f t="shared" si="6"/>
        <v>0</v>
      </c>
      <c r="R39" s="55">
        <f t="shared" si="7"/>
        <v>215</v>
      </c>
      <c r="S39" s="19" t="str">
        <f t="shared" si="8"/>
        <v>دولار أمريكي</v>
      </c>
    </row>
    <row r="40" spans="1:19" ht="25.5" customHeight="1">
      <c r="A40" s="54" t="s">
        <v>125</v>
      </c>
      <c r="B40">
        <v>0</v>
      </c>
      <c r="C40">
        <v>0</v>
      </c>
      <c r="D40">
        <v>0</v>
      </c>
      <c r="E40">
        <v>0</v>
      </c>
      <c r="F40" s="54" t="s">
        <v>63</v>
      </c>
      <c r="G40" t="s">
        <v>111</v>
      </c>
      <c r="H40" s="54" t="s">
        <v>112</v>
      </c>
      <c r="I40">
        <v>215</v>
      </c>
      <c r="J40" s="11">
        <f t="shared" si="0"/>
        <v>202607</v>
      </c>
      <c r="K40" s="19" t="str">
        <f t="shared" si="1"/>
        <v>يوليو 2026</v>
      </c>
      <c r="L40" s="19" t="str">
        <f t="shared" si="2"/>
        <v>⚠️ كمية مفقودة/صفر</v>
      </c>
      <c r="N40" s="11">
        <f t="shared" si="3"/>
        <v>202607</v>
      </c>
      <c r="O40" s="19" t="str">
        <f t="shared" si="4"/>
        <v>يوليو 2026</v>
      </c>
      <c r="P40" s="19" t="str">
        <f t="shared" si="5"/>
        <v>معطر ارضيات ازهار النرجس خام</v>
      </c>
      <c r="Q40" s="55">
        <f t="shared" si="6"/>
        <v>0</v>
      </c>
      <c r="R40" s="55">
        <f t="shared" si="7"/>
        <v>215</v>
      </c>
      <c r="S40" s="19" t="str">
        <f t="shared" si="8"/>
        <v>دولار أمريكي</v>
      </c>
    </row>
    <row r="41" spans="1:19" ht="25.5" customHeight="1">
      <c r="A41" s="54" t="s">
        <v>315</v>
      </c>
      <c r="B41">
        <v>3413</v>
      </c>
      <c r="C41">
        <v>8000</v>
      </c>
      <c r="D41">
        <v>8000</v>
      </c>
      <c r="E41">
        <v>8000</v>
      </c>
      <c r="F41" s="54" t="s">
        <v>62</v>
      </c>
      <c r="G41" t="s">
        <v>111</v>
      </c>
      <c r="H41" s="54" t="s">
        <v>139</v>
      </c>
      <c r="I41">
        <v>0</v>
      </c>
      <c r="J41" s="11">
        <f t="shared" si="0"/>
        <v>202607</v>
      </c>
      <c r="K41" s="19" t="str">
        <f t="shared" si="1"/>
        <v>يوليو 2026</v>
      </c>
      <c r="L41" s="19" t="str">
        <f t="shared" si="2"/>
        <v>✅ جاهز</v>
      </c>
      <c r="N41" s="11">
        <f t="shared" si="3"/>
        <v>202607</v>
      </c>
      <c r="O41" s="19" t="str">
        <f t="shared" si="4"/>
        <v>يوليو 2026</v>
      </c>
      <c r="P41" s="19" t="str">
        <f t="shared" si="5"/>
        <v xml:space="preserve">معطر super / فرط </v>
      </c>
      <c r="Q41" s="55">
        <f t="shared" si="6"/>
        <v>3413</v>
      </c>
      <c r="R41" s="55">
        <f t="shared" si="7"/>
        <v>0</v>
      </c>
      <c r="S41" s="19" t="str">
        <f t="shared" si="8"/>
        <v>ليرة سورية</v>
      </c>
    </row>
    <row r="42" spans="1:19" ht="25.5" customHeight="1">
      <c r="A42" s="54" t="s">
        <v>316</v>
      </c>
      <c r="B42">
        <v>267</v>
      </c>
      <c r="C42">
        <v>29000</v>
      </c>
      <c r="D42">
        <v>29000</v>
      </c>
      <c r="E42">
        <v>29000</v>
      </c>
      <c r="F42" s="54" t="s">
        <v>62</v>
      </c>
      <c r="G42" t="s">
        <v>111</v>
      </c>
      <c r="H42" s="54" t="s">
        <v>139</v>
      </c>
      <c r="I42">
        <v>0</v>
      </c>
      <c r="J42" s="11">
        <f t="shared" si="0"/>
        <v>202607</v>
      </c>
      <c r="K42" s="19" t="str">
        <f t="shared" si="1"/>
        <v>يوليو 2026</v>
      </c>
      <c r="L42" s="19" t="str">
        <f t="shared" si="2"/>
        <v>✅ جاهز</v>
      </c>
      <c r="N42" s="11">
        <f t="shared" si="3"/>
        <v>202607</v>
      </c>
      <c r="O42" s="19" t="str">
        <f t="shared" si="4"/>
        <v>يوليو 2026</v>
      </c>
      <c r="P42" s="19" t="str">
        <f t="shared" si="5"/>
        <v>معطر super / عبوة 3 لتر</v>
      </c>
      <c r="Q42" s="55">
        <f t="shared" si="6"/>
        <v>267</v>
      </c>
      <c r="R42" s="55">
        <f t="shared" si="7"/>
        <v>0</v>
      </c>
      <c r="S42" s="19" t="str">
        <f t="shared" si="8"/>
        <v>ليرة سورية</v>
      </c>
    </row>
    <row r="43" spans="1:19" ht="25.5" customHeight="1">
      <c r="A43" s="54" t="s">
        <v>317</v>
      </c>
      <c r="B43">
        <v>0</v>
      </c>
      <c r="C43">
        <v>0</v>
      </c>
      <c r="D43">
        <v>0</v>
      </c>
      <c r="E43">
        <v>0</v>
      </c>
      <c r="F43" s="54" t="s">
        <v>62</v>
      </c>
      <c r="G43" t="s">
        <v>111</v>
      </c>
      <c r="H43" t="s">
        <v>111</v>
      </c>
      <c r="I43">
        <v>0</v>
      </c>
      <c r="J43" s="11">
        <f t="shared" si="0"/>
        <v>202607</v>
      </c>
      <c r="K43" s="19" t="str">
        <f t="shared" si="1"/>
        <v>يوليو 2026</v>
      </c>
      <c r="L43" s="19" t="str">
        <f t="shared" si="2"/>
        <v>⚠️ كمية مفقودة/صفر</v>
      </c>
      <c r="N43" s="11">
        <f t="shared" si="3"/>
        <v>202607</v>
      </c>
      <c r="O43" s="19" t="str">
        <f t="shared" si="4"/>
        <v>يوليو 2026</v>
      </c>
      <c r="P43" s="19" t="str">
        <f t="shared" si="5"/>
        <v>مصاريف سيارات + ...</v>
      </c>
      <c r="Q43" s="55">
        <f t="shared" si="6"/>
        <v>0</v>
      </c>
      <c r="R43" s="55">
        <f t="shared" si="7"/>
        <v>0</v>
      </c>
      <c r="S43" s="19" t="str">
        <f t="shared" si="8"/>
        <v>ليرة سورية</v>
      </c>
    </row>
    <row r="44" spans="1:19">
      <c r="A44" s="54" t="s">
        <v>318</v>
      </c>
      <c r="B44">
        <v>0</v>
      </c>
      <c r="C44">
        <v>180000</v>
      </c>
      <c r="D44">
        <v>180000</v>
      </c>
      <c r="E44">
        <v>180000</v>
      </c>
      <c r="F44" s="54" t="s">
        <v>62</v>
      </c>
      <c r="G44" t="s">
        <v>111</v>
      </c>
      <c r="H44" s="54" t="s">
        <v>139</v>
      </c>
      <c r="I44">
        <v>105000</v>
      </c>
      <c r="J44" s="11">
        <f t="shared" si="0"/>
        <v>202607</v>
      </c>
      <c r="K44" s="19" t="str">
        <f t="shared" si="1"/>
        <v>يوليو 2026</v>
      </c>
      <c r="L44" s="19" t="str">
        <f t="shared" si="2"/>
        <v>⚠️ كمية مفقودة/صفر</v>
      </c>
      <c r="N44" s="11">
        <f t="shared" si="3"/>
        <v>202607</v>
      </c>
      <c r="O44" s="19" t="str">
        <f t="shared" si="4"/>
        <v>يوليو 2026</v>
      </c>
      <c r="P44" s="19" t="str">
        <f t="shared" si="5"/>
        <v xml:space="preserve">مساحات / نشافات </v>
      </c>
      <c r="Q44" s="55">
        <f t="shared" si="6"/>
        <v>0</v>
      </c>
      <c r="R44" s="55">
        <f t="shared" si="7"/>
        <v>105000</v>
      </c>
      <c r="S44" s="19" t="str">
        <f t="shared" si="8"/>
        <v>ليرة سورية</v>
      </c>
    </row>
    <row r="45" spans="1:19" ht="25.5" customHeight="1">
      <c r="A45" s="54" t="s">
        <v>214</v>
      </c>
      <c r="B45">
        <v>0</v>
      </c>
      <c r="C45">
        <v>0</v>
      </c>
      <c r="D45">
        <v>0</v>
      </c>
      <c r="E45">
        <v>0</v>
      </c>
      <c r="F45" s="54" t="s">
        <v>62</v>
      </c>
      <c r="G45" t="s">
        <v>111</v>
      </c>
      <c r="H45" s="54" t="s">
        <v>139</v>
      </c>
      <c r="I45">
        <v>0</v>
      </c>
      <c r="J45" s="11">
        <f t="shared" si="0"/>
        <v>202607</v>
      </c>
      <c r="K45" s="19" t="str">
        <f t="shared" si="1"/>
        <v>يوليو 2026</v>
      </c>
      <c r="L45" s="19" t="str">
        <f t="shared" si="2"/>
        <v>⚠️ كمية مفقودة/صفر</v>
      </c>
      <c r="N45" s="11">
        <f t="shared" si="3"/>
        <v>202607</v>
      </c>
      <c r="O45" s="19" t="str">
        <f t="shared" si="4"/>
        <v>يوليو 2026</v>
      </c>
      <c r="P45" s="19" t="str">
        <f t="shared" si="5"/>
        <v>محارم مكتب</v>
      </c>
      <c r="Q45" s="55">
        <f t="shared" si="6"/>
        <v>0</v>
      </c>
      <c r="R45" s="55">
        <f t="shared" si="7"/>
        <v>0</v>
      </c>
      <c r="S45" s="19" t="str">
        <f t="shared" si="8"/>
        <v>ليرة سورية</v>
      </c>
    </row>
    <row r="46" spans="1:19" ht="25.5" customHeight="1">
      <c r="A46" s="54" t="s">
        <v>215</v>
      </c>
      <c r="B46">
        <v>5</v>
      </c>
      <c r="C46">
        <v>110000</v>
      </c>
      <c r="D46">
        <v>110000</v>
      </c>
      <c r="E46">
        <v>110000</v>
      </c>
      <c r="F46" s="54" t="s">
        <v>62</v>
      </c>
      <c r="G46" t="s">
        <v>111</v>
      </c>
      <c r="H46" s="54" t="s">
        <v>139</v>
      </c>
      <c r="I46">
        <v>90000</v>
      </c>
      <c r="J46" s="11">
        <f t="shared" si="0"/>
        <v>202607</v>
      </c>
      <c r="K46" s="19" t="str">
        <f t="shared" si="1"/>
        <v>يوليو 2026</v>
      </c>
      <c r="L46" s="19" t="str">
        <f t="shared" si="2"/>
        <v>✅ جاهز</v>
      </c>
      <c r="N46" s="11">
        <f t="shared" si="3"/>
        <v>202607</v>
      </c>
      <c r="O46" s="19" t="str">
        <f t="shared" si="4"/>
        <v>يوليو 2026</v>
      </c>
      <c r="P46" s="19" t="str">
        <f t="shared" si="5"/>
        <v>محارم تواليت</v>
      </c>
      <c r="Q46" s="55">
        <f t="shared" si="6"/>
        <v>5</v>
      </c>
      <c r="R46" s="55">
        <f t="shared" si="7"/>
        <v>90000</v>
      </c>
      <c r="S46" s="19" t="str">
        <f t="shared" si="8"/>
        <v>ليرة سورية</v>
      </c>
    </row>
    <row r="47" spans="1:19" ht="25.5" customHeight="1">
      <c r="A47" s="54" t="s">
        <v>216</v>
      </c>
      <c r="B47">
        <v>0</v>
      </c>
      <c r="C47">
        <v>0</v>
      </c>
      <c r="D47">
        <v>0</v>
      </c>
      <c r="E47">
        <v>0</v>
      </c>
      <c r="F47" s="54" t="s">
        <v>62</v>
      </c>
      <c r="G47" t="s">
        <v>111</v>
      </c>
      <c r="H47" s="54" t="s">
        <v>111</v>
      </c>
      <c r="I47">
        <v>0</v>
      </c>
      <c r="J47" s="11">
        <f t="shared" si="0"/>
        <v>202607</v>
      </c>
      <c r="K47" s="19" t="str">
        <f t="shared" si="1"/>
        <v>يوليو 2026</v>
      </c>
      <c r="L47" s="19" t="str">
        <f t="shared" si="2"/>
        <v>⚠️ كمية مفقودة/صفر</v>
      </c>
      <c r="N47" s="11">
        <f t="shared" si="3"/>
        <v>202607</v>
      </c>
      <c r="O47" s="19" t="str">
        <f t="shared" si="4"/>
        <v>يوليو 2026</v>
      </c>
      <c r="P47" s="19" t="str">
        <f t="shared" si="5"/>
        <v>محارم تنشيف</v>
      </c>
      <c r="Q47" s="55">
        <f t="shared" si="6"/>
        <v>0</v>
      </c>
      <c r="R47" s="55">
        <f t="shared" si="7"/>
        <v>0</v>
      </c>
      <c r="S47" s="19" t="str">
        <f t="shared" si="8"/>
        <v>ليرة سورية</v>
      </c>
    </row>
    <row r="48" spans="1:19">
      <c r="A48" s="54" t="s">
        <v>217</v>
      </c>
      <c r="B48">
        <v>0</v>
      </c>
      <c r="C48">
        <v>110000</v>
      </c>
      <c r="D48">
        <v>110000</v>
      </c>
      <c r="E48">
        <v>110000</v>
      </c>
      <c r="F48" s="54" t="s">
        <v>62</v>
      </c>
      <c r="G48" t="s">
        <v>111</v>
      </c>
      <c r="H48" s="54" t="s">
        <v>139</v>
      </c>
      <c r="I48">
        <v>100000</v>
      </c>
      <c r="J48" s="11">
        <f t="shared" si="0"/>
        <v>202607</v>
      </c>
      <c r="K48" s="19" t="str">
        <f t="shared" si="1"/>
        <v>يوليو 2026</v>
      </c>
      <c r="L48" s="19" t="str">
        <f t="shared" si="2"/>
        <v>⚠️ كمية مفقودة/صفر</v>
      </c>
      <c r="N48" s="11">
        <f t="shared" si="3"/>
        <v>202607</v>
      </c>
      <c r="O48" s="19" t="str">
        <f t="shared" si="4"/>
        <v>يوليو 2026</v>
      </c>
      <c r="P48" s="19" t="str">
        <f t="shared" si="5"/>
        <v>محارم الكرزة</v>
      </c>
      <c r="Q48" s="55">
        <f t="shared" si="6"/>
        <v>0</v>
      </c>
      <c r="R48" s="55">
        <f t="shared" si="7"/>
        <v>100000</v>
      </c>
      <c r="S48" s="19" t="str">
        <f t="shared" si="8"/>
        <v>ليرة سورية</v>
      </c>
    </row>
    <row r="49" spans="1:19" ht="25.5" customHeight="1">
      <c r="A49" s="54" t="s">
        <v>126</v>
      </c>
      <c r="B49">
        <v>44.5</v>
      </c>
      <c r="C49">
        <v>0</v>
      </c>
      <c r="D49">
        <v>0</v>
      </c>
      <c r="E49">
        <v>0</v>
      </c>
      <c r="F49" s="54" t="s">
        <v>63</v>
      </c>
      <c r="G49" t="s">
        <v>111</v>
      </c>
      <c r="H49" s="54" t="s">
        <v>115</v>
      </c>
      <c r="I49">
        <v>4.4000000000000004</v>
      </c>
      <c r="J49" s="11">
        <f t="shared" si="0"/>
        <v>202607</v>
      </c>
      <c r="K49" s="19" t="str">
        <f t="shared" si="1"/>
        <v>يوليو 2026</v>
      </c>
      <c r="L49" s="19" t="str">
        <f t="shared" si="2"/>
        <v>✅ جاهز</v>
      </c>
      <c r="N49" s="11">
        <f t="shared" si="3"/>
        <v>202607</v>
      </c>
      <c r="O49" s="19" t="str">
        <f t="shared" si="4"/>
        <v>يوليو 2026</v>
      </c>
      <c r="P49" s="19" t="str">
        <f t="shared" si="5"/>
        <v xml:space="preserve">مجمد </v>
      </c>
      <c r="Q49" s="55">
        <f t="shared" si="6"/>
        <v>44.5</v>
      </c>
      <c r="R49" s="55">
        <f t="shared" si="7"/>
        <v>4.4000000000000004</v>
      </c>
      <c r="S49" s="19" t="str">
        <f t="shared" si="8"/>
        <v>دولار أمريكي</v>
      </c>
    </row>
    <row r="50" spans="1:19" ht="25.5" customHeight="1">
      <c r="A50" s="54" t="s">
        <v>218</v>
      </c>
      <c r="B50">
        <v>0</v>
      </c>
      <c r="C50">
        <v>336000</v>
      </c>
      <c r="D50">
        <v>336000</v>
      </c>
      <c r="E50">
        <v>336000</v>
      </c>
      <c r="F50" s="54" t="s">
        <v>62</v>
      </c>
      <c r="G50" t="s">
        <v>111</v>
      </c>
      <c r="H50" s="54" t="s">
        <v>139</v>
      </c>
      <c r="I50">
        <v>307000</v>
      </c>
      <c r="J50" s="11">
        <f t="shared" si="0"/>
        <v>202607</v>
      </c>
      <c r="K50" s="19" t="str">
        <f t="shared" si="1"/>
        <v>يوليو 2026</v>
      </c>
      <c r="L50" s="19" t="str">
        <f t="shared" si="2"/>
        <v>⚠️ كمية مفقودة/صفر</v>
      </c>
      <c r="N50" s="11">
        <f t="shared" si="3"/>
        <v>202607</v>
      </c>
      <c r="O50" s="19" t="str">
        <f t="shared" si="4"/>
        <v>يوليو 2026</v>
      </c>
      <c r="P50" s="19" t="str">
        <f t="shared" si="5"/>
        <v>مبيد حشري بار بار</v>
      </c>
      <c r="Q50" s="55">
        <f t="shared" si="6"/>
        <v>0</v>
      </c>
      <c r="R50" s="55">
        <f t="shared" si="7"/>
        <v>307000</v>
      </c>
      <c r="S50" s="19" t="str">
        <f t="shared" si="8"/>
        <v>ليرة سورية</v>
      </c>
    </row>
    <row r="51" spans="1:19" ht="25.5" customHeight="1">
      <c r="A51" s="54" t="s">
        <v>127</v>
      </c>
      <c r="B51">
        <v>0</v>
      </c>
      <c r="C51">
        <v>0</v>
      </c>
      <c r="D51">
        <v>0</v>
      </c>
      <c r="E51">
        <v>0</v>
      </c>
      <c r="F51" s="54" t="s">
        <v>63</v>
      </c>
      <c r="G51" t="s">
        <v>111</v>
      </c>
      <c r="H51" s="54" t="s">
        <v>115</v>
      </c>
      <c r="I51">
        <v>7</v>
      </c>
      <c r="J51" s="11">
        <f t="shared" si="0"/>
        <v>202607</v>
      </c>
      <c r="K51" s="19" t="str">
        <f t="shared" si="1"/>
        <v>يوليو 2026</v>
      </c>
      <c r="L51" s="19" t="str">
        <f t="shared" si="2"/>
        <v>⚠️ كمية مفقودة/صفر</v>
      </c>
      <c r="N51" s="11">
        <f t="shared" si="3"/>
        <v>202607</v>
      </c>
      <c r="O51" s="19" t="str">
        <f t="shared" si="4"/>
        <v>يوليو 2026</v>
      </c>
      <c r="P51" s="19" t="str">
        <f t="shared" si="5"/>
        <v>مانع رغوة مائي</v>
      </c>
      <c r="Q51" s="55">
        <f t="shared" si="6"/>
        <v>0</v>
      </c>
      <c r="R51" s="55">
        <f t="shared" si="7"/>
        <v>7</v>
      </c>
      <c r="S51" s="19" t="str">
        <f t="shared" si="8"/>
        <v>دولار أمريكي</v>
      </c>
    </row>
    <row r="52" spans="1:19" ht="25.5" customHeight="1">
      <c r="A52" s="54" t="s">
        <v>128</v>
      </c>
      <c r="B52">
        <v>0</v>
      </c>
      <c r="C52">
        <v>0</v>
      </c>
      <c r="D52">
        <v>0</v>
      </c>
      <c r="E52">
        <v>0</v>
      </c>
      <c r="F52" s="54" t="s">
        <v>63</v>
      </c>
      <c r="G52" t="s">
        <v>111</v>
      </c>
      <c r="H52" s="54" t="s">
        <v>115</v>
      </c>
      <c r="I52">
        <v>6</v>
      </c>
      <c r="J52" s="11">
        <f t="shared" si="0"/>
        <v>202607</v>
      </c>
      <c r="K52" s="19" t="str">
        <f t="shared" si="1"/>
        <v>يوليو 2026</v>
      </c>
      <c r="L52" s="19" t="str">
        <f t="shared" si="2"/>
        <v>⚠️ كمية مفقودة/صفر</v>
      </c>
      <c r="N52" s="11">
        <f t="shared" si="3"/>
        <v>202607</v>
      </c>
      <c r="O52" s="19" t="str">
        <f t="shared" si="4"/>
        <v>يوليو 2026</v>
      </c>
      <c r="P52" s="19" t="str">
        <f t="shared" si="5"/>
        <v>مانع رغوة سيليكون</v>
      </c>
      <c r="Q52" s="55">
        <f t="shared" si="6"/>
        <v>0</v>
      </c>
      <c r="R52" s="55">
        <f t="shared" si="7"/>
        <v>6</v>
      </c>
      <c r="S52" s="19" t="str">
        <f t="shared" si="8"/>
        <v>دولار أمريكي</v>
      </c>
    </row>
    <row r="53" spans="1:19">
      <c r="A53" s="54" t="s">
        <v>129</v>
      </c>
      <c r="B53">
        <v>36592</v>
      </c>
      <c r="C53">
        <v>0</v>
      </c>
      <c r="D53">
        <v>0</v>
      </c>
      <c r="E53">
        <v>0</v>
      </c>
      <c r="F53" s="54" t="s">
        <v>63</v>
      </c>
      <c r="G53" t="s">
        <v>111</v>
      </c>
      <c r="H53" s="54" t="s">
        <v>115</v>
      </c>
      <c r="I53">
        <v>4.0000000000000001E-3</v>
      </c>
      <c r="J53" s="11">
        <f t="shared" si="0"/>
        <v>202607</v>
      </c>
      <c r="K53" s="19" t="str">
        <f t="shared" si="1"/>
        <v>يوليو 2026</v>
      </c>
      <c r="L53" s="19" t="str">
        <f t="shared" si="2"/>
        <v>✅ جاهز</v>
      </c>
      <c r="N53" s="11">
        <f t="shared" si="3"/>
        <v>202607</v>
      </c>
      <c r="O53" s="19" t="str">
        <f t="shared" si="4"/>
        <v>يوليو 2026</v>
      </c>
      <c r="P53" s="19" t="str">
        <f t="shared" si="5"/>
        <v>ماء مقطرة</v>
      </c>
      <c r="Q53" s="55">
        <f t="shared" si="6"/>
        <v>36592</v>
      </c>
      <c r="R53" s="55">
        <f t="shared" si="7"/>
        <v>4.0000000000000001E-3</v>
      </c>
      <c r="S53" s="19" t="str">
        <f t="shared" si="8"/>
        <v>دولار أمريكي</v>
      </c>
    </row>
    <row r="54" spans="1:19">
      <c r="A54" s="54" t="s">
        <v>130</v>
      </c>
      <c r="B54">
        <v>975</v>
      </c>
      <c r="C54">
        <v>0</v>
      </c>
      <c r="D54">
        <v>0</v>
      </c>
      <c r="E54">
        <v>0</v>
      </c>
      <c r="F54" s="54" t="s">
        <v>63</v>
      </c>
      <c r="G54" t="s">
        <v>111</v>
      </c>
      <c r="H54" s="54" t="s">
        <v>112</v>
      </c>
      <c r="I54">
        <v>2.4E-2</v>
      </c>
      <c r="J54" s="11">
        <f t="shared" si="0"/>
        <v>202607</v>
      </c>
      <c r="K54" s="19" t="str">
        <f t="shared" si="1"/>
        <v>يوليو 2026</v>
      </c>
      <c r="L54" s="19" t="str">
        <f t="shared" si="2"/>
        <v>✅ جاهز</v>
      </c>
      <c r="N54" s="11">
        <f t="shared" si="3"/>
        <v>202607</v>
      </c>
      <c r="O54" s="19" t="str">
        <f t="shared" si="4"/>
        <v>يوليو 2026</v>
      </c>
      <c r="P54" s="19" t="str">
        <f t="shared" si="5"/>
        <v>ماء مالح خام</v>
      </c>
      <c r="Q54" s="55">
        <f t="shared" si="6"/>
        <v>975</v>
      </c>
      <c r="R54" s="55">
        <f t="shared" si="7"/>
        <v>2.4E-2</v>
      </c>
      <c r="S54" s="19" t="str">
        <f t="shared" si="8"/>
        <v>دولار أمريكي</v>
      </c>
    </row>
    <row r="55" spans="1:19">
      <c r="A55" s="54" t="s">
        <v>131</v>
      </c>
      <c r="B55">
        <v>3</v>
      </c>
      <c r="C55">
        <v>0</v>
      </c>
      <c r="D55">
        <v>0</v>
      </c>
      <c r="E55">
        <v>0</v>
      </c>
      <c r="F55" s="54" t="s">
        <v>63</v>
      </c>
      <c r="G55" t="s">
        <v>111</v>
      </c>
      <c r="H55" s="54" t="s">
        <v>115</v>
      </c>
      <c r="I55">
        <v>3</v>
      </c>
      <c r="J55" s="11">
        <f t="shared" si="0"/>
        <v>202607</v>
      </c>
      <c r="K55" s="19" t="str">
        <f t="shared" si="1"/>
        <v>يوليو 2026</v>
      </c>
      <c r="L55" s="19" t="str">
        <f t="shared" si="2"/>
        <v>✅ جاهز</v>
      </c>
      <c r="N55" s="11">
        <f t="shared" si="3"/>
        <v>202607</v>
      </c>
      <c r="O55" s="19" t="str">
        <f t="shared" si="4"/>
        <v>يوليو 2026</v>
      </c>
      <c r="P55" s="19" t="str">
        <f t="shared" si="5"/>
        <v xml:space="preserve">ماء بلسم </v>
      </c>
      <c r="Q55" s="55">
        <f t="shared" si="6"/>
        <v>3</v>
      </c>
      <c r="R55" s="55">
        <f t="shared" si="7"/>
        <v>3</v>
      </c>
      <c r="S55" s="19" t="str">
        <f t="shared" si="8"/>
        <v>دولار أمريكي</v>
      </c>
    </row>
    <row r="56" spans="1:19">
      <c r="A56" s="54" t="s">
        <v>219</v>
      </c>
      <c r="B56">
        <v>0.67</v>
      </c>
      <c r="C56">
        <v>216000</v>
      </c>
      <c r="D56">
        <v>216000</v>
      </c>
      <c r="E56">
        <v>216000</v>
      </c>
      <c r="F56" s="54" t="s">
        <v>62</v>
      </c>
      <c r="G56" t="s">
        <v>111</v>
      </c>
      <c r="H56" s="54" t="s">
        <v>139</v>
      </c>
      <c r="I56">
        <v>156000</v>
      </c>
      <c r="J56" s="11">
        <f t="shared" si="0"/>
        <v>202607</v>
      </c>
      <c r="K56" s="19" t="str">
        <f t="shared" si="1"/>
        <v>يوليو 2026</v>
      </c>
      <c r="L56" s="19" t="str">
        <f t="shared" si="2"/>
        <v>✅ جاهز</v>
      </c>
      <c r="N56" s="11">
        <f t="shared" si="3"/>
        <v>202607</v>
      </c>
      <c r="O56" s="19" t="str">
        <f t="shared" si="4"/>
        <v>يوليو 2026</v>
      </c>
      <c r="P56" s="19" t="str">
        <f t="shared" si="5"/>
        <v xml:space="preserve">ليف جلي ثلاثية </v>
      </c>
      <c r="Q56" s="55">
        <f t="shared" si="6"/>
        <v>0.67</v>
      </c>
      <c r="R56" s="55">
        <f t="shared" si="7"/>
        <v>156000</v>
      </c>
      <c r="S56" s="19" t="str">
        <f t="shared" si="8"/>
        <v>ليرة سورية</v>
      </c>
    </row>
    <row r="57" spans="1:19" ht="25.5" customHeight="1">
      <c r="A57" s="54" t="s">
        <v>220</v>
      </c>
      <c r="B57">
        <v>6</v>
      </c>
      <c r="C57">
        <v>100000</v>
      </c>
      <c r="D57">
        <v>100000</v>
      </c>
      <c r="E57">
        <v>100000</v>
      </c>
      <c r="F57" s="54" t="s">
        <v>62</v>
      </c>
      <c r="G57" t="s">
        <v>111</v>
      </c>
      <c r="H57" s="54" t="s">
        <v>139</v>
      </c>
      <c r="I57">
        <v>90000</v>
      </c>
      <c r="J57" s="11">
        <f t="shared" si="0"/>
        <v>202607</v>
      </c>
      <c r="K57" s="19" t="str">
        <f t="shared" si="1"/>
        <v>يوليو 2026</v>
      </c>
      <c r="L57" s="19" t="str">
        <f t="shared" si="2"/>
        <v>✅ جاهز</v>
      </c>
      <c r="N57" s="11">
        <f t="shared" si="3"/>
        <v>202607</v>
      </c>
      <c r="O57" s="19" t="str">
        <f t="shared" si="4"/>
        <v>يوليو 2026</v>
      </c>
      <c r="P57" s="19" t="str">
        <f t="shared" si="5"/>
        <v>ليف اسفنج</v>
      </c>
      <c r="Q57" s="55">
        <f t="shared" si="6"/>
        <v>6</v>
      </c>
      <c r="R57" s="55">
        <f t="shared" si="7"/>
        <v>90000</v>
      </c>
      <c r="S57" s="19" t="str">
        <f t="shared" si="8"/>
        <v>ليرة سورية</v>
      </c>
    </row>
    <row r="58" spans="1:19" ht="25.5" customHeight="1">
      <c r="A58" s="54" t="s">
        <v>221</v>
      </c>
      <c r="B58">
        <v>0</v>
      </c>
      <c r="C58">
        <v>170000</v>
      </c>
      <c r="D58">
        <v>170000</v>
      </c>
      <c r="E58">
        <v>170000</v>
      </c>
      <c r="F58" s="54" t="s">
        <v>62</v>
      </c>
      <c r="G58" t="s">
        <v>111</v>
      </c>
      <c r="H58" t="s">
        <v>139</v>
      </c>
      <c r="I58">
        <v>82000</v>
      </c>
      <c r="J58" s="11">
        <f t="shared" si="0"/>
        <v>202607</v>
      </c>
      <c r="K58" s="19" t="str">
        <f t="shared" si="1"/>
        <v>يوليو 2026</v>
      </c>
      <c r="L58" s="19" t="str">
        <f t="shared" si="2"/>
        <v>⚠️ كمية مفقودة/صفر</v>
      </c>
      <c r="N58" s="11">
        <f t="shared" si="3"/>
        <v>202607</v>
      </c>
      <c r="O58" s="19" t="str">
        <f t="shared" si="4"/>
        <v>يوليو 2026</v>
      </c>
      <c r="P58" s="19" t="str">
        <f t="shared" si="5"/>
        <v>لوح صابون مسك</v>
      </c>
      <c r="Q58" s="55">
        <f t="shared" si="6"/>
        <v>0</v>
      </c>
      <c r="R58" s="55">
        <f t="shared" si="7"/>
        <v>82000</v>
      </c>
      <c r="S58" s="19" t="str">
        <f t="shared" si="8"/>
        <v>ليرة سورية</v>
      </c>
    </row>
    <row r="59" spans="1:19" ht="25.5" customHeight="1">
      <c r="A59" s="54" t="s">
        <v>222</v>
      </c>
      <c r="B59">
        <v>0</v>
      </c>
      <c r="C59">
        <v>0</v>
      </c>
      <c r="D59">
        <v>0</v>
      </c>
      <c r="E59">
        <v>0</v>
      </c>
      <c r="F59" s="54" t="s">
        <v>62</v>
      </c>
      <c r="G59" t="s">
        <v>111</v>
      </c>
      <c r="H59" s="54" t="s">
        <v>115</v>
      </c>
      <c r="I59">
        <v>275</v>
      </c>
      <c r="J59" s="11">
        <f t="shared" si="0"/>
        <v>202607</v>
      </c>
      <c r="K59" s="19" t="str">
        <f t="shared" si="1"/>
        <v>يوليو 2026</v>
      </c>
      <c r="L59" s="19" t="str">
        <f t="shared" si="2"/>
        <v>⚠️ كمية مفقودة/صفر</v>
      </c>
      <c r="N59" s="11">
        <f t="shared" si="3"/>
        <v>202607</v>
      </c>
      <c r="O59" s="19" t="str">
        <f t="shared" si="4"/>
        <v>يوليو 2026</v>
      </c>
      <c r="P59" s="19" t="str">
        <f t="shared" si="5"/>
        <v>لصاقة طابعة</v>
      </c>
      <c r="Q59" s="55">
        <f t="shared" si="6"/>
        <v>0</v>
      </c>
      <c r="R59" s="55">
        <f t="shared" si="7"/>
        <v>275</v>
      </c>
      <c r="S59" s="19" t="str">
        <f t="shared" si="8"/>
        <v>ليرة سورية</v>
      </c>
    </row>
    <row r="60" spans="1:19" ht="25.5" customHeight="1">
      <c r="A60" s="54" t="s">
        <v>272</v>
      </c>
      <c r="B60">
        <v>0</v>
      </c>
      <c r="C60">
        <v>0</v>
      </c>
      <c r="D60">
        <v>0</v>
      </c>
      <c r="E60">
        <v>0</v>
      </c>
      <c r="F60" s="54" t="s">
        <v>63</v>
      </c>
      <c r="G60" t="s">
        <v>111</v>
      </c>
      <c r="H60" s="54" t="s">
        <v>115</v>
      </c>
      <c r="I60">
        <v>3.5</v>
      </c>
      <c r="J60" s="11">
        <f t="shared" si="0"/>
        <v>202607</v>
      </c>
      <c r="K60" s="19" t="str">
        <f t="shared" si="1"/>
        <v>يوليو 2026</v>
      </c>
      <c r="L60" s="19" t="str">
        <f t="shared" si="2"/>
        <v>⚠️ كمية مفقودة/صفر</v>
      </c>
      <c r="N60" s="11">
        <f t="shared" si="3"/>
        <v>202607</v>
      </c>
      <c r="O60" s="19" t="str">
        <f t="shared" si="4"/>
        <v>يوليو 2026</v>
      </c>
      <c r="P60" s="19" t="str">
        <f t="shared" si="5"/>
        <v>لانيت 16 ماليزي</v>
      </c>
      <c r="Q60" s="55">
        <f t="shared" si="6"/>
        <v>0</v>
      </c>
      <c r="R60" s="55">
        <f t="shared" si="7"/>
        <v>3.5</v>
      </c>
      <c r="S60" s="19" t="str">
        <f t="shared" si="8"/>
        <v>دولار أمريكي</v>
      </c>
    </row>
    <row r="61" spans="1:19">
      <c r="A61" s="54" t="s">
        <v>223</v>
      </c>
      <c r="B61">
        <v>0</v>
      </c>
      <c r="C61">
        <v>0</v>
      </c>
      <c r="D61">
        <v>0</v>
      </c>
      <c r="E61">
        <v>0</v>
      </c>
      <c r="F61" s="54" t="s">
        <v>62</v>
      </c>
      <c r="G61" t="s">
        <v>111</v>
      </c>
      <c r="H61" s="54" t="s">
        <v>139</v>
      </c>
      <c r="I61">
        <v>0</v>
      </c>
      <c r="J61" s="11">
        <f t="shared" si="0"/>
        <v>202607</v>
      </c>
      <c r="K61" s="19" t="str">
        <f t="shared" si="1"/>
        <v>يوليو 2026</v>
      </c>
      <c r="L61" s="19" t="str">
        <f t="shared" si="2"/>
        <v>⚠️ كمية مفقودة/صفر</v>
      </c>
      <c r="N61" s="11">
        <f t="shared" si="3"/>
        <v>202607</v>
      </c>
      <c r="O61" s="19" t="str">
        <f t="shared" si="4"/>
        <v>يوليو 2026</v>
      </c>
      <c r="P61" s="19" t="str">
        <f t="shared" si="5"/>
        <v>لاصق</v>
      </c>
      <c r="Q61" s="55">
        <f t="shared" si="6"/>
        <v>0</v>
      </c>
      <c r="R61" s="55">
        <f t="shared" si="7"/>
        <v>0</v>
      </c>
      <c r="S61" s="19" t="str">
        <f t="shared" si="8"/>
        <v>ليرة سورية</v>
      </c>
    </row>
    <row r="62" spans="1:19" ht="25.5" customHeight="1">
      <c r="A62" s="54" t="s">
        <v>224</v>
      </c>
      <c r="B62">
        <v>2</v>
      </c>
      <c r="C62">
        <v>30000</v>
      </c>
      <c r="D62">
        <v>30000</v>
      </c>
      <c r="E62">
        <v>30000</v>
      </c>
      <c r="F62" s="54" t="s">
        <v>62</v>
      </c>
      <c r="G62" t="s">
        <v>111</v>
      </c>
      <c r="H62" s="54" t="s">
        <v>139</v>
      </c>
      <c r="I62">
        <v>20000</v>
      </c>
      <c r="J62" s="11">
        <f t="shared" si="0"/>
        <v>202607</v>
      </c>
      <c r="K62" s="19" t="str">
        <f t="shared" si="1"/>
        <v>يوليو 2026</v>
      </c>
      <c r="L62" s="19" t="str">
        <f t="shared" si="2"/>
        <v>✅ جاهز</v>
      </c>
      <c r="N62" s="11">
        <f t="shared" si="3"/>
        <v>202607</v>
      </c>
      <c r="O62" s="19" t="str">
        <f t="shared" si="4"/>
        <v>يوليو 2026</v>
      </c>
      <c r="P62" s="19" t="str">
        <f t="shared" si="5"/>
        <v>كياس نايلون</v>
      </c>
      <c r="Q62" s="55">
        <f t="shared" si="6"/>
        <v>2</v>
      </c>
      <c r="R62" s="55">
        <f t="shared" si="7"/>
        <v>20000</v>
      </c>
      <c r="S62" s="19" t="str">
        <f t="shared" si="8"/>
        <v>ليرة سورية</v>
      </c>
    </row>
    <row r="63" spans="1:19" ht="25.5" customHeight="1">
      <c r="A63" s="54" t="s">
        <v>225</v>
      </c>
      <c r="B63">
        <v>0</v>
      </c>
      <c r="C63">
        <v>0</v>
      </c>
      <c r="D63">
        <v>0</v>
      </c>
      <c r="E63">
        <v>0</v>
      </c>
      <c r="F63" s="54" t="s">
        <v>62</v>
      </c>
      <c r="G63" t="s">
        <v>111</v>
      </c>
      <c r="H63" s="54" t="s">
        <v>139</v>
      </c>
      <c r="I63">
        <v>22500</v>
      </c>
      <c r="J63" s="11">
        <f t="shared" si="0"/>
        <v>202607</v>
      </c>
      <c r="K63" s="19" t="str">
        <f t="shared" si="1"/>
        <v>يوليو 2026</v>
      </c>
      <c r="L63" s="19" t="str">
        <f t="shared" si="2"/>
        <v>⚠️ كمية مفقودة/صفر</v>
      </c>
      <c r="N63" s="11">
        <f t="shared" si="3"/>
        <v>202607</v>
      </c>
      <c r="O63" s="19" t="str">
        <f t="shared" si="4"/>
        <v>يوليو 2026</v>
      </c>
      <c r="P63" s="19" t="str">
        <f t="shared" si="5"/>
        <v>كياس قمامة</v>
      </c>
      <c r="Q63" s="55">
        <f t="shared" si="6"/>
        <v>0</v>
      </c>
      <c r="R63" s="55">
        <f t="shared" si="7"/>
        <v>22500</v>
      </c>
      <c r="S63" s="19" t="str">
        <f t="shared" si="8"/>
        <v>ليرة سورية</v>
      </c>
    </row>
    <row r="64" spans="1:19">
      <c r="A64" s="54" t="s">
        <v>273</v>
      </c>
      <c r="B64">
        <v>26.76</v>
      </c>
      <c r="C64">
        <v>0</v>
      </c>
      <c r="D64">
        <v>0</v>
      </c>
      <c r="E64">
        <v>0</v>
      </c>
      <c r="F64" s="54" t="s">
        <v>63</v>
      </c>
      <c r="G64" t="s">
        <v>111</v>
      </c>
      <c r="H64" s="54" t="s">
        <v>115</v>
      </c>
      <c r="I64">
        <v>18.75</v>
      </c>
      <c r="J64" s="11">
        <f t="shared" si="0"/>
        <v>202607</v>
      </c>
      <c r="K64" s="19" t="str">
        <f t="shared" si="1"/>
        <v>يوليو 2026</v>
      </c>
      <c r="L64" s="19" t="str">
        <f t="shared" si="2"/>
        <v>✅ جاهز</v>
      </c>
      <c r="N64" s="11">
        <f t="shared" si="3"/>
        <v>202607</v>
      </c>
      <c r="O64" s="19" t="str">
        <f t="shared" si="4"/>
        <v>يوليو 2026</v>
      </c>
      <c r="P64" s="19" t="str">
        <f t="shared" si="5"/>
        <v>كوستيك-قطرونة</v>
      </c>
      <c r="Q64" s="55">
        <f t="shared" si="6"/>
        <v>26.76</v>
      </c>
      <c r="R64" s="55">
        <f t="shared" si="7"/>
        <v>18.75</v>
      </c>
      <c r="S64" s="19" t="str">
        <f t="shared" si="8"/>
        <v>دولار أمريكي</v>
      </c>
    </row>
    <row r="65" spans="1:19" ht="25.5" customHeight="1">
      <c r="A65" s="54" t="s">
        <v>132</v>
      </c>
      <c r="B65">
        <v>0</v>
      </c>
      <c r="C65">
        <v>0</v>
      </c>
      <c r="D65">
        <v>0</v>
      </c>
      <c r="E65">
        <v>0</v>
      </c>
      <c r="F65" s="54" t="s">
        <v>63</v>
      </c>
      <c r="G65" t="s">
        <v>111</v>
      </c>
      <c r="H65" s="54" t="s">
        <v>115</v>
      </c>
      <c r="I65">
        <v>2.25</v>
      </c>
      <c r="J65" s="11">
        <f t="shared" si="0"/>
        <v>202607</v>
      </c>
      <c r="K65" s="19" t="str">
        <f t="shared" si="1"/>
        <v>يوليو 2026</v>
      </c>
      <c r="L65" s="19" t="str">
        <f t="shared" si="2"/>
        <v>⚠️ كمية مفقودة/صفر</v>
      </c>
      <c r="N65" s="11">
        <f t="shared" si="3"/>
        <v>202607</v>
      </c>
      <c r="O65" s="19" t="str">
        <f t="shared" si="4"/>
        <v>يوليو 2026</v>
      </c>
      <c r="P65" s="19" t="str">
        <f t="shared" si="5"/>
        <v>كمبرلان</v>
      </c>
      <c r="Q65" s="55">
        <f t="shared" si="6"/>
        <v>0</v>
      </c>
      <c r="R65" s="55">
        <f t="shared" si="7"/>
        <v>2.25</v>
      </c>
      <c r="S65" s="19" t="str">
        <f t="shared" si="8"/>
        <v>دولار أمريكي</v>
      </c>
    </row>
    <row r="66" spans="1:19">
      <c r="A66" s="54" t="s">
        <v>226</v>
      </c>
      <c r="B66">
        <v>138</v>
      </c>
      <c r="C66">
        <v>13000</v>
      </c>
      <c r="D66">
        <v>13000</v>
      </c>
      <c r="E66">
        <v>13000</v>
      </c>
      <c r="F66" s="54" t="s">
        <v>62</v>
      </c>
      <c r="G66" t="s">
        <v>111</v>
      </c>
      <c r="H66" s="54" t="s">
        <v>139</v>
      </c>
      <c r="I66">
        <v>11000</v>
      </c>
      <c r="J66" s="11">
        <f t="shared" si="0"/>
        <v>202607</v>
      </c>
      <c r="K66" s="19" t="str">
        <f t="shared" si="1"/>
        <v>يوليو 2026</v>
      </c>
      <c r="L66" s="19" t="str">
        <f t="shared" si="2"/>
        <v>✅ جاهز</v>
      </c>
      <c r="N66" s="11">
        <f t="shared" si="3"/>
        <v>202607</v>
      </c>
      <c r="O66" s="19" t="str">
        <f t="shared" si="4"/>
        <v>يوليو 2026</v>
      </c>
      <c r="P66" s="19" t="str">
        <f t="shared" si="5"/>
        <v>كمامات</v>
      </c>
      <c r="Q66" s="55">
        <f t="shared" si="6"/>
        <v>138</v>
      </c>
      <c r="R66" s="55">
        <f t="shared" si="7"/>
        <v>11000</v>
      </c>
      <c r="S66" s="19" t="str">
        <f t="shared" si="8"/>
        <v>ليرة سورية</v>
      </c>
    </row>
    <row r="67" spans="1:19">
      <c r="A67" s="54" t="s">
        <v>133</v>
      </c>
      <c r="B67">
        <v>0</v>
      </c>
      <c r="C67">
        <v>0</v>
      </c>
      <c r="D67">
        <v>0</v>
      </c>
      <c r="E67">
        <v>0</v>
      </c>
      <c r="F67" s="54" t="s">
        <v>63</v>
      </c>
      <c r="G67" t="s">
        <v>111</v>
      </c>
      <c r="H67" s="54" t="s">
        <v>115</v>
      </c>
      <c r="I67">
        <v>17.8</v>
      </c>
      <c r="J67" s="11">
        <f t="shared" si="0"/>
        <v>202607</v>
      </c>
      <c r="K67" s="19" t="str">
        <f t="shared" si="1"/>
        <v>يوليو 2026</v>
      </c>
      <c r="L67" s="19" t="str">
        <f t="shared" si="2"/>
        <v>⚠️ كمية مفقودة/صفر</v>
      </c>
      <c r="N67" s="11">
        <f t="shared" si="3"/>
        <v>202607</v>
      </c>
      <c r="O67" s="19" t="str">
        <f t="shared" si="4"/>
        <v>يوليو 2026</v>
      </c>
      <c r="P67" s="19" t="str">
        <f t="shared" si="5"/>
        <v>كليمازول</v>
      </c>
      <c r="Q67" s="55">
        <f t="shared" si="6"/>
        <v>0</v>
      </c>
      <c r="R67" s="55">
        <f t="shared" si="7"/>
        <v>17.8</v>
      </c>
      <c r="S67" s="19" t="str">
        <f t="shared" si="8"/>
        <v>دولار أمريكي</v>
      </c>
    </row>
    <row r="68" spans="1:19" ht="25.5" customHeight="1">
      <c r="A68" s="54" t="s">
        <v>134</v>
      </c>
      <c r="B68">
        <v>1807</v>
      </c>
      <c r="C68">
        <v>0.35</v>
      </c>
      <c r="D68">
        <v>0.35</v>
      </c>
      <c r="E68">
        <v>0.35</v>
      </c>
      <c r="F68" s="54" t="s">
        <v>63</v>
      </c>
      <c r="G68" t="s">
        <v>111</v>
      </c>
      <c r="H68" s="54" t="s">
        <v>115</v>
      </c>
      <c r="I68">
        <v>0.21</v>
      </c>
      <c r="J68" s="11">
        <f t="shared" si="0"/>
        <v>202607</v>
      </c>
      <c r="K68" s="19" t="str">
        <f t="shared" si="1"/>
        <v>يوليو 2026</v>
      </c>
      <c r="L68" s="19" t="str">
        <f t="shared" si="2"/>
        <v>✅ جاهز</v>
      </c>
      <c r="N68" s="11">
        <f t="shared" si="3"/>
        <v>202607</v>
      </c>
      <c r="O68" s="19" t="str">
        <f t="shared" si="4"/>
        <v>يوليو 2026</v>
      </c>
      <c r="P68" s="19" t="str">
        <f t="shared" si="5"/>
        <v>كلور خام</v>
      </c>
      <c r="Q68" s="55">
        <f t="shared" si="6"/>
        <v>1807</v>
      </c>
      <c r="R68" s="55">
        <f t="shared" si="7"/>
        <v>0.21</v>
      </c>
      <c r="S68" s="19" t="str">
        <f t="shared" si="8"/>
        <v>دولار أمريكي</v>
      </c>
    </row>
    <row r="69" spans="1:19" ht="25.5" customHeight="1">
      <c r="A69" s="54" t="s">
        <v>319</v>
      </c>
      <c r="B69">
        <v>31</v>
      </c>
      <c r="C69">
        <v>16000</v>
      </c>
      <c r="D69">
        <v>16000</v>
      </c>
      <c r="E69">
        <v>16000</v>
      </c>
      <c r="F69" s="54" t="s">
        <v>62</v>
      </c>
      <c r="G69" t="s">
        <v>111</v>
      </c>
      <c r="H69" s="54" t="s">
        <v>139</v>
      </c>
      <c r="I69">
        <v>5700</v>
      </c>
      <c r="J69" s="11">
        <f t="shared" si="0"/>
        <v>202607</v>
      </c>
      <c r="K69" s="19" t="str">
        <f t="shared" si="1"/>
        <v>يوليو 2026</v>
      </c>
      <c r="L69" s="19" t="str">
        <f t="shared" si="2"/>
        <v>✅ جاهز</v>
      </c>
      <c r="N69" s="11">
        <f t="shared" si="3"/>
        <v>202607</v>
      </c>
      <c r="O69" s="19" t="str">
        <f t="shared" si="4"/>
        <v>يوليو 2026</v>
      </c>
      <c r="P69" s="19" t="str">
        <f t="shared" si="5"/>
        <v>كلور 4 لتر</v>
      </c>
      <c r="Q69" s="55">
        <f t="shared" si="6"/>
        <v>31</v>
      </c>
      <c r="R69" s="55">
        <f t="shared" si="7"/>
        <v>5700</v>
      </c>
      <c r="S69" s="19" t="str">
        <f t="shared" si="8"/>
        <v>ليرة سورية</v>
      </c>
    </row>
    <row r="70" spans="1:19" ht="25.5" customHeight="1">
      <c r="A70" s="54" t="s">
        <v>320</v>
      </c>
      <c r="B70">
        <v>113</v>
      </c>
      <c r="C70">
        <v>50000</v>
      </c>
      <c r="D70">
        <v>50000</v>
      </c>
      <c r="E70">
        <v>50000</v>
      </c>
      <c r="F70" s="54" t="s">
        <v>62</v>
      </c>
      <c r="G70" t="s">
        <v>111</v>
      </c>
      <c r="H70" s="54" t="s">
        <v>139</v>
      </c>
      <c r="I70">
        <v>38400</v>
      </c>
      <c r="J70" s="11">
        <f t="shared" si="0"/>
        <v>202607</v>
      </c>
      <c r="K70" s="19" t="str">
        <f t="shared" si="1"/>
        <v>يوليو 2026</v>
      </c>
      <c r="L70" s="19" t="str">
        <f t="shared" si="2"/>
        <v>✅ جاهز</v>
      </c>
      <c r="N70" s="11">
        <f t="shared" si="3"/>
        <v>202607</v>
      </c>
      <c r="O70" s="19" t="str">
        <f t="shared" si="4"/>
        <v>يوليو 2026</v>
      </c>
      <c r="P70" s="19" t="str">
        <f t="shared" si="5"/>
        <v>كلور 1 لتر</v>
      </c>
      <c r="Q70" s="55">
        <f t="shared" si="6"/>
        <v>113</v>
      </c>
      <c r="R70" s="55">
        <f t="shared" si="7"/>
        <v>38400</v>
      </c>
      <c r="S70" s="19" t="str">
        <f t="shared" si="8"/>
        <v>ليرة سورية</v>
      </c>
    </row>
    <row r="71" spans="1:19" ht="25.5" customHeight="1">
      <c r="A71" s="54" t="s">
        <v>321</v>
      </c>
      <c r="B71">
        <v>776</v>
      </c>
      <c r="C71">
        <v>4500</v>
      </c>
      <c r="D71">
        <v>4500</v>
      </c>
      <c r="E71">
        <v>4500</v>
      </c>
      <c r="F71" s="54" t="s">
        <v>62</v>
      </c>
      <c r="G71" t="s">
        <v>111</v>
      </c>
      <c r="H71" s="54" t="s">
        <v>139</v>
      </c>
      <c r="I71">
        <v>680</v>
      </c>
      <c r="J71" s="11">
        <f t="shared" ref="J71:J134" si="9">IF($B$3="","",$B$3)</f>
        <v>202607</v>
      </c>
      <c r="K71" s="19" t="str">
        <f t="shared" ref="K71:K134" si="10">IF($B$4="","",$B$4)</f>
        <v>يوليو 2026</v>
      </c>
      <c r="L71" s="19" t="str">
        <f t="shared" ref="L71:L134" si="11">IF(A71="","",IF(OR(B71="",B71=0),"⚠️ كمية مفقودة/صفر",IF(I71="","⚠️ سعر شراء مفقود",IF(F71="","⚠️ عملة مفقودة",IF(COUNTIF($A$7:$A$505,A71)&gt;1,"⚠️ مادة مكررة بالقائمة","✅ جاهز")))))</f>
        <v>✅ جاهز</v>
      </c>
      <c r="N71" s="11">
        <f t="shared" ref="N71:N134" si="12">J71</f>
        <v>202607</v>
      </c>
      <c r="O71" s="19" t="str">
        <f t="shared" ref="O71:O134" si="13">K71</f>
        <v>يوليو 2026</v>
      </c>
      <c r="P71" s="19" t="str">
        <f t="shared" ref="P71:P134" si="14">A71</f>
        <v xml:space="preserve">كلور / فرط </v>
      </c>
      <c r="Q71" s="55">
        <f t="shared" ref="Q71:Q134" si="15">B71</f>
        <v>776</v>
      </c>
      <c r="R71" s="55">
        <f t="shared" ref="R71:R134" si="16">I71</f>
        <v>680</v>
      </c>
      <c r="S71" s="19" t="str">
        <f t="shared" ref="S71:S134" si="17">F71</f>
        <v>ليرة سورية</v>
      </c>
    </row>
    <row r="72" spans="1:19">
      <c r="A72" s="54" t="s">
        <v>227</v>
      </c>
      <c r="B72">
        <v>0</v>
      </c>
      <c r="C72">
        <v>370000</v>
      </c>
      <c r="D72">
        <v>370000</v>
      </c>
      <c r="E72">
        <v>330000</v>
      </c>
      <c r="F72" s="54" t="s">
        <v>62</v>
      </c>
      <c r="G72" t="s">
        <v>111</v>
      </c>
      <c r="H72" s="54" t="s">
        <v>139</v>
      </c>
      <c r="I72">
        <v>320000</v>
      </c>
      <c r="J72" s="11">
        <f t="shared" si="9"/>
        <v>202607</v>
      </c>
      <c r="K72" s="19" t="str">
        <f t="shared" si="10"/>
        <v>يوليو 2026</v>
      </c>
      <c r="L72" s="19" t="str">
        <f t="shared" si="11"/>
        <v>⚠️ كمية مفقودة/صفر</v>
      </c>
      <c r="N72" s="11">
        <f t="shared" si="12"/>
        <v>202607</v>
      </c>
      <c r="O72" s="19" t="str">
        <f t="shared" si="13"/>
        <v>يوليو 2026</v>
      </c>
      <c r="P72" s="19" t="str">
        <f t="shared" si="14"/>
        <v>كفوف نايلون</v>
      </c>
      <c r="Q72" s="55">
        <f t="shared" si="15"/>
        <v>0</v>
      </c>
      <c r="R72" s="55">
        <f t="shared" si="16"/>
        <v>320000</v>
      </c>
      <c r="S72" s="19" t="str">
        <f t="shared" si="17"/>
        <v>ليرة سورية</v>
      </c>
    </row>
    <row r="73" spans="1:19" ht="25.5" customHeight="1">
      <c r="A73" s="54" t="s">
        <v>228</v>
      </c>
      <c r="B73">
        <v>2.42</v>
      </c>
      <c r="C73">
        <v>576000</v>
      </c>
      <c r="D73">
        <v>576000</v>
      </c>
      <c r="E73">
        <v>576000</v>
      </c>
      <c r="F73" s="54" t="s">
        <v>62</v>
      </c>
      <c r="G73" t="s">
        <v>111</v>
      </c>
      <c r="H73" s="54" t="s">
        <v>139</v>
      </c>
      <c r="I73">
        <v>300000</v>
      </c>
      <c r="J73" s="11">
        <f t="shared" si="9"/>
        <v>202607</v>
      </c>
      <c r="K73" s="19" t="str">
        <f t="shared" si="10"/>
        <v>يوليو 2026</v>
      </c>
      <c r="L73" s="19" t="str">
        <f t="shared" si="11"/>
        <v>✅ جاهز</v>
      </c>
      <c r="N73" s="11">
        <f t="shared" si="12"/>
        <v>202607</v>
      </c>
      <c r="O73" s="19" t="str">
        <f t="shared" si="13"/>
        <v>يوليو 2026</v>
      </c>
      <c r="P73" s="19" t="str">
        <f t="shared" si="14"/>
        <v>كفوف طبية</v>
      </c>
      <c r="Q73" s="55">
        <f t="shared" si="15"/>
        <v>2.42</v>
      </c>
      <c r="R73" s="55">
        <f t="shared" si="16"/>
        <v>300000</v>
      </c>
      <c r="S73" s="19" t="str">
        <f t="shared" si="17"/>
        <v>ليرة سورية</v>
      </c>
    </row>
    <row r="74" spans="1:19">
      <c r="A74" s="54" t="s">
        <v>229</v>
      </c>
      <c r="B74">
        <v>0.42</v>
      </c>
      <c r="C74">
        <v>300000</v>
      </c>
      <c r="D74">
        <v>300000</v>
      </c>
      <c r="E74">
        <v>300000</v>
      </c>
      <c r="F74" s="54" t="s">
        <v>62</v>
      </c>
      <c r="G74" t="s">
        <v>111</v>
      </c>
      <c r="H74" s="54" t="s">
        <v>139</v>
      </c>
      <c r="I74">
        <v>152000</v>
      </c>
      <c r="J74" s="11">
        <f t="shared" si="9"/>
        <v>202607</v>
      </c>
      <c r="K74" s="19" t="str">
        <f t="shared" si="10"/>
        <v>يوليو 2026</v>
      </c>
      <c r="L74" s="19" t="str">
        <f t="shared" si="11"/>
        <v>✅ جاهز</v>
      </c>
      <c r="N74" s="11">
        <f t="shared" si="12"/>
        <v>202607</v>
      </c>
      <c r="O74" s="19" t="str">
        <f t="shared" si="13"/>
        <v>يوليو 2026</v>
      </c>
      <c r="P74" s="19" t="str">
        <f t="shared" si="14"/>
        <v>كفوف صناعية</v>
      </c>
      <c r="Q74" s="55">
        <f t="shared" si="15"/>
        <v>0.42</v>
      </c>
      <c r="R74" s="55">
        <f t="shared" si="16"/>
        <v>152000</v>
      </c>
      <c r="S74" s="19" t="str">
        <f t="shared" si="17"/>
        <v>ليرة سورية</v>
      </c>
    </row>
    <row r="75" spans="1:19" ht="25.5" customHeight="1">
      <c r="A75" s="54" t="s">
        <v>230</v>
      </c>
      <c r="B75">
        <v>0</v>
      </c>
      <c r="C75">
        <v>25000</v>
      </c>
      <c r="D75">
        <v>25000</v>
      </c>
      <c r="E75">
        <v>25000</v>
      </c>
      <c r="F75" s="54" t="s">
        <v>62</v>
      </c>
      <c r="G75" t="s">
        <v>111</v>
      </c>
      <c r="H75" s="54" t="s">
        <v>139</v>
      </c>
      <c r="I75">
        <v>0</v>
      </c>
      <c r="J75" s="11">
        <f t="shared" si="9"/>
        <v>202607</v>
      </c>
      <c r="K75" s="19" t="str">
        <f t="shared" si="10"/>
        <v>يوليو 2026</v>
      </c>
      <c r="L75" s="19" t="str">
        <f t="shared" si="11"/>
        <v>⚠️ كمية مفقودة/صفر</v>
      </c>
      <c r="N75" s="11">
        <f t="shared" si="12"/>
        <v>202607</v>
      </c>
      <c r="O75" s="19" t="str">
        <f t="shared" si="13"/>
        <v>يوليو 2026</v>
      </c>
      <c r="P75" s="19" t="str">
        <f t="shared" si="14"/>
        <v>كفوف جلي</v>
      </c>
      <c r="Q75" s="55">
        <f t="shared" si="15"/>
        <v>0</v>
      </c>
      <c r="R75" s="55">
        <f t="shared" si="16"/>
        <v>0</v>
      </c>
      <c r="S75" s="19" t="str">
        <f t="shared" si="17"/>
        <v>ليرة سورية</v>
      </c>
    </row>
    <row r="76" spans="1:19" ht="25.5" customHeight="1">
      <c r="A76" s="54" t="s">
        <v>231</v>
      </c>
      <c r="B76">
        <v>4</v>
      </c>
      <c r="C76">
        <v>0</v>
      </c>
      <c r="D76">
        <v>0</v>
      </c>
      <c r="E76">
        <v>0</v>
      </c>
      <c r="F76" s="54" t="s">
        <v>62</v>
      </c>
      <c r="G76" t="s">
        <v>111</v>
      </c>
      <c r="H76" s="54" t="s">
        <v>115</v>
      </c>
      <c r="I76">
        <v>10000</v>
      </c>
      <c r="J76" s="11">
        <f t="shared" si="9"/>
        <v>202607</v>
      </c>
      <c r="K76" s="19" t="str">
        <f t="shared" si="10"/>
        <v>يوليو 2026</v>
      </c>
      <c r="L76" s="19" t="str">
        <f t="shared" si="11"/>
        <v>✅ جاهز</v>
      </c>
      <c r="N76" s="11">
        <f t="shared" si="12"/>
        <v>202607</v>
      </c>
      <c r="O76" s="19" t="str">
        <f t="shared" si="13"/>
        <v>يوليو 2026</v>
      </c>
      <c r="P76" s="19" t="str">
        <f t="shared" si="14"/>
        <v>كريك بلاستيك</v>
      </c>
      <c r="Q76" s="55">
        <f t="shared" si="15"/>
        <v>4</v>
      </c>
      <c r="R76" s="55">
        <f t="shared" si="16"/>
        <v>10000</v>
      </c>
      <c r="S76" s="19" t="str">
        <f t="shared" si="17"/>
        <v>ليرة سورية</v>
      </c>
    </row>
    <row r="77" spans="1:19" ht="25.5" customHeight="1">
      <c r="A77" s="54" t="s">
        <v>274</v>
      </c>
      <c r="B77">
        <v>24</v>
      </c>
      <c r="C77">
        <v>0</v>
      </c>
      <c r="D77">
        <v>0</v>
      </c>
      <c r="E77">
        <v>0</v>
      </c>
      <c r="F77" s="54" t="s">
        <v>63</v>
      </c>
      <c r="G77" t="s">
        <v>111</v>
      </c>
      <c r="H77" s="54" t="s">
        <v>115</v>
      </c>
      <c r="I77">
        <v>1.8</v>
      </c>
      <c r="J77" s="11">
        <f t="shared" si="9"/>
        <v>202607</v>
      </c>
      <c r="K77" s="19" t="str">
        <f t="shared" si="10"/>
        <v>يوليو 2026</v>
      </c>
      <c r="L77" s="19" t="str">
        <f t="shared" si="11"/>
        <v>✅ جاهز</v>
      </c>
      <c r="N77" s="11">
        <f t="shared" si="12"/>
        <v>202607</v>
      </c>
      <c r="O77" s="19" t="str">
        <f t="shared" si="13"/>
        <v>يوليو 2026</v>
      </c>
      <c r="P77" s="19" t="str">
        <f t="shared" si="14"/>
        <v>كحول (ايثانول)</v>
      </c>
      <c r="Q77" s="55">
        <f t="shared" si="15"/>
        <v>24</v>
      </c>
      <c r="R77" s="55">
        <f t="shared" si="16"/>
        <v>1.8</v>
      </c>
      <c r="S77" s="19" t="str">
        <f t="shared" si="17"/>
        <v>دولار أمريكي</v>
      </c>
    </row>
    <row r="78" spans="1:19" ht="25.5" customHeight="1">
      <c r="A78" s="54" t="s">
        <v>322</v>
      </c>
      <c r="B78">
        <v>13</v>
      </c>
      <c r="C78">
        <v>10000</v>
      </c>
      <c r="D78">
        <v>10000</v>
      </c>
      <c r="E78">
        <v>10000</v>
      </c>
      <c r="F78" s="54" t="s">
        <v>62</v>
      </c>
      <c r="G78" t="s">
        <v>111</v>
      </c>
      <c r="H78" s="54" t="s">
        <v>139</v>
      </c>
      <c r="I78">
        <v>8000</v>
      </c>
      <c r="J78" s="11">
        <f t="shared" si="9"/>
        <v>202607</v>
      </c>
      <c r="K78" s="19" t="str">
        <f t="shared" si="10"/>
        <v>يوليو 2026</v>
      </c>
      <c r="L78" s="19" t="str">
        <f t="shared" si="11"/>
        <v>✅ جاهز</v>
      </c>
      <c r="N78" s="11">
        <f t="shared" si="12"/>
        <v>202607</v>
      </c>
      <c r="O78" s="19" t="str">
        <f t="shared" si="13"/>
        <v>يوليو 2026</v>
      </c>
      <c r="P78" s="19" t="str">
        <f t="shared" si="14"/>
        <v>كاسات شاي صغيرة 17 *6</v>
      </c>
      <c r="Q78" s="55">
        <f t="shared" si="15"/>
        <v>13</v>
      </c>
      <c r="R78" s="55">
        <f t="shared" si="16"/>
        <v>8000</v>
      </c>
      <c r="S78" s="19" t="str">
        <f t="shared" si="17"/>
        <v>ليرة سورية</v>
      </c>
    </row>
    <row r="79" spans="1:19" ht="25.5" customHeight="1">
      <c r="A79" s="54" t="s">
        <v>135</v>
      </c>
      <c r="B79">
        <v>0</v>
      </c>
      <c r="C79">
        <v>0</v>
      </c>
      <c r="D79">
        <v>0</v>
      </c>
      <c r="E79">
        <v>0</v>
      </c>
      <c r="F79" s="54" t="s">
        <v>63</v>
      </c>
      <c r="G79" t="s">
        <v>111</v>
      </c>
      <c r="H79" s="54" t="s">
        <v>112</v>
      </c>
      <c r="I79">
        <v>25.4</v>
      </c>
      <c r="J79" s="11">
        <f t="shared" si="9"/>
        <v>202607</v>
      </c>
      <c r="K79" s="19" t="str">
        <f t="shared" si="10"/>
        <v>يوليو 2026</v>
      </c>
      <c r="L79" s="19" t="str">
        <f t="shared" si="11"/>
        <v>⚠️ كمية مفقودة/صفر</v>
      </c>
      <c r="N79" s="11">
        <f t="shared" si="12"/>
        <v>202607</v>
      </c>
      <c r="O79" s="19" t="str">
        <f t="shared" si="13"/>
        <v>يوليو 2026</v>
      </c>
      <c r="P79" s="19" t="str">
        <f t="shared" si="14"/>
        <v>قاشط سيارات خام</v>
      </c>
      <c r="Q79" s="55">
        <f t="shared" si="15"/>
        <v>0</v>
      </c>
      <c r="R79" s="55">
        <f t="shared" si="16"/>
        <v>25.4</v>
      </c>
      <c r="S79" s="19" t="str">
        <f t="shared" si="17"/>
        <v>دولار أمريكي</v>
      </c>
    </row>
    <row r="80" spans="1:19" ht="25.5" customHeight="1">
      <c r="A80" s="54" t="s">
        <v>323</v>
      </c>
      <c r="B80">
        <v>0</v>
      </c>
      <c r="C80">
        <v>7000</v>
      </c>
      <c r="D80">
        <v>7000</v>
      </c>
      <c r="E80">
        <v>7000</v>
      </c>
      <c r="F80" s="54" t="s">
        <v>62</v>
      </c>
      <c r="G80" t="s">
        <v>111</v>
      </c>
      <c r="H80" s="54" t="s">
        <v>139</v>
      </c>
      <c r="I80">
        <v>0</v>
      </c>
      <c r="J80" s="11">
        <f t="shared" si="9"/>
        <v>202607</v>
      </c>
      <c r="K80" s="19" t="str">
        <f t="shared" si="10"/>
        <v>يوليو 2026</v>
      </c>
      <c r="L80" s="19" t="str">
        <f t="shared" si="11"/>
        <v>⚠️ كمية مفقودة/صفر</v>
      </c>
      <c r="N80" s="11">
        <f t="shared" si="12"/>
        <v>202607</v>
      </c>
      <c r="O80" s="19" t="str">
        <f t="shared" si="13"/>
        <v>يوليو 2026</v>
      </c>
      <c r="P80" s="19" t="str">
        <f t="shared" si="14"/>
        <v>قاشط سيارات / فرط</v>
      </c>
      <c r="Q80" s="55">
        <f t="shared" si="15"/>
        <v>0</v>
      </c>
      <c r="R80" s="55">
        <f t="shared" si="16"/>
        <v>0</v>
      </c>
      <c r="S80" s="19" t="str">
        <f t="shared" si="17"/>
        <v>ليرة سورية</v>
      </c>
    </row>
    <row r="81" spans="1:19" ht="25.5" customHeight="1">
      <c r="A81" s="54" t="s">
        <v>136</v>
      </c>
      <c r="B81">
        <v>0</v>
      </c>
      <c r="C81">
        <v>0</v>
      </c>
      <c r="D81">
        <v>0</v>
      </c>
      <c r="E81">
        <v>0</v>
      </c>
      <c r="F81" s="54" t="s">
        <v>63</v>
      </c>
      <c r="G81" t="s">
        <v>111</v>
      </c>
      <c r="H81" s="54" t="s">
        <v>112</v>
      </c>
      <c r="I81">
        <v>414</v>
      </c>
      <c r="J81" s="11">
        <f t="shared" si="9"/>
        <v>202607</v>
      </c>
      <c r="K81" s="19" t="str">
        <f t="shared" si="10"/>
        <v>يوليو 2026</v>
      </c>
      <c r="L81" s="19" t="str">
        <f t="shared" si="11"/>
        <v>⚠️ كمية مفقودة/صفر</v>
      </c>
      <c r="N81" s="11">
        <f t="shared" si="12"/>
        <v>202607</v>
      </c>
      <c r="O81" s="19" t="str">
        <f t="shared" si="13"/>
        <v>يوليو 2026</v>
      </c>
      <c r="P81" s="19" t="str">
        <f t="shared" si="14"/>
        <v xml:space="preserve">قاشط خام </v>
      </c>
      <c r="Q81" s="55">
        <f t="shared" si="15"/>
        <v>0</v>
      </c>
      <c r="R81" s="55">
        <f t="shared" si="16"/>
        <v>414</v>
      </c>
      <c r="S81" s="19" t="str">
        <f t="shared" si="17"/>
        <v>دولار أمريكي</v>
      </c>
    </row>
    <row r="82" spans="1:19" ht="25.5" customHeight="1">
      <c r="A82" s="54" t="s">
        <v>324</v>
      </c>
      <c r="B82">
        <v>760.5</v>
      </c>
      <c r="C82">
        <v>13000</v>
      </c>
      <c r="D82">
        <v>13000</v>
      </c>
      <c r="E82">
        <v>13000</v>
      </c>
      <c r="F82" s="54" t="s">
        <v>62</v>
      </c>
      <c r="G82" t="s">
        <v>111</v>
      </c>
      <c r="H82" s="54" t="s">
        <v>139</v>
      </c>
      <c r="I82">
        <v>7200</v>
      </c>
      <c r="J82" s="11">
        <f t="shared" si="9"/>
        <v>202607</v>
      </c>
      <c r="K82" s="19" t="str">
        <f t="shared" si="10"/>
        <v>يوليو 2026</v>
      </c>
      <c r="L82" s="19" t="str">
        <f t="shared" si="11"/>
        <v>✅ جاهز</v>
      </c>
      <c r="N82" s="11">
        <f t="shared" si="12"/>
        <v>202607</v>
      </c>
      <c r="O82" s="19" t="str">
        <f t="shared" si="13"/>
        <v>يوليو 2026</v>
      </c>
      <c r="P82" s="19" t="str">
        <f t="shared" si="14"/>
        <v xml:space="preserve">قاشط المينيوم - ساندي / فرط </v>
      </c>
      <c r="Q82" s="55">
        <f t="shared" si="15"/>
        <v>760.5</v>
      </c>
      <c r="R82" s="55">
        <f t="shared" si="16"/>
        <v>7200</v>
      </c>
      <c r="S82" s="19" t="str">
        <f t="shared" si="17"/>
        <v>ليرة سورية</v>
      </c>
    </row>
    <row r="83" spans="1:19" ht="25.5" customHeight="1">
      <c r="A83" s="54" t="s">
        <v>325</v>
      </c>
      <c r="B83">
        <v>59</v>
      </c>
      <c r="C83">
        <v>40000</v>
      </c>
      <c r="D83">
        <v>40000</v>
      </c>
      <c r="E83">
        <v>40000</v>
      </c>
      <c r="F83" s="54" t="s">
        <v>62</v>
      </c>
      <c r="G83" t="s">
        <v>111</v>
      </c>
      <c r="H83" s="54" t="s">
        <v>139</v>
      </c>
      <c r="I83">
        <v>25000</v>
      </c>
      <c r="J83" s="11">
        <f t="shared" si="9"/>
        <v>202607</v>
      </c>
      <c r="K83" s="19" t="str">
        <f t="shared" si="10"/>
        <v>يوليو 2026</v>
      </c>
      <c r="L83" s="19" t="str">
        <f t="shared" si="11"/>
        <v>✅ جاهز</v>
      </c>
      <c r="N83" s="11">
        <f t="shared" si="12"/>
        <v>202607</v>
      </c>
      <c r="O83" s="19" t="str">
        <f t="shared" si="13"/>
        <v>يوليو 2026</v>
      </c>
      <c r="P83" s="19" t="str">
        <f t="shared" si="14"/>
        <v>قاشط  المينيوم 3 لتر</v>
      </c>
      <c r="Q83" s="55">
        <f t="shared" si="15"/>
        <v>59</v>
      </c>
      <c r="R83" s="55">
        <f t="shared" si="16"/>
        <v>25000</v>
      </c>
      <c r="S83" s="19" t="str">
        <f t="shared" si="17"/>
        <v>ليرة سورية</v>
      </c>
    </row>
    <row r="84" spans="1:19" ht="25.5" customHeight="1">
      <c r="A84" s="54" t="s">
        <v>275</v>
      </c>
      <c r="B84">
        <v>1.36</v>
      </c>
      <c r="C84">
        <v>0</v>
      </c>
      <c r="D84">
        <v>0</v>
      </c>
      <c r="E84">
        <v>0</v>
      </c>
      <c r="F84" s="54" t="s">
        <v>63</v>
      </c>
      <c r="G84" t="s">
        <v>111</v>
      </c>
      <c r="H84" s="54" t="s">
        <v>115</v>
      </c>
      <c r="I84">
        <v>28.8</v>
      </c>
      <c r="J84" s="11">
        <f t="shared" si="9"/>
        <v>202607</v>
      </c>
      <c r="K84" s="19" t="str">
        <f t="shared" si="10"/>
        <v>يوليو 2026</v>
      </c>
      <c r="L84" s="19" t="str">
        <f t="shared" si="11"/>
        <v>✅ جاهز</v>
      </c>
      <c r="N84" s="11">
        <f t="shared" si="12"/>
        <v>202607</v>
      </c>
      <c r="O84" s="19" t="str">
        <f t="shared" si="13"/>
        <v>يوليو 2026</v>
      </c>
      <c r="P84" s="19" t="str">
        <f t="shared" si="14"/>
        <v>فورمول ( سم )</v>
      </c>
      <c r="Q84" s="55">
        <f t="shared" si="15"/>
        <v>1.36</v>
      </c>
      <c r="R84" s="55">
        <f t="shared" si="16"/>
        <v>28.8</v>
      </c>
      <c r="S84" s="19" t="str">
        <f t="shared" si="17"/>
        <v>دولار أمريكي</v>
      </c>
    </row>
    <row r="85" spans="1:19" ht="25.5" customHeight="1">
      <c r="A85" s="54" t="s">
        <v>326</v>
      </c>
      <c r="B85">
        <v>108</v>
      </c>
      <c r="C85">
        <v>18000</v>
      </c>
      <c r="D85">
        <v>18000</v>
      </c>
      <c r="E85">
        <v>18000</v>
      </c>
      <c r="F85" s="54" t="s">
        <v>62</v>
      </c>
      <c r="G85" t="s">
        <v>111</v>
      </c>
      <c r="H85" s="54" t="s">
        <v>139</v>
      </c>
      <c r="I85">
        <v>6250</v>
      </c>
      <c r="J85" s="11">
        <f t="shared" si="9"/>
        <v>202607</v>
      </c>
      <c r="K85" s="19" t="str">
        <f t="shared" si="10"/>
        <v>يوليو 2026</v>
      </c>
      <c r="L85" s="19" t="str">
        <f t="shared" si="11"/>
        <v>✅ جاهز</v>
      </c>
      <c r="N85" s="11">
        <f t="shared" si="12"/>
        <v>202607</v>
      </c>
      <c r="O85" s="19" t="str">
        <f t="shared" si="13"/>
        <v>يوليو 2026</v>
      </c>
      <c r="P85" s="19" t="str">
        <f t="shared" si="14"/>
        <v xml:space="preserve">فلاش 4 لتر </v>
      </c>
      <c r="Q85" s="55">
        <f t="shared" si="15"/>
        <v>108</v>
      </c>
      <c r="R85" s="55">
        <f t="shared" si="16"/>
        <v>6250</v>
      </c>
      <c r="S85" s="19" t="str">
        <f t="shared" si="17"/>
        <v>ليرة سورية</v>
      </c>
    </row>
    <row r="86" spans="1:19" ht="25.5" customHeight="1">
      <c r="A86" s="54" t="s">
        <v>327</v>
      </c>
      <c r="B86">
        <v>86</v>
      </c>
      <c r="C86">
        <v>5000</v>
      </c>
      <c r="D86">
        <v>5000</v>
      </c>
      <c r="E86">
        <v>5000</v>
      </c>
      <c r="F86" s="54" t="s">
        <v>62</v>
      </c>
      <c r="G86" t="s">
        <v>111</v>
      </c>
      <c r="H86" s="54" t="s">
        <v>139</v>
      </c>
      <c r="I86">
        <v>1080</v>
      </c>
      <c r="J86" s="11">
        <f t="shared" si="9"/>
        <v>202607</v>
      </c>
      <c r="K86" s="19" t="str">
        <f t="shared" si="10"/>
        <v>يوليو 2026</v>
      </c>
      <c r="L86" s="19" t="str">
        <f t="shared" si="11"/>
        <v>✅ جاهز</v>
      </c>
      <c r="N86" s="11">
        <f t="shared" si="12"/>
        <v>202607</v>
      </c>
      <c r="O86" s="19" t="str">
        <f t="shared" si="13"/>
        <v>يوليو 2026</v>
      </c>
      <c r="P86" s="19" t="str">
        <f t="shared" si="14"/>
        <v>فلاش / فرط</v>
      </c>
      <c r="Q86" s="55">
        <f t="shared" si="15"/>
        <v>86</v>
      </c>
      <c r="R86" s="55">
        <f t="shared" si="16"/>
        <v>1080</v>
      </c>
      <c r="S86" s="19" t="str">
        <f t="shared" si="17"/>
        <v>ليرة سورية</v>
      </c>
    </row>
    <row r="87" spans="1:19" ht="25.5" customHeight="1">
      <c r="A87" s="54" t="s">
        <v>232</v>
      </c>
      <c r="B87">
        <v>0</v>
      </c>
      <c r="C87">
        <v>0</v>
      </c>
      <c r="D87">
        <v>0</v>
      </c>
      <c r="E87">
        <v>0</v>
      </c>
      <c r="F87" s="54" t="s">
        <v>62</v>
      </c>
      <c r="G87" t="s">
        <v>111</v>
      </c>
      <c r="H87" s="54" t="s">
        <v>139</v>
      </c>
      <c r="I87">
        <v>0</v>
      </c>
      <c r="J87" s="11">
        <f t="shared" si="9"/>
        <v>202607</v>
      </c>
      <c r="K87" s="19" t="str">
        <f t="shared" si="10"/>
        <v>يوليو 2026</v>
      </c>
      <c r="L87" s="19" t="str">
        <f t="shared" si="11"/>
        <v>⚠️ كمية مفقودة/صفر</v>
      </c>
      <c r="N87" s="11">
        <f t="shared" si="12"/>
        <v>202607</v>
      </c>
      <c r="O87" s="19" t="str">
        <f t="shared" si="13"/>
        <v>يوليو 2026</v>
      </c>
      <c r="P87" s="19" t="str">
        <f t="shared" si="14"/>
        <v>فرشاية بسط</v>
      </c>
      <c r="Q87" s="55">
        <f t="shared" si="15"/>
        <v>0</v>
      </c>
      <c r="R87" s="55">
        <f t="shared" si="16"/>
        <v>0</v>
      </c>
      <c r="S87" s="19" t="str">
        <f t="shared" si="17"/>
        <v>ليرة سورية</v>
      </c>
    </row>
    <row r="88" spans="1:19" ht="25.5" customHeight="1">
      <c r="A88" s="54" t="s">
        <v>233</v>
      </c>
      <c r="B88">
        <v>0</v>
      </c>
      <c r="C88">
        <v>0</v>
      </c>
      <c r="D88">
        <v>0</v>
      </c>
      <c r="E88">
        <v>0</v>
      </c>
      <c r="F88" s="54" t="s">
        <v>62</v>
      </c>
      <c r="G88" t="s">
        <v>111</v>
      </c>
      <c r="H88" s="54" t="s">
        <v>139</v>
      </c>
      <c r="I88">
        <v>0</v>
      </c>
      <c r="J88" s="11">
        <f t="shared" si="9"/>
        <v>202607</v>
      </c>
      <c r="K88" s="19" t="str">
        <f t="shared" si="10"/>
        <v>يوليو 2026</v>
      </c>
      <c r="L88" s="19" t="str">
        <f t="shared" si="11"/>
        <v>⚠️ كمية مفقودة/صفر</v>
      </c>
      <c r="N88" s="11">
        <f t="shared" si="12"/>
        <v>202607</v>
      </c>
      <c r="O88" s="19" t="str">
        <f t="shared" si="13"/>
        <v>يوليو 2026</v>
      </c>
      <c r="P88" s="19" t="str">
        <f t="shared" si="14"/>
        <v>فرشاة حمام</v>
      </c>
      <c r="Q88" s="55">
        <f t="shared" si="15"/>
        <v>0</v>
      </c>
      <c r="R88" s="55">
        <f t="shared" si="16"/>
        <v>0</v>
      </c>
      <c r="S88" s="19" t="str">
        <f t="shared" si="17"/>
        <v>ليرة سورية</v>
      </c>
    </row>
    <row r="89" spans="1:19" ht="25.5" customHeight="1">
      <c r="A89" s="54" t="s">
        <v>234</v>
      </c>
      <c r="B89">
        <v>0</v>
      </c>
      <c r="C89">
        <v>32000</v>
      </c>
      <c r="D89">
        <v>32000</v>
      </c>
      <c r="E89">
        <v>32000</v>
      </c>
      <c r="F89" s="54" t="s">
        <v>62</v>
      </c>
      <c r="G89" t="s">
        <v>111</v>
      </c>
      <c r="H89" s="54" t="s">
        <v>115</v>
      </c>
      <c r="I89">
        <v>21000</v>
      </c>
      <c r="J89" s="11">
        <f t="shared" si="9"/>
        <v>202607</v>
      </c>
      <c r="K89" s="19" t="str">
        <f t="shared" si="10"/>
        <v>يوليو 2026</v>
      </c>
      <c r="L89" s="19" t="str">
        <f t="shared" si="11"/>
        <v>⚠️ كمية مفقودة/صفر</v>
      </c>
      <c r="N89" s="11">
        <f t="shared" si="12"/>
        <v>202607</v>
      </c>
      <c r="O89" s="19" t="str">
        <f t="shared" si="13"/>
        <v>يوليو 2026</v>
      </c>
      <c r="P89" s="19" t="str">
        <f t="shared" si="14"/>
        <v>فازلين</v>
      </c>
      <c r="Q89" s="55">
        <f t="shared" si="15"/>
        <v>0</v>
      </c>
      <c r="R89" s="55">
        <f t="shared" si="16"/>
        <v>21000</v>
      </c>
      <c r="S89" s="19" t="str">
        <f t="shared" si="17"/>
        <v>ليرة سورية</v>
      </c>
    </row>
    <row r="90" spans="1:19" ht="25.5" customHeight="1">
      <c r="A90" s="54" t="s">
        <v>235</v>
      </c>
      <c r="B90">
        <v>1</v>
      </c>
      <c r="C90">
        <v>5000</v>
      </c>
      <c r="D90">
        <v>5000</v>
      </c>
      <c r="E90">
        <v>5000</v>
      </c>
      <c r="F90" s="54" t="s">
        <v>62</v>
      </c>
      <c r="G90" t="s">
        <v>111</v>
      </c>
      <c r="H90" s="54" t="s">
        <v>139</v>
      </c>
      <c r="I90">
        <v>4500</v>
      </c>
      <c r="J90" s="11">
        <f t="shared" si="9"/>
        <v>202607</v>
      </c>
      <c r="K90" s="19" t="str">
        <f t="shared" si="10"/>
        <v>يوليو 2026</v>
      </c>
      <c r="L90" s="19" t="str">
        <f t="shared" si="11"/>
        <v>✅ جاهز</v>
      </c>
      <c r="N90" s="11">
        <f t="shared" si="12"/>
        <v>202607</v>
      </c>
      <c r="O90" s="19" t="str">
        <f t="shared" si="13"/>
        <v>يوليو 2026</v>
      </c>
      <c r="P90" s="19" t="str">
        <f t="shared" si="14"/>
        <v xml:space="preserve">فاربن مزيل شعر </v>
      </c>
      <c r="Q90" s="55">
        <f t="shared" si="15"/>
        <v>1</v>
      </c>
      <c r="R90" s="55">
        <f t="shared" si="16"/>
        <v>4500</v>
      </c>
      <c r="S90" s="19" t="str">
        <f t="shared" si="17"/>
        <v>ليرة سورية</v>
      </c>
    </row>
    <row r="91" spans="1:19" ht="25.5" customHeight="1">
      <c r="A91" s="54" t="s">
        <v>137</v>
      </c>
      <c r="B91">
        <v>79.400000000000006</v>
      </c>
      <c r="C91">
        <v>0</v>
      </c>
      <c r="D91">
        <v>0</v>
      </c>
      <c r="E91">
        <v>0</v>
      </c>
      <c r="F91" s="54" t="s">
        <v>63</v>
      </c>
      <c r="G91" t="s">
        <v>111</v>
      </c>
      <c r="H91" s="54" t="s">
        <v>115</v>
      </c>
      <c r="I91">
        <v>3</v>
      </c>
      <c r="J91" s="11">
        <f t="shared" si="9"/>
        <v>202607</v>
      </c>
      <c r="K91" s="19" t="str">
        <f t="shared" si="10"/>
        <v>يوليو 2026</v>
      </c>
      <c r="L91" s="19" t="str">
        <f t="shared" si="11"/>
        <v>✅ جاهز</v>
      </c>
      <c r="N91" s="11">
        <f t="shared" si="12"/>
        <v>202607</v>
      </c>
      <c r="O91" s="19" t="str">
        <f t="shared" si="13"/>
        <v>يوليو 2026</v>
      </c>
      <c r="P91" s="19" t="str">
        <f t="shared" si="14"/>
        <v>فاتي كحول</v>
      </c>
      <c r="Q91" s="55">
        <f t="shared" si="15"/>
        <v>79.400000000000006</v>
      </c>
      <c r="R91" s="55">
        <f t="shared" si="16"/>
        <v>3</v>
      </c>
      <c r="S91" s="19" t="str">
        <f t="shared" si="17"/>
        <v>دولار أمريكي</v>
      </c>
    </row>
    <row r="92" spans="1:19" ht="25.5" customHeight="1">
      <c r="A92" s="54" t="s">
        <v>138</v>
      </c>
      <c r="B92">
        <v>100</v>
      </c>
      <c r="C92">
        <v>0</v>
      </c>
      <c r="D92">
        <v>0</v>
      </c>
      <c r="E92">
        <v>0</v>
      </c>
      <c r="F92" s="54" t="s">
        <v>63</v>
      </c>
      <c r="G92" t="s">
        <v>111</v>
      </c>
      <c r="H92" s="54" t="s">
        <v>115</v>
      </c>
      <c r="I92">
        <v>2.2000000000000002</v>
      </c>
      <c r="J92" s="11">
        <f t="shared" si="9"/>
        <v>202607</v>
      </c>
      <c r="K92" s="19" t="str">
        <f t="shared" si="10"/>
        <v>يوليو 2026</v>
      </c>
      <c r="L92" s="19" t="str">
        <f t="shared" si="11"/>
        <v>✅ جاهز</v>
      </c>
      <c r="N92" s="11">
        <f t="shared" si="12"/>
        <v>202607</v>
      </c>
      <c r="O92" s="19" t="str">
        <f t="shared" si="13"/>
        <v>يوليو 2026</v>
      </c>
      <c r="P92" s="19" t="str">
        <f t="shared" si="14"/>
        <v>غليسيرين</v>
      </c>
      <c r="Q92" s="55">
        <f t="shared" si="15"/>
        <v>100</v>
      </c>
      <c r="R92" s="55">
        <f t="shared" si="16"/>
        <v>2.2000000000000002</v>
      </c>
      <c r="S92" s="19" t="str">
        <f t="shared" si="17"/>
        <v>دولار أمريكي</v>
      </c>
    </row>
    <row r="93" spans="1:19" ht="25.5" customHeight="1">
      <c r="A93" s="54" t="s">
        <v>276</v>
      </c>
      <c r="B93">
        <v>3</v>
      </c>
      <c r="C93">
        <v>0</v>
      </c>
      <c r="D93">
        <v>0</v>
      </c>
      <c r="E93">
        <v>0</v>
      </c>
      <c r="F93" s="54" t="s">
        <v>63</v>
      </c>
      <c r="G93" t="s">
        <v>111</v>
      </c>
      <c r="H93" s="54" t="s">
        <v>139</v>
      </c>
      <c r="I93">
        <v>4.5</v>
      </c>
      <c r="J93" s="11">
        <f t="shared" si="9"/>
        <v>202607</v>
      </c>
      <c r="K93" s="19" t="str">
        <f t="shared" si="10"/>
        <v>يوليو 2026</v>
      </c>
      <c r="L93" s="19" t="str">
        <f t="shared" si="11"/>
        <v>✅ جاهز</v>
      </c>
      <c r="N93" s="11">
        <f t="shared" si="12"/>
        <v>202607</v>
      </c>
      <c r="O93" s="19" t="str">
        <f t="shared" si="13"/>
        <v>يوليو 2026</v>
      </c>
      <c r="P93" s="19" t="str">
        <f t="shared" si="14"/>
        <v>غطا عبوة 3لتر</v>
      </c>
      <c r="Q93" s="55">
        <f t="shared" si="15"/>
        <v>3</v>
      </c>
      <c r="R93" s="55">
        <f t="shared" si="16"/>
        <v>4.5</v>
      </c>
      <c r="S93" s="19" t="str">
        <f t="shared" si="17"/>
        <v>دولار أمريكي</v>
      </c>
    </row>
    <row r="94" spans="1:19" ht="25.5" customHeight="1">
      <c r="A94" s="54" t="s">
        <v>140</v>
      </c>
      <c r="B94">
        <v>0</v>
      </c>
      <c r="C94">
        <v>0</v>
      </c>
      <c r="D94">
        <v>0</v>
      </c>
      <c r="E94">
        <v>0</v>
      </c>
      <c r="F94" s="54" t="s">
        <v>63</v>
      </c>
      <c r="G94" t="s">
        <v>111</v>
      </c>
      <c r="H94" s="54" t="s">
        <v>112</v>
      </c>
      <c r="I94">
        <v>165</v>
      </c>
      <c r="J94" s="11">
        <f t="shared" si="9"/>
        <v>202607</v>
      </c>
      <c r="K94" s="19" t="str">
        <f t="shared" si="10"/>
        <v>يوليو 2026</v>
      </c>
      <c r="L94" s="19" t="str">
        <f t="shared" si="11"/>
        <v>⚠️ كمية مفقودة/صفر</v>
      </c>
      <c r="N94" s="11">
        <f t="shared" si="12"/>
        <v>202607</v>
      </c>
      <c r="O94" s="19" t="str">
        <f t="shared" si="13"/>
        <v>يوليو 2026</v>
      </c>
      <c r="P94" s="19" t="str">
        <f t="shared" si="14"/>
        <v>عملاق خام</v>
      </c>
      <c r="Q94" s="55">
        <f t="shared" si="15"/>
        <v>0</v>
      </c>
      <c r="R94" s="55">
        <f t="shared" si="16"/>
        <v>165</v>
      </c>
      <c r="S94" s="19" t="str">
        <f t="shared" si="17"/>
        <v>دولار أمريكي</v>
      </c>
    </row>
    <row r="95" spans="1:19" ht="25.5" customHeight="1">
      <c r="A95" s="54" t="s">
        <v>328</v>
      </c>
      <c r="B95">
        <v>0</v>
      </c>
      <c r="C95">
        <v>0</v>
      </c>
      <c r="D95">
        <v>0</v>
      </c>
      <c r="E95">
        <v>0</v>
      </c>
      <c r="F95" s="54" t="s">
        <v>62</v>
      </c>
      <c r="G95" t="s">
        <v>111</v>
      </c>
      <c r="H95" s="54" t="s">
        <v>139</v>
      </c>
      <c r="I95">
        <v>0</v>
      </c>
      <c r="J95" s="11">
        <f t="shared" si="9"/>
        <v>202607</v>
      </c>
      <c r="K95" s="19" t="str">
        <f t="shared" si="10"/>
        <v>يوليو 2026</v>
      </c>
      <c r="L95" s="19" t="str">
        <f t="shared" si="11"/>
        <v>⚠️ كمية مفقودة/صفر</v>
      </c>
      <c r="N95" s="11">
        <f t="shared" si="12"/>
        <v>202607</v>
      </c>
      <c r="O95" s="19" t="str">
        <f t="shared" si="13"/>
        <v>يوليو 2026</v>
      </c>
      <c r="P95" s="19" t="str">
        <f t="shared" si="14"/>
        <v>عملاق 3 لتر</v>
      </c>
      <c r="Q95" s="55">
        <f t="shared" si="15"/>
        <v>0</v>
      </c>
      <c r="R95" s="55">
        <f t="shared" si="16"/>
        <v>0</v>
      </c>
      <c r="S95" s="19" t="str">
        <f t="shared" si="17"/>
        <v>ليرة سورية</v>
      </c>
    </row>
    <row r="96" spans="1:19" ht="25.5" customHeight="1">
      <c r="A96" s="54" t="s">
        <v>236</v>
      </c>
      <c r="B96">
        <v>36.5</v>
      </c>
      <c r="C96">
        <v>13000</v>
      </c>
      <c r="D96">
        <v>13000</v>
      </c>
      <c r="E96">
        <v>13000</v>
      </c>
      <c r="F96" s="54" t="s">
        <v>62</v>
      </c>
      <c r="G96" t="s">
        <v>111</v>
      </c>
      <c r="H96" s="54" t="s">
        <v>139</v>
      </c>
      <c r="I96">
        <v>9000</v>
      </c>
      <c r="J96" s="11">
        <f t="shared" si="9"/>
        <v>202607</v>
      </c>
      <c r="K96" s="19" t="str">
        <f t="shared" si="10"/>
        <v>يوليو 2026</v>
      </c>
      <c r="L96" s="19" t="str">
        <f t="shared" si="11"/>
        <v>✅ جاهز</v>
      </c>
      <c r="N96" s="11">
        <f t="shared" si="12"/>
        <v>202607</v>
      </c>
      <c r="O96" s="19" t="str">
        <f t="shared" si="13"/>
        <v>يوليو 2026</v>
      </c>
      <c r="P96" s="19" t="str">
        <f t="shared" si="14"/>
        <v xml:space="preserve">عملاق </v>
      </c>
      <c r="Q96" s="55">
        <f t="shared" si="15"/>
        <v>36.5</v>
      </c>
      <c r="R96" s="55">
        <f t="shared" si="16"/>
        <v>9000</v>
      </c>
      <c r="S96" s="19" t="str">
        <f t="shared" si="17"/>
        <v>ليرة سورية</v>
      </c>
    </row>
    <row r="97" spans="1:19" ht="25.5" customHeight="1">
      <c r="A97" s="54" t="s">
        <v>277</v>
      </c>
      <c r="B97">
        <v>0.59</v>
      </c>
      <c r="C97">
        <v>0</v>
      </c>
      <c r="D97">
        <v>0</v>
      </c>
      <c r="E97">
        <v>0</v>
      </c>
      <c r="F97" s="54" t="s">
        <v>63</v>
      </c>
      <c r="G97" t="s">
        <v>111</v>
      </c>
      <c r="H97" s="54" t="s">
        <v>115</v>
      </c>
      <c r="I97">
        <v>312.5</v>
      </c>
      <c r="J97" s="11">
        <f t="shared" si="9"/>
        <v>202607</v>
      </c>
      <c r="K97" s="19" t="str">
        <f t="shared" si="10"/>
        <v>يوليو 2026</v>
      </c>
      <c r="L97" s="19" t="str">
        <f t="shared" si="11"/>
        <v>✅ جاهز</v>
      </c>
      <c r="N97" s="11">
        <f t="shared" si="12"/>
        <v>202607</v>
      </c>
      <c r="O97" s="19" t="str">
        <f t="shared" si="13"/>
        <v>يوليو 2026</v>
      </c>
      <c r="P97" s="19" t="str">
        <f t="shared" si="14"/>
        <v xml:space="preserve">عطر-نسيم-المحيط ocean-breeze - 327993 </v>
      </c>
      <c r="Q97" s="55">
        <f t="shared" si="15"/>
        <v>0.59</v>
      </c>
      <c r="R97" s="55">
        <f t="shared" si="16"/>
        <v>312.5</v>
      </c>
      <c r="S97" s="19" t="str">
        <f t="shared" si="17"/>
        <v>دولار أمريكي</v>
      </c>
    </row>
    <row r="98" spans="1:19" ht="25.5" customHeight="1">
      <c r="A98" s="54" t="s">
        <v>278</v>
      </c>
      <c r="B98">
        <v>0.52</v>
      </c>
      <c r="C98">
        <v>0</v>
      </c>
      <c r="D98">
        <v>0</v>
      </c>
      <c r="E98">
        <v>0</v>
      </c>
      <c r="F98" s="54" t="s">
        <v>63</v>
      </c>
      <c r="G98" t="s">
        <v>111</v>
      </c>
      <c r="H98" s="54" t="s">
        <v>115</v>
      </c>
      <c r="I98">
        <v>175</v>
      </c>
      <c r="J98" s="11">
        <f t="shared" si="9"/>
        <v>202607</v>
      </c>
      <c r="K98" s="19" t="str">
        <f t="shared" si="10"/>
        <v>يوليو 2026</v>
      </c>
      <c r="L98" s="19" t="str">
        <f t="shared" si="11"/>
        <v>✅ جاهز</v>
      </c>
      <c r="N98" s="11">
        <f t="shared" si="12"/>
        <v>202607</v>
      </c>
      <c r="O98" s="19" t="str">
        <f t="shared" si="13"/>
        <v>يوليو 2026</v>
      </c>
      <c r="P98" s="19" t="str">
        <f t="shared" si="14"/>
        <v>عطر-ليمون shiny-star - 485764</v>
      </c>
      <c r="Q98" s="55">
        <f t="shared" si="15"/>
        <v>0.52</v>
      </c>
      <c r="R98" s="55">
        <f t="shared" si="16"/>
        <v>175</v>
      </c>
      <c r="S98" s="19" t="str">
        <f t="shared" si="17"/>
        <v>دولار أمريكي</v>
      </c>
    </row>
    <row r="99" spans="1:19" ht="25.5" customHeight="1">
      <c r="A99" s="54" t="s">
        <v>279</v>
      </c>
      <c r="B99">
        <v>0.36</v>
      </c>
      <c r="C99">
        <v>0</v>
      </c>
      <c r="D99">
        <v>0</v>
      </c>
      <c r="E99">
        <v>0</v>
      </c>
      <c r="F99" s="54" t="s">
        <v>63</v>
      </c>
      <c r="G99" t="s">
        <v>111</v>
      </c>
      <c r="H99" s="54" t="s">
        <v>115</v>
      </c>
      <c r="I99">
        <v>175</v>
      </c>
      <c r="J99" s="11">
        <f t="shared" si="9"/>
        <v>202607</v>
      </c>
      <c r="K99" s="19" t="str">
        <f t="shared" si="10"/>
        <v>يوليو 2026</v>
      </c>
      <c r="L99" s="19" t="str">
        <f t="shared" si="11"/>
        <v>✅ جاهز</v>
      </c>
      <c r="N99" s="11">
        <f t="shared" si="12"/>
        <v>202607</v>
      </c>
      <c r="O99" s="19" t="str">
        <f t="shared" si="13"/>
        <v>يوليو 2026</v>
      </c>
      <c r="P99" s="19" t="str">
        <f t="shared" si="14"/>
        <v>عطر-ليمون citrus lemon new - 321639</v>
      </c>
      <c r="Q99" s="55">
        <f t="shared" si="15"/>
        <v>0.36</v>
      </c>
      <c r="R99" s="55">
        <f t="shared" si="16"/>
        <v>175</v>
      </c>
      <c r="S99" s="19" t="str">
        <f t="shared" si="17"/>
        <v>دولار أمريكي</v>
      </c>
    </row>
    <row r="100" spans="1:19" ht="25.5" customHeight="1">
      <c r="A100" s="54" t="s">
        <v>280</v>
      </c>
      <c r="B100">
        <v>0.74</v>
      </c>
      <c r="C100">
        <v>0</v>
      </c>
      <c r="D100">
        <v>0</v>
      </c>
      <c r="E100">
        <v>0</v>
      </c>
      <c r="F100" s="54" t="s">
        <v>63</v>
      </c>
      <c r="G100" t="s">
        <v>111</v>
      </c>
      <c r="H100" s="54" t="s">
        <v>115</v>
      </c>
      <c r="I100">
        <v>312.5</v>
      </c>
      <c r="J100" s="11">
        <f t="shared" si="9"/>
        <v>202607</v>
      </c>
      <c r="K100" s="19" t="str">
        <f t="shared" si="10"/>
        <v>يوليو 2026</v>
      </c>
      <c r="L100" s="19" t="str">
        <f t="shared" si="11"/>
        <v>✅ جاهز</v>
      </c>
      <c r="N100" s="11">
        <f t="shared" si="12"/>
        <v>202607</v>
      </c>
      <c r="O100" s="19" t="str">
        <f t="shared" si="13"/>
        <v>يوليو 2026</v>
      </c>
      <c r="P100" s="19" t="str">
        <f t="shared" si="14"/>
        <v>عطر-ليلك ariel-sensation - 318728</v>
      </c>
      <c r="Q100" s="55">
        <f t="shared" si="15"/>
        <v>0.74</v>
      </c>
      <c r="R100" s="55">
        <f t="shared" si="16"/>
        <v>312.5</v>
      </c>
      <c r="S100" s="19" t="str">
        <f t="shared" si="17"/>
        <v>دولار أمريكي</v>
      </c>
    </row>
    <row r="101" spans="1:19" ht="25.5" customHeight="1">
      <c r="A101" s="54" t="s">
        <v>281</v>
      </c>
      <c r="B101">
        <v>0</v>
      </c>
      <c r="C101">
        <v>0</v>
      </c>
      <c r="D101">
        <v>0</v>
      </c>
      <c r="E101">
        <v>0</v>
      </c>
      <c r="F101" s="54" t="s">
        <v>63</v>
      </c>
      <c r="G101" t="s">
        <v>111</v>
      </c>
      <c r="H101" s="54" t="s">
        <v>111</v>
      </c>
      <c r="I101">
        <v>312.5</v>
      </c>
      <c r="J101" s="11">
        <f t="shared" si="9"/>
        <v>202607</v>
      </c>
      <c r="K101" s="19" t="str">
        <f t="shared" si="10"/>
        <v>يوليو 2026</v>
      </c>
      <c r="L101" s="19" t="str">
        <f t="shared" si="11"/>
        <v>⚠️ كمية مفقودة/صفر</v>
      </c>
      <c r="N101" s="11">
        <f t="shared" si="12"/>
        <v>202607</v>
      </c>
      <c r="O101" s="19" t="str">
        <f t="shared" si="13"/>
        <v>يوليو 2026</v>
      </c>
      <c r="P101" s="19" t="str">
        <f t="shared" si="14"/>
        <v>عطر-فريز</v>
      </c>
      <c r="Q101" s="55">
        <f t="shared" si="15"/>
        <v>0</v>
      </c>
      <c r="R101" s="55">
        <f t="shared" si="16"/>
        <v>312.5</v>
      </c>
      <c r="S101" s="19" t="str">
        <f t="shared" si="17"/>
        <v>دولار أمريكي</v>
      </c>
    </row>
    <row r="102" spans="1:19" ht="25.5" customHeight="1">
      <c r="A102" s="54" t="s">
        <v>282</v>
      </c>
      <c r="B102">
        <v>2.5499999999999998</v>
      </c>
      <c r="C102">
        <v>0</v>
      </c>
      <c r="D102">
        <v>0</v>
      </c>
      <c r="E102">
        <v>0</v>
      </c>
      <c r="F102" s="54" t="s">
        <v>63</v>
      </c>
      <c r="G102" t="s">
        <v>111</v>
      </c>
      <c r="H102" s="54" t="s">
        <v>115</v>
      </c>
      <c r="I102">
        <v>900</v>
      </c>
      <c r="J102" s="11">
        <f t="shared" si="9"/>
        <v>202607</v>
      </c>
      <c r="K102" s="19" t="str">
        <f t="shared" si="10"/>
        <v>يوليو 2026</v>
      </c>
      <c r="L102" s="19" t="str">
        <f t="shared" si="11"/>
        <v>✅ جاهز</v>
      </c>
      <c r="N102" s="11">
        <f t="shared" si="12"/>
        <v>202607</v>
      </c>
      <c r="O102" s="19" t="str">
        <f t="shared" si="13"/>
        <v>يوليو 2026</v>
      </c>
      <c r="P102" s="19" t="str">
        <f t="shared" si="14"/>
        <v xml:space="preserve">عطر-سلطان </v>
      </c>
      <c r="Q102" s="55">
        <f t="shared" si="15"/>
        <v>2.5499999999999998</v>
      </c>
      <c r="R102" s="55">
        <f t="shared" si="16"/>
        <v>900</v>
      </c>
      <c r="S102" s="19" t="str">
        <f t="shared" si="17"/>
        <v>دولار أمريكي</v>
      </c>
    </row>
    <row r="103" spans="1:19">
      <c r="A103" s="54" t="s">
        <v>283</v>
      </c>
      <c r="B103">
        <v>0.53</v>
      </c>
      <c r="C103">
        <v>0</v>
      </c>
      <c r="D103">
        <v>0</v>
      </c>
      <c r="E103">
        <v>0</v>
      </c>
      <c r="F103" s="54" t="s">
        <v>63</v>
      </c>
      <c r="G103" t="s">
        <v>111</v>
      </c>
      <c r="H103" s="54" t="s">
        <v>115</v>
      </c>
      <c r="I103">
        <v>225</v>
      </c>
      <c r="J103" s="11">
        <f t="shared" si="9"/>
        <v>202607</v>
      </c>
      <c r="K103" s="19" t="str">
        <f t="shared" si="10"/>
        <v>يوليو 2026</v>
      </c>
      <c r="L103" s="19" t="str">
        <f t="shared" si="11"/>
        <v>✅ جاهز</v>
      </c>
      <c r="N103" s="11">
        <f t="shared" si="12"/>
        <v>202607</v>
      </c>
      <c r="O103" s="19" t="str">
        <f t="shared" si="13"/>
        <v>يوليو 2026</v>
      </c>
      <c r="P103" s="19" t="str">
        <f t="shared" si="14"/>
        <v>عطر-زهور lovely-petals - 485718</v>
      </c>
      <c r="Q103" s="55">
        <f t="shared" si="15"/>
        <v>0.53</v>
      </c>
      <c r="R103" s="55">
        <f t="shared" si="16"/>
        <v>225</v>
      </c>
      <c r="S103" s="19" t="str">
        <f t="shared" si="17"/>
        <v>دولار أمريكي</v>
      </c>
    </row>
    <row r="104" spans="1:19">
      <c r="A104" s="54" t="s">
        <v>284</v>
      </c>
      <c r="B104">
        <v>0.62</v>
      </c>
      <c r="C104">
        <v>0</v>
      </c>
      <c r="D104">
        <v>0</v>
      </c>
      <c r="E104">
        <v>0</v>
      </c>
      <c r="F104" s="54" t="s">
        <v>63</v>
      </c>
      <c r="G104" t="s">
        <v>111</v>
      </c>
      <c r="H104" s="54" t="s">
        <v>115</v>
      </c>
      <c r="I104">
        <v>312.5</v>
      </c>
      <c r="J104" s="11">
        <f t="shared" si="9"/>
        <v>202607</v>
      </c>
      <c r="K104" s="19" t="str">
        <f t="shared" si="10"/>
        <v>يوليو 2026</v>
      </c>
      <c r="L104" s="19" t="str">
        <f t="shared" si="11"/>
        <v>✅ جاهز</v>
      </c>
      <c r="N104" s="11">
        <f t="shared" si="12"/>
        <v>202607</v>
      </c>
      <c r="O104" s="19" t="str">
        <f t="shared" si="13"/>
        <v>يوليو 2026</v>
      </c>
      <c r="P104" s="19" t="str">
        <f t="shared" si="14"/>
        <v>عطر-رمان apple grandada - 322730</v>
      </c>
      <c r="Q104" s="55">
        <f t="shared" si="15"/>
        <v>0.62</v>
      </c>
      <c r="R104" s="55">
        <f t="shared" si="16"/>
        <v>312.5</v>
      </c>
      <c r="S104" s="19" t="str">
        <f t="shared" si="17"/>
        <v>دولار أمريكي</v>
      </c>
    </row>
    <row r="105" spans="1:19" ht="25.5" customHeight="1">
      <c r="A105" s="54" t="s">
        <v>285</v>
      </c>
      <c r="B105">
        <v>0.6</v>
      </c>
      <c r="C105">
        <v>0</v>
      </c>
      <c r="D105">
        <v>0</v>
      </c>
      <c r="E105">
        <v>0</v>
      </c>
      <c r="F105" s="54" t="s">
        <v>63</v>
      </c>
      <c r="G105" t="s">
        <v>111</v>
      </c>
      <c r="H105" s="54" t="s">
        <v>115</v>
      </c>
      <c r="I105">
        <v>287.5</v>
      </c>
      <c r="J105" s="11">
        <f t="shared" si="9"/>
        <v>202607</v>
      </c>
      <c r="K105" s="19" t="str">
        <f t="shared" si="10"/>
        <v>يوليو 2026</v>
      </c>
      <c r="L105" s="19" t="str">
        <f t="shared" si="11"/>
        <v>✅ جاهز</v>
      </c>
      <c r="N105" s="11">
        <f t="shared" si="12"/>
        <v>202607</v>
      </c>
      <c r="O105" s="19" t="str">
        <f t="shared" si="13"/>
        <v>يوليو 2026</v>
      </c>
      <c r="P105" s="19" t="str">
        <f t="shared" si="14"/>
        <v>عطر-توليب fresh-scent-amour - 485833</v>
      </c>
      <c r="Q105" s="55">
        <f t="shared" si="15"/>
        <v>0.6</v>
      </c>
      <c r="R105" s="55">
        <f t="shared" si="16"/>
        <v>287.5</v>
      </c>
      <c r="S105" s="19" t="str">
        <f t="shared" si="17"/>
        <v>دولار أمريكي</v>
      </c>
    </row>
    <row r="106" spans="1:19">
      <c r="A106" s="54" t="s">
        <v>286</v>
      </c>
      <c r="B106">
        <v>0.47</v>
      </c>
      <c r="C106">
        <v>0</v>
      </c>
      <c r="D106">
        <v>0</v>
      </c>
      <c r="E106">
        <v>0</v>
      </c>
      <c r="F106" s="54" t="s">
        <v>63</v>
      </c>
      <c r="G106" t="s">
        <v>111</v>
      </c>
      <c r="H106" s="54" t="s">
        <v>115</v>
      </c>
      <c r="I106">
        <v>300</v>
      </c>
      <c r="J106" s="11">
        <f t="shared" si="9"/>
        <v>202607</v>
      </c>
      <c r="K106" s="19" t="str">
        <f t="shared" si="10"/>
        <v>يوليو 2026</v>
      </c>
      <c r="L106" s="19" t="str">
        <f t="shared" si="11"/>
        <v>✅ جاهز</v>
      </c>
      <c r="N106" s="11">
        <f t="shared" si="12"/>
        <v>202607</v>
      </c>
      <c r="O106" s="19" t="str">
        <f t="shared" si="13"/>
        <v>يوليو 2026</v>
      </c>
      <c r="P106" s="19" t="str">
        <f t="shared" si="14"/>
        <v xml:space="preserve">عطر-تفاح apple - 317691 </v>
      </c>
      <c r="Q106" s="55">
        <f t="shared" si="15"/>
        <v>0.47</v>
      </c>
      <c r="R106" s="55">
        <f t="shared" si="16"/>
        <v>300</v>
      </c>
      <c r="S106" s="19" t="str">
        <f t="shared" si="17"/>
        <v>دولار أمريكي</v>
      </c>
    </row>
    <row r="107" spans="1:19" ht="25.5" customHeight="1">
      <c r="A107" s="54" t="s">
        <v>287</v>
      </c>
      <c r="B107">
        <v>0</v>
      </c>
      <c r="C107">
        <v>0</v>
      </c>
      <c r="D107">
        <v>0</v>
      </c>
      <c r="E107">
        <v>0</v>
      </c>
      <c r="F107" s="54" t="s">
        <v>63</v>
      </c>
      <c r="G107" t="s">
        <v>111</v>
      </c>
      <c r="H107" s="54" t="s">
        <v>115</v>
      </c>
      <c r="I107">
        <v>14.5</v>
      </c>
      <c r="J107" s="11">
        <f t="shared" si="9"/>
        <v>202607</v>
      </c>
      <c r="K107" s="19" t="str">
        <f t="shared" si="10"/>
        <v>يوليو 2026</v>
      </c>
      <c r="L107" s="19" t="str">
        <f t="shared" si="11"/>
        <v>⚠️ كمية مفقودة/صفر</v>
      </c>
      <c r="N107" s="11">
        <f t="shared" si="12"/>
        <v>202607</v>
      </c>
      <c r="O107" s="19" t="str">
        <f t="shared" si="13"/>
        <v>يوليو 2026</v>
      </c>
      <c r="P107" s="19" t="str">
        <f t="shared" si="14"/>
        <v>عطر-برنس</v>
      </c>
      <c r="Q107" s="55">
        <f t="shared" si="15"/>
        <v>0</v>
      </c>
      <c r="R107" s="55">
        <f t="shared" si="16"/>
        <v>14.5</v>
      </c>
      <c r="S107" s="19" t="str">
        <f t="shared" si="17"/>
        <v>دولار أمريكي</v>
      </c>
    </row>
    <row r="108" spans="1:19" ht="25.5" customHeight="1">
      <c r="A108" s="54" t="s">
        <v>288</v>
      </c>
      <c r="B108">
        <v>20</v>
      </c>
      <c r="C108">
        <v>0</v>
      </c>
      <c r="D108">
        <v>0</v>
      </c>
      <c r="E108">
        <v>0</v>
      </c>
      <c r="F108" s="54" t="s">
        <v>63</v>
      </c>
      <c r="G108" t="s">
        <v>111</v>
      </c>
      <c r="H108" s="54" t="s">
        <v>115</v>
      </c>
      <c r="I108">
        <v>150</v>
      </c>
      <c r="J108" s="11">
        <f t="shared" si="9"/>
        <v>202607</v>
      </c>
      <c r="K108" s="19" t="str">
        <f t="shared" si="10"/>
        <v>يوليو 2026</v>
      </c>
      <c r="L108" s="19" t="str">
        <f t="shared" si="11"/>
        <v>✅ جاهز</v>
      </c>
      <c r="N108" s="11">
        <f t="shared" si="12"/>
        <v>202607</v>
      </c>
      <c r="O108" s="19" t="str">
        <f t="shared" si="13"/>
        <v>يوليو 2026</v>
      </c>
      <c r="P108" s="19" t="str">
        <f t="shared" si="14"/>
        <v>عطر-ببوري ultimate-mixture - 485797</v>
      </c>
      <c r="Q108" s="55">
        <f t="shared" si="15"/>
        <v>20</v>
      </c>
      <c r="R108" s="55">
        <f t="shared" si="16"/>
        <v>150</v>
      </c>
      <c r="S108" s="19" t="str">
        <f t="shared" si="17"/>
        <v>دولار أمريكي</v>
      </c>
    </row>
    <row r="109" spans="1:19" ht="25.5" customHeight="1">
      <c r="A109" s="54" t="s">
        <v>289</v>
      </c>
      <c r="B109">
        <v>21.4</v>
      </c>
      <c r="C109">
        <v>0</v>
      </c>
      <c r="D109">
        <v>0</v>
      </c>
      <c r="E109">
        <v>0</v>
      </c>
      <c r="F109" s="54" t="s">
        <v>63</v>
      </c>
      <c r="G109" t="s">
        <v>111</v>
      </c>
      <c r="H109" s="54" t="s">
        <v>115</v>
      </c>
      <c r="I109">
        <v>312.5</v>
      </c>
      <c r="J109" s="11">
        <f t="shared" si="9"/>
        <v>202607</v>
      </c>
      <c r="K109" s="19" t="str">
        <f t="shared" si="10"/>
        <v>يوليو 2026</v>
      </c>
      <c r="L109" s="19" t="str">
        <f t="shared" si="11"/>
        <v>✅ جاهز</v>
      </c>
      <c r="N109" s="11">
        <f t="shared" si="12"/>
        <v>202607</v>
      </c>
      <c r="O109" s="19" t="str">
        <f t="shared" si="13"/>
        <v>يوليو 2026</v>
      </c>
      <c r="P109" s="19" t="str">
        <f t="shared" si="14"/>
        <v>عطر-ازهار-الربيع spring - 318643</v>
      </c>
      <c r="Q109" s="55">
        <f t="shared" si="15"/>
        <v>21.4</v>
      </c>
      <c r="R109" s="55">
        <f t="shared" si="16"/>
        <v>312.5</v>
      </c>
      <c r="S109" s="19" t="str">
        <f t="shared" si="17"/>
        <v>دولار أمريكي</v>
      </c>
    </row>
    <row r="110" spans="1:19">
      <c r="A110" s="54" t="s">
        <v>141</v>
      </c>
      <c r="B110">
        <v>0</v>
      </c>
      <c r="C110">
        <v>0</v>
      </c>
      <c r="D110">
        <v>0</v>
      </c>
      <c r="E110">
        <v>0</v>
      </c>
      <c r="F110" s="54" t="s">
        <v>63</v>
      </c>
      <c r="G110" t="s">
        <v>111</v>
      </c>
      <c r="H110" s="54" t="s">
        <v>115</v>
      </c>
      <c r="I110">
        <v>15</v>
      </c>
      <c r="J110" s="11">
        <f t="shared" si="9"/>
        <v>202607</v>
      </c>
      <c r="K110" s="19" t="str">
        <f t="shared" si="10"/>
        <v>يوليو 2026</v>
      </c>
      <c r="L110" s="19" t="str">
        <f t="shared" si="11"/>
        <v>⚠️ كمية مفقودة/صفر</v>
      </c>
      <c r="N110" s="11">
        <f t="shared" si="12"/>
        <v>202607</v>
      </c>
      <c r="O110" s="19" t="str">
        <f t="shared" si="13"/>
        <v>يوليو 2026</v>
      </c>
      <c r="P110" s="19" t="str">
        <f t="shared" si="14"/>
        <v>عطر هامول</v>
      </c>
      <c r="Q110" s="55">
        <f t="shared" si="15"/>
        <v>0</v>
      </c>
      <c r="R110" s="55">
        <f t="shared" si="16"/>
        <v>15</v>
      </c>
      <c r="S110" s="19" t="str">
        <f t="shared" si="17"/>
        <v>دولار أمريكي</v>
      </c>
    </row>
    <row r="111" spans="1:19" ht="25.5" customHeight="1">
      <c r="A111" s="54" t="s">
        <v>142</v>
      </c>
      <c r="B111">
        <v>2</v>
      </c>
      <c r="C111">
        <v>0</v>
      </c>
      <c r="D111">
        <v>0</v>
      </c>
      <c r="E111">
        <v>0</v>
      </c>
      <c r="F111" s="54" t="s">
        <v>63</v>
      </c>
      <c r="G111" t="s">
        <v>111</v>
      </c>
      <c r="H111" s="54" t="s">
        <v>115</v>
      </c>
      <c r="I111">
        <v>16</v>
      </c>
      <c r="J111" s="11">
        <f t="shared" si="9"/>
        <v>202607</v>
      </c>
      <c r="K111" s="19" t="str">
        <f t="shared" si="10"/>
        <v>يوليو 2026</v>
      </c>
      <c r="L111" s="19" t="str">
        <f t="shared" si="11"/>
        <v>✅ جاهز</v>
      </c>
      <c r="N111" s="11">
        <f t="shared" si="12"/>
        <v>202607</v>
      </c>
      <c r="O111" s="19" t="str">
        <f t="shared" si="13"/>
        <v>يوليو 2026</v>
      </c>
      <c r="P111" s="19" t="str">
        <f t="shared" si="14"/>
        <v>عطر مسك احمر</v>
      </c>
      <c r="Q111" s="55">
        <f t="shared" si="15"/>
        <v>2</v>
      </c>
      <c r="R111" s="55">
        <f t="shared" si="16"/>
        <v>16</v>
      </c>
      <c r="S111" s="19" t="str">
        <f t="shared" si="17"/>
        <v>دولار أمريكي</v>
      </c>
    </row>
    <row r="112" spans="1:19">
      <c r="A112" s="54" t="s">
        <v>143</v>
      </c>
      <c r="B112">
        <v>3</v>
      </c>
      <c r="C112">
        <v>0</v>
      </c>
      <c r="D112">
        <v>0</v>
      </c>
      <c r="E112">
        <v>0</v>
      </c>
      <c r="F112" s="54" t="s">
        <v>63</v>
      </c>
      <c r="G112" t="s">
        <v>111</v>
      </c>
      <c r="H112" s="54" t="s">
        <v>115</v>
      </c>
      <c r="I112">
        <v>15.5</v>
      </c>
      <c r="J112" s="11">
        <f t="shared" si="9"/>
        <v>202607</v>
      </c>
      <c r="K112" s="19" t="str">
        <f t="shared" si="10"/>
        <v>يوليو 2026</v>
      </c>
      <c r="L112" s="19" t="str">
        <f t="shared" si="11"/>
        <v>✅ جاهز</v>
      </c>
      <c r="N112" s="11">
        <f t="shared" si="12"/>
        <v>202607</v>
      </c>
      <c r="O112" s="19" t="str">
        <f t="shared" si="13"/>
        <v>يوليو 2026</v>
      </c>
      <c r="P112" s="19" t="str">
        <f t="shared" si="14"/>
        <v>عطر مسك</v>
      </c>
      <c r="Q112" s="55">
        <f t="shared" si="15"/>
        <v>3</v>
      </c>
      <c r="R112" s="55">
        <f t="shared" si="16"/>
        <v>15.5</v>
      </c>
      <c r="S112" s="19" t="str">
        <f t="shared" si="17"/>
        <v>دولار أمريكي</v>
      </c>
    </row>
    <row r="113" spans="1:19">
      <c r="A113" s="54" t="s">
        <v>144</v>
      </c>
      <c r="B113">
        <v>0.38</v>
      </c>
      <c r="C113">
        <v>0</v>
      </c>
      <c r="D113">
        <v>0</v>
      </c>
      <c r="E113">
        <v>0</v>
      </c>
      <c r="F113" s="54" t="s">
        <v>63</v>
      </c>
      <c r="G113" t="s">
        <v>111</v>
      </c>
      <c r="H113" s="54" t="s">
        <v>115</v>
      </c>
      <c r="I113">
        <v>225</v>
      </c>
      <c r="J113" s="11">
        <f t="shared" si="9"/>
        <v>202607</v>
      </c>
      <c r="K113" s="19" t="str">
        <f t="shared" si="10"/>
        <v>يوليو 2026</v>
      </c>
      <c r="L113" s="19" t="str">
        <f t="shared" si="11"/>
        <v>✅ جاهز</v>
      </c>
      <c r="N113" s="11">
        <f t="shared" si="12"/>
        <v>202607</v>
      </c>
      <c r="O113" s="19" t="str">
        <f t="shared" si="13"/>
        <v>يوليو 2026</v>
      </c>
      <c r="P113" s="19" t="str">
        <f t="shared" si="14"/>
        <v>عطر ليمون ماكسي</v>
      </c>
      <c r="Q113" s="55">
        <f t="shared" si="15"/>
        <v>0.38</v>
      </c>
      <c r="R113" s="55">
        <f t="shared" si="16"/>
        <v>225</v>
      </c>
      <c r="S113" s="19" t="str">
        <f t="shared" si="17"/>
        <v>دولار أمريكي</v>
      </c>
    </row>
    <row r="114" spans="1:19" ht="25.5" customHeight="1">
      <c r="A114" s="54" t="s">
        <v>145</v>
      </c>
      <c r="B114">
        <v>1</v>
      </c>
      <c r="C114">
        <v>0</v>
      </c>
      <c r="D114">
        <v>0</v>
      </c>
      <c r="E114">
        <v>0</v>
      </c>
      <c r="F114" s="54" t="s">
        <v>63</v>
      </c>
      <c r="G114" t="s">
        <v>111</v>
      </c>
      <c r="H114" s="54" t="s">
        <v>115</v>
      </c>
      <c r="I114">
        <v>16</v>
      </c>
      <c r="J114" s="11">
        <f t="shared" si="9"/>
        <v>202607</v>
      </c>
      <c r="K114" s="19" t="str">
        <f t="shared" si="10"/>
        <v>يوليو 2026</v>
      </c>
      <c r="L114" s="19" t="str">
        <f t="shared" si="11"/>
        <v>✅ جاهز</v>
      </c>
      <c r="N114" s="11">
        <f t="shared" si="12"/>
        <v>202607</v>
      </c>
      <c r="O114" s="19" t="str">
        <f t="shared" si="13"/>
        <v>يوليو 2026</v>
      </c>
      <c r="P114" s="19" t="str">
        <f t="shared" si="14"/>
        <v>عطر عسل</v>
      </c>
      <c r="Q114" s="55">
        <f t="shared" si="15"/>
        <v>1</v>
      </c>
      <c r="R114" s="55">
        <f t="shared" si="16"/>
        <v>16</v>
      </c>
      <c r="S114" s="19" t="str">
        <f t="shared" si="17"/>
        <v>دولار أمريكي</v>
      </c>
    </row>
    <row r="115" spans="1:19">
      <c r="A115" s="54" t="s">
        <v>367</v>
      </c>
      <c r="B115">
        <v>0</v>
      </c>
      <c r="C115">
        <v>0</v>
      </c>
      <c r="D115">
        <v>0</v>
      </c>
      <c r="E115">
        <v>0</v>
      </c>
      <c r="F115" s="54" t="s">
        <v>63</v>
      </c>
      <c r="G115" t="s">
        <v>111</v>
      </c>
      <c r="H115" s="54" t="s">
        <v>115</v>
      </c>
      <c r="I115">
        <v>10</v>
      </c>
      <c r="J115" s="11">
        <f t="shared" si="9"/>
        <v>202607</v>
      </c>
      <c r="K115" s="19" t="str">
        <f t="shared" si="10"/>
        <v>يوليو 2026</v>
      </c>
      <c r="L115" s="19" t="str">
        <f t="shared" si="11"/>
        <v>⚠️ كمية مفقودة/صفر</v>
      </c>
      <c r="N115" s="11">
        <f t="shared" si="12"/>
        <v>202607</v>
      </c>
      <c r="O115" s="19" t="str">
        <f t="shared" si="13"/>
        <v>يوليو 2026</v>
      </c>
      <c r="P115" s="19" t="str">
        <f t="shared" si="14"/>
        <v>عطر صنوبر</v>
      </c>
      <c r="Q115" s="55">
        <f t="shared" si="15"/>
        <v>0</v>
      </c>
      <c r="R115" s="55">
        <f t="shared" si="16"/>
        <v>10</v>
      </c>
      <c r="S115" s="19" t="str">
        <f t="shared" si="17"/>
        <v>دولار أمريكي</v>
      </c>
    </row>
    <row r="116" spans="1:19">
      <c r="A116" s="54" t="s">
        <v>146</v>
      </c>
      <c r="B116">
        <v>0</v>
      </c>
      <c r="C116">
        <v>0</v>
      </c>
      <c r="D116">
        <v>0</v>
      </c>
      <c r="E116">
        <v>0</v>
      </c>
      <c r="F116" s="54" t="s">
        <v>63</v>
      </c>
      <c r="G116" t="s">
        <v>111</v>
      </c>
      <c r="H116" s="54" t="s">
        <v>115</v>
      </c>
      <c r="I116">
        <v>13</v>
      </c>
      <c r="J116" s="11">
        <f t="shared" si="9"/>
        <v>202607</v>
      </c>
      <c r="K116" s="19" t="str">
        <f t="shared" si="10"/>
        <v>يوليو 2026</v>
      </c>
      <c r="L116" s="19" t="str">
        <f t="shared" si="11"/>
        <v>⚠️ كمية مفقودة/صفر</v>
      </c>
      <c r="N116" s="11">
        <f t="shared" si="12"/>
        <v>202607</v>
      </c>
      <c r="O116" s="19" t="str">
        <f t="shared" si="13"/>
        <v>يوليو 2026</v>
      </c>
      <c r="P116" s="19" t="str">
        <f t="shared" si="14"/>
        <v>عطر جوز الهند</v>
      </c>
      <c r="Q116" s="55">
        <f t="shared" si="15"/>
        <v>0</v>
      </c>
      <c r="R116" s="55">
        <f t="shared" si="16"/>
        <v>13</v>
      </c>
      <c r="S116" s="19" t="str">
        <f t="shared" si="17"/>
        <v>دولار أمريكي</v>
      </c>
    </row>
    <row r="117" spans="1:19">
      <c r="A117" s="54" t="s">
        <v>290</v>
      </c>
      <c r="B117">
        <v>22</v>
      </c>
      <c r="C117">
        <v>0</v>
      </c>
      <c r="D117">
        <v>0</v>
      </c>
      <c r="E117">
        <v>0</v>
      </c>
      <c r="F117" s="54" t="s">
        <v>63</v>
      </c>
      <c r="G117" t="s">
        <v>111</v>
      </c>
      <c r="H117" s="54" t="s">
        <v>111</v>
      </c>
      <c r="I117">
        <v>18</v>
      </c>
      <c r="J117" s="11">
        <f t="shared" si="9"/>
        <v>202607</v>
      </c>
      <c r="K117" s="19" t="str">
        <f t="shared" si="10"/>
        <v>يوليو 2026</v>
      </c>
      <c r="L117" s="19" t="str">
        <f t="shared" si="11"/>
        <v>✅ جاهز</v>
      </c>
      <c r="N117" s="11">
        <f t="shared" si="12"/>
        <v>202607</v>
      </c>
      <c r="O117" s="19" t="str">
        <f t="shared" si="13"/>
        <v>يوليو 2026</v>
      </c>
      <c r="P117" s="19" t="str">
        <f t="shared" si="14"/>
        <v>عطر بيشبه بيدون السلطان - 87287252-750</v>
      </c>
      <c r="Q117" s="55">
        <f t="shared" si="15"/>
        <v>22</v>
      </c>
      <c r="R117" s="55">
        <f t="shared" si="16"/>
        <v>18</v>
      </c>
      <c r="S117" s="19" t="str">
        <f t="shared" si="17"/>
        <v>دولار أمريكي</v>
      </c>
    </row>
    <row r="118" spans="1:19" ht="25.5" customHeight="1">
      <c r="A118" s="54" t="s">
        <v>147</v>
      </c>
      <c r="B118">
        <v>0</v>
      </c>
      <c r="C118">
        <v>0</v>
      </c>
      <c r="D118">
        <v>0</v>
      </c>
      <c r="E118">
        <v>0</v>
      </c>
      <c r="F118" s="54" t="s">
        <v>63</v>
      </c>
      <c r="G118" t="s">
        <v>111</v>
      </c>
      <c r="H118" s="54" t="s">
        <v>115</v>
      </c>
      <c r="I118">
        <v>15</v>
      </c>
      <c r="J118" s="11">
        <f t="shared" si="9"/>
        <v>202607</v>
      </c>
      <c r="K118" s="19" t="str">
        <f t="shared" si="10"/>
        <v>يوليو 2026</v>
      </c>
      <c r="L118" s="19" t="str">
        <f t="shared" si="11"/>
        <v>⚠️ كمية مفقودة/صفر</v>
      </c>
      <c r="N118" s="11">
        <f t="shared" si="12"/>
        <v>202607</v>
      </c>
      <c r="O118" s="19" t="str">
        <f t="shared" si="13"/>
        <v>يوليو 2026</v>
      </c>
      <c r="P118" s="19" t="str">
        <f t="shared" si="14"/>
        <v>عطر بانتين</v>
      </c>
      <c r="Q118" s="55">
        <f t="shared" si="15"/>
        <v>0</v>
      </c>
      <c r="R118" s="55">
        <f t="shared" si="16"/>
        <v>15</v>
      </c>
      <c r="S118" s="19" t="str">
        <f t="shared" si="17"/>
        <v>دولار أمريكي</v>
      </c>
    </row>
    <row r="119" spans="1:19" ht="25.5" customHeight="1">
      <c r="A119" s="54" t="s">
        <v>148</v>
      </c>
      <c r="B119">
        <v>0</v>
      </c>
      <c r="C119">
        <v>0</v>
      </c>
      <c r="D119">
        <v>0</v>
      </c>
      <c r="E119">
        <v>0</v>
      </c>
      <c r="F119" s="54" t="s">
        <v>63</v>
      </c>
      <c r="G119" t="s">
        <v>111</v>
      </c>
      <c r="H119" s="54" t="s">
        <v>115</v>
      </c>
      <c r="I119">
        <v>13.2</v>
      </c>
      <c r="J119" s="11">
        <f t="shared" si="9"/>
        <v>202607</v>
      </c>
      <c r="K119" s="19" t="str">
        <f t="shared" si="10"/>
        <v>يوليو 2026</v>
      </c>
      <c r="L119" s="19" t="str">
        <f t="shared" si="11"/>
        <v>⚠️ كمية مفقودة/صفر</v>
      </c>
      <c r="N119" s="11">
        <f t="shared" si="12"/>
        <v>202607</v>
      </c>
      <c r="O119" s="19" t="str">
        <f t="shared" si="13"/>
        <v>يوليو 2026</v>
      </c>
      <c r="P119" s="19" t="str">
        <f t="shared" si="14"/>
        <v>عطر اوليفا</v>
      </c>
      <c r="Q119" s="55">
        <f t="shared" si="15"/>
        <v>0</v>
      </c>
      <c r="R119" s="55">
        <f t="shared" si="16"/>
        <v>13.2</v>
      </c>
      <c r="S119" s="19" t="str">
        <f t="shared" si="17"/>
        <v>دولار أمريكي</v>
      </c>
    </row>
    <row r="120" spans="1:19" ht="25.5" customHeight="1">
      <c r="A120" s="54" t="s">
        <v>291</v>
      </c>
      <c r="B120">
        <v>2</v>
      </c>
      <c r="C120">
        <v>0</v>
      </c>
      <c r="D120">
        <v>0</v>
      </c>
      <c r="E120">
        <v>0</v>
      </c>
      <c r="F120" s="54" t="s">
        <v>63</v>
      </c>
      <c r="G120" t="s">
        <v>111</v>
      </c>
      <c r="H120" s="54" t="s">
        <v>115</v>
      </c>
      <c r="I120">
        <v>425</v>
      </c>
      <c r="J120" s="11">
        <f t="shared" si="9"/>
        <v>202607</v>
      </c>
      <c r="K120" s="19" t="str">
        <f t="shared" si="10"/>
        <v>يوليو 2026</v>
      </c>
      <c r="L120" s="19" t="str">
        <f t="shared" si="11"/>
        <v>✅ جاهز</v>
      </c>
      <c r="N120" s="11">
        <f t="shared" si="12"/>
        <v>202607</v>
      </c>
      <c r="O120" s="19" t="str">
        <f t="shared" si="13"/>
        <v>يوليو 2026</v>
      </c>
      <c r="P120" s="19" t="str">
        <f t="shared" si="14"/>
        <v>عطر ramani-kodi-000110</v>
      </c>
      <c r="Q120" s="55">
        <f t="shared" si="15"/>
        <v>2</v>
      </c>
      <c r="R120" s="55">
        <f t="shared" si="16"/>
        <v>425</v>
      </c>
      <c r="S120" s="19" t="str">
        <f t="shared" si="17"/>
        <v>دولار أمريكي</v>
      </c>
    </row>
    <row r="121" spans="1:19">
      <c r="A121" s="54" t="s">
        <v>292</v>
      </c>
      <c r="B121">
        <v>50</v>
      </c>
      <c r="C121">
        <v>0</v>
      </c>
      <c r="D121">
        <v>0</v>
      </c>
      <c r="E121">
        <v>0</v>
      </c>
      <c r="F121" s="54" t="s">
        <v>63</v>
      </c>
      <c r="G121" t="s">
        <v>111</v>
      </c>
      <c r="H121" s="54" t="s">
        <v>115</v>
      </c>
      <c r="I121">
        <v>22</v>
      </c>
      <c r="J121" s="11">
        <f t="shared" si="9"/>
        <v>202607</v>
      </c>
      <c r="K121" s="19" t="str">
        <f t="shared" si="10"/>
        <v>يوليو 2026</v>
      </c>
      <c r="L121" s="19" t="str">
        <f t="shared" si="11"/>
        <v>✅ جاهز</v>
      </c>
      <c r="N121" s="11">
        <f t="shared" si="12"/>
        <v>202607</v>
      </c>
      <c r="O121" s="19" t="str">
        <f t="shared" si="13"/>
        <v>يوليو 2026</v>
      </c>
      <c r="P121" s="19" t="str">
        <f t="shared" si="14"/>
        <v>عطر magic sprel - 6168581</v>
      </c>
      <c r="Q121" s="55">
        <f t="shared" si="15"/>
        <v>50</v>
      </c>
      <c r="R121" s="55">
        <f t="shared" si="16"/>
        <v>22</v>
      </c>
      <c r="S121" s="19" t="str">
        <f t="shared" si="17"/>
        <v>دولار أمريكي</v>
      </c>
    </row>
    <row r="122" spans="1:19" ht="25.5" customHeight="1">
      <c r="A122" s="54" t="s">
        <v>293</v>
      </c>
      <c r="B122">
        <v>4</v>
      </c>
      <c r="C122">
        <v>0</v>
      </c>
      <c r="D122">
        <v>0</v>
      </c>
      <c r="E122">
        <v>0</v>
      </c>
      <c r="F122" s="54" t="s">
        <v>63</v>
      </c>
      <c r="G122" t="s">
        <v>111</v>
      </c>
      <c r="H122" s="54" t="s">
        <v>115</v>
      </c>
      <c r="I122">
        <v>425</v>
      </c>
      <c r="J122" s="11">
        <f t="shared" si="9"/>
        <v>202607</v>
      </c>
      <c r="K122" s="19" t="str">
        <f t="shared" si="10"/>
        <v>يوليو 2026</v>
      </c>
      <c r="L122" s="19" t="str">
        <f t="shared" si="11"/>
        <v>✅ جاهز</v>
      </c>
      <c r="N122" s="11">
        <f t="shared" si="12"/>
        <v>202607</v>
      </c>
      <c r="O122" s="19" t="str">
        <f t="shared" si="13"/>
        <v>يوليو 2026</v>
      </c>
      <c r="P122" s="19" t="str">
        <f t="shared" si="14"/>
        <v>عطر kavien-clein-eforia-000020</v>
      </c>
      <c r="Q122" s="55">
        <f t="shared" si="15"/>
        <v>4</v>
      </c>
      <c r="R122" s="55">
        <f t="shared" si="16"/>
        <v>425</v>
      </c>
      <c r="S122" s="19" t="str">
        <f t="shared" si="17"/>
        <v>دولار أمريكي</v>
      </c>
    </row>
    <row r="123" spans="1:19">
      <c r="A123" s="54" t="s">
        <v>294</v>
      </c>
      <c r="B123">
        <v>1.44</v>
      </c>
      <c r="C123">
        <v>0</v>
      </c>
      <c r="D123">
        <v>0</v>
      </c>
      <c r="E123">
        <v>0</v>
      </c>
      <c r="F123" s="54" t="s">
        <v>63</v>
      </c>
      <c r="G123" t="s">
        <v>111</v>
      </c>
      <c r="H123" s="54" t="s">
        <v>115</v>
      </c>
      <c r="I123">
        <v>400</v>
      </c>
      <c r="J123" s="11">
        <f t="shared" si="9"/>
        <v>202607</v>
      </c>
      <c r="K123" s="19" t="str">
        <f t="shared" si="10"/>
        <v>يوليو 2026</v>
      </c>
      <c r="L123" s="19" t="str">
        <f t="shared" si="11"/>
        <v>✅ جاهز</v>
      </c>
      <c r="N123" s="11">
        <f t="shared" si="12"/>
        <v>202607</v>
      </c>
      <c r="O123" s="19" t="str">
        <f t="shared" si="13"/>
        <v>يوليو 2026</v>
      </c>
      <c r="P123" s="19" t="str">
        <f t="shared" si="14"/>
        <v>عطر energy-000400</v>
      </c>
      <c r="Q123" s="55">
        <f t="shared" si="15"/>
        <v>1.44</v>
      </c>
      <c r="R123" s="55">
        <f t="shared" si="16"/>
        <v>400</v>
      </c>
      <c r="S123" s="19" t="str">
        <f t="shared" si="17"/>
        <v>دولار أمريكي</v>
      </c>
    </row>
    <row r="124" spans="1:19">
      <c r="A124" s="54" t="s">
        <v>295</v>
      </c>
      <c r="B124">
        <v>105</v>
      </c>
      <c r="C124">
        <v>0</v>
      </c>
      <c r="D124">
        <v>0</v>
      </c>
      <c r="E124">
        <v>0</v>
      </c>
      <c r="F124" s="54" t="s">
        <v>63</v>
      </c>
      <c r="G124" t="s">
        <v>111</v>
      </c>
      <c r="H124" s="54" t="s">
        <v>115</v>
      </c>
      <c r="I124">
        <v>24</v>
      </c>
      <c r="J124" s="11">
        <f t="shared" si="9"/>
        <v>202607</v>
      </c>
      <c r="K124" s="19" t="str">
        <f t="shared" si="10"/>
        <v>يوليو 2026</v>
      </c>
      <c r="L124" s="19" t="str">
        <f t="shared" si="11"/>
        <v>✅ جاهز</v>
      </c>
      <c r="N124" s="11">
        <f t="shared" si="12"/>
        <v>202607</v>
      </c>
      <c r="O124" s="19" t="str">
        <f t="shared" si="13"/>
        <v>يوليو 2026</v>
      </c>
      <c r="P124" s="19" t="str">
        <f t="shared" si="14"/>
        <v>عطر Blue APC - 0001198620</v>
      </c>
      <c r="Q124" s="55">
        <f t="shared" si="15"/>
        <v>105</v>
      </c>
      <c r="R124" s="55">
        <f t="shared" si="16"/>
        <v>24</v>
      </c>
      <c r="S124" s="19" t="str">
        <f t="shared" si="17"/>
        <v>دولار أمريكي</v>
      </c>
    </row>
    <row r="125" spans="1:19" ht="25.5" customHeight="1">
      <c r="A125" s="54" t="s">
        <v>296</v>
      </c>
      <c r="B125">
        <v>4</v>
      </c>
      <c r="C125">
        <v>0</v>
      </c>
      <c r="D125">
        <v>0</v>
      </c>
      <c r="E125">
        <v>0</v>
      </c>
      <c r="F125" s="54" t="s">
        <v>63</v>
      </c>
      <c r="G125" t="s">
        <v>111</v>
      </c>
      <c r="H125" s="54" t="s">
        <v>115</v>
      </c>
      <c r="I125">
        <v>450</v>
      </c>
      <c r="J125" s="11">
        <f t="shared" si="9"/>
        <v>202607</v>
      </c>
      <c r="K125" s="19" t="str">
        <f t="shared" si="10"/>
        <v>يوليو 2026</v>
      </c>
      <c r="L125" s="19" t="str">
        <f t="shared" si="11"/>
        <v>✅ جاهز</v>
      </c>
      <c r="N125" s="11">
        <f t="shared" si="12"/>
        <v>202607</v>
      </c>
      <c r="O125" s="19" t="str">
        <f t="shared" si="13"/>
        <v>يوليو 2026</v>
      </c>
      <c r="P125" s="19" t="str">
        <f t="shared" si="14"/>
        <v>عطر billionair-000250</v>
      </c>
      <c r="Q125" s="55">
        <f t="shared" si="15"/>
        <v>4</v>
      </c>
      <c r="R125" s="55">
        <f t="shared" si="16"/>
        <v>450</v>
      </c>
      <c r="S125" s="19" t="str">
        <f t="shared" si="17"/>
        <v>دولار أمريكي</v>
      </c>
    </row>
    <row r="126" spans="1:19">
      <c r="A126" s="54" t="s">
        <v>297</v>
      </c>
      <c r="B126">
        <v>2</v>
      </c>
      <c r="C126">
        <v>0</v>
      </c>
      <c r="D126">
        <v>0</v>
      </c>
      <c r="E126">
        <v>0</v>
      </c>
      <c r="F126" s="54" t="s">
        <v>63</v>
      </c>
      <c r="G126" t="s">
        <v>111</v>
      </c>
      <c r="H126" s="54" t="s">
        <v>115</v>
      </c>
      <c r="I126">
        <v>187.5</v>
      </c>
      <c r="J126" s="11">
        <f t="shared" si="9"/>
        <v>202607</v>
      </c>
      <c r="K126" s="19" t="str">
        <f t="shared" si="10"/>
        <v>يوليو 2026</v>
      </c>
      <c r="L126" s="19" t="str">
        <f t="shared" si="11"/>
        <v>✅ جاهز</v>
      </c>
      <c r="N126" s="11">
        <f t="shared" si="12"/>
        <v>202607</v>
      </c>
      <c r="O126" s="19" t="str">
        <f t="shared" si="13"/>
        <v>يوليو 2026</v>
      </c>
      <c r="P126" s="19" t="str">
        <f t="shared" si="14"/>
        <v>عطر be-apple-000320</v>
      </c>
      <c r="Q126" s="55">
        <f t="shared" si="15"/>
        <v>2</v>
      </c>
      <c r="R126" s="55">
        <f t="shared" si="16"/>
        <v>187.5</v>
      </c>
      <c r="S126" s="19" t="str">
        <f t="shared" si="17"/>
        <v>دولار أمريكي</v>
      </c>
    </row>
    <row r="127" spans="1:19" ht="25.5" customHeight="1">
      <c r="A127" s="54" t="s">
        <v>237</v>
      </c>
      <c r="B127">
        <v>0.4</v>
      </c>
      <c r="C127">
        <v>250000</v>
      </c>
      <c r="D127">
        <v>250000</v>
      </c>
      <c r="E127">
        <v>250000</v>
      </c>
      <c r="F127" s="54" t="s">
        <v>62</v>
      </c>
      <c r="G127" t="s">
        <v>111</v>
      </c>
      <c r="H127" s="54" t="s">
        <v>139</v>
      </c>
      <c r="I127">
        <v>200000</v>
      </c>
      <c r="J127" s="11">
        <f t="shared" si="9"/>
        <v>202607</v>
      </c>
      <c r="K127" s="19" t="str">
        <f t="shared" si="10"/>
        <v>يوليو 2026</v>
      </c>
      <c r="L127" s="19" t="str">
        <f t="shared" si="11"/>
        <v>✅ جاهز</v>
      </c>
      <c r="N127" s="11">
        <f t="shared" si="12"/>
        <v>202607</v>
      </c>
      <c r="O127" s="19" t="str">
        <f t="shared" si="13"/>
        <v>يوليو 2026</v>
      </c>
      <c r="P127" s="19" t="str">
        <f t="shared" si="14"/>
        <v>عصايات</v>
      </c>
      <c r="Q127" s="55">
        <f t="shared" si="15"/>
        <v>0.4</v>
      </c>
      <c r="R127" s="55">
        <f t="shared" si="16"/>
        <v>200000</v>
      </c>
      <c r="S127" s="19" t="str">
        <f t="shared" si="17"/>
        <v>ليرة سورية</v>
      </c>
    </row>
    <row r="128" spans="1:19" ht="25.5" customHeight="1">
      <c r="A128" s="54" t="s">
        <v>298</v>
      </c>
      <c r="B128">
        <v>0</v>
      </c>
      <c r="C128">
        <v>0</v>
      </c>
      <c r="D128">
        <v>0</v>
      </c>
      <c r="E128">
        <v>0</v>
      </c>
      <c r="F128" s="54" t="s">
        <v>63</v>
      </c>
      <c r="G128" t="s">
        <v>111</v>
      </c>
      <c r="H128" s="54" t="s">
        <v>115</v>
      </c>
      <c r="I128">
        <v>0.8</v>
      </c>
      <c r="J128" s="11">
        <f t="shared" si="9"/>
        <v>202607</v>
      </c>
      <c r="K128" s="19" t="str">
        <f t="shared" si="10"/>
        <v>يوليو 2026</v>
      </c>
      <c r="L128" s="19" t="str">
        <f t="shared" si="11"/>
        <v>⚠️ كمية مفقودة/صفر</v>
      </c>
      <c r="N128" s="11">
        <f t="shared" si="12"/>
        <v>202607</v>
      </c>
      <c r="O128" s="19" t="str">
        <f t="shared" si="13"/>
        <v>يوليو 2026</v>
      </c>
      <c r="P128" s="19" t="str">
        <f t="shared" si="14"/>
        <v xml:space="preserve">عبوة 1 لتر </v>
      </c>
      <c r="Q128" s="55">
        <f t="shared" si="15"/>
        <v>0</v>
      </c>
      <c r="R128" s="55">
        <f t="shared" si="16"/>
        <v>0.8</v>
      </c>
      <c r="S128" s="19" t="str">
        <f t="shared" si="17"/>
        <v>دولار أمريكي</v>
      </c>
    </row>
    <row r="129" spans="1:19" ht="25.5" customHeight="1">
      <c r="A129" s="54" t="s">
        <v>329</v>
      </c>
      <c r="B129">
        <v>18.03</v>
      </c>
      <c r="C129">
        <v>90000</v>
      </c>
      <c r="D129">
        <v>90000</v>
      </c>
      <c r="E129">
        <v>90000</v>
      </c>
      <c r="F129" s="54" t="s">
        <v>62</v>
      </c>
      <c r="G129" t="s">
        <v>111</v>
      </c>
      <c r="H129" s="54" t="s">
        <v>115</v>
      </c>
      <c r="I129">
        <v>84000</v>
      </c>
      <c r="J129" s="11">
        <f t="shared" si="9"/>
        <v>202607</v>
      </c>
      <c r="K129" s="19" t="str">
        <f t="shared" si="10"/>
        <v>يوليو 2026</v>
      </c>
      <c r="L129" s="19" t="str">
        <f t="shared" si="11"/>
        <v>✅ جاهز</v>
      </c>
      <c r="N129" s="11">
        <f t="shared" si="12"/>
        <v>202607</v>
      </c>
      <c r="O129" s="19" t="str">
        <f t="shared" si="13"/>
        <v>يوليو 2026</v>
      </c>
      <c r="P129" s="19" t="str">
        <f t="shared" si="14"/>
        <v xml:space="preserve">عبوات كلور + فلاش فارغة </v>
      </c>
      <c r="Q129" s="55">
        <f t="shared" si="15"/>
        <v>18.03</v>
      </c>
      <c r="R129" s="55">
        <f t="shared" si="16"/>
        <v>84000</v>
      </c>
      <c r="S129" s="19" t="str">
        <f t="shared" si="17"/>
        <v>ليرة سورية</v>
      </c>
    </row>
    <row r="130" spans="1:19">
      <c r="A130" s="54" t="s">
        <v>330</v>
      </c>
      <c r="B130">
        <v>30.82</v>
      </c>
      <c r="C130">
        <v>135000</v>
      </c>
      <c r="D130">
        <v>135000</v>
      </c>
      <c r="E130">
        <v>135000</v>
      </c>
      <c r="F130" s="54" t="s">
        <v>62</v>
      </c>
      <c r="G130" t="s">
        <v>111</v>
      </c>
      <c r="H130" s="54" t="s">
        <v>115</v>
      </c>
      <c r="I130">
        <v>126000</v>
      </c>
      <c r="J130" s="11">
        <f t="shared" si="9"/>
        <v>202607</v>
      </c>
      <c r="K130" s="19" t="str">
        <f t="shared" si="10"/>
        <v>يوليو 2026</v>
      </c>
      <c r="L130" s="19" t="str">
        <f t="shared" si="11"/>
        <v>✅ جاهز</v>
      </c>
      <c r="N130" s="11">
        <f t="shared" si="12"/>
        <v>202607</v>
      </c>
      <c r="O130" s="19" t="str">
        <f t="shared" si="13"/>
        <v>يوليو 2026</v>
      </c>
      <c r="P130" s="19" t="str">
        <f t="shared" si="14"/>
        <v>عبوات شفافة 3 لتر</v>
      </c>
      <c r="Q130" s="55">
        <f t="shared" si="15"/>
        <v>30.82</v>
      </c>
      <c r="R130" s="55">
        <f t="shared" si="16"/>
        <v>126000</v>
      </c>
      <c r="S130" s="19" t="str">
        <f t="shared" si="17"/>
        <v>ليرة سورية</v>
      </c>
    </row>
    <row r="131" spans="1:19" ht="25.5" customHeight="1">
      <c r="A131" s="54" t="s">
        <v>238</v>
      </c>
      <c r="B131">
        <v>93.75</v>
      </c>
      <c r="C131">
        <v>128000</v>
      </c>
      <c r="D131">
        <v>128000</v>
      </c>
      <c r="E131">
        <v>128000</v>
      </c>
      <c r="F131" s="54" t="s">
        <v>62</v>
      </c>
      <c r="G131" t="s">
        <v>111</v>
      </c>
      <c r="H131" s="54" t="s">
        <v>115</v>
      </c>
      <c r="I131">
        <v>96000</v>
      </c>
      <c r="J131" s="11">
        <f t="shared" si="9"/>
        <v>202607</v>
      </c>
      <c r="K131" s="19" t="str">
        <f t="shared" si="10"/>
        <v>يوليو 2026</v>
      </c>
      <c r="L131" s="19" t="str">
        <f t="shared" si="11"/>
        <v>✅ جاهز</v>
      </c>
      <c r="N131" s="11">
        <f t="shared" si="12"/>
        <v>202607</v>
      </c>
      <c r="O131" s="19" t="str">
        <f t="shared" si="13"/>
        <v>يوليو 2026</v>
      </c>
      <c r="P131" s="19" t="str">
        <f t="shared" si="14"/>
        <v>عبوات حليبي</v>
      </c>
      <c r="Q131" s="55">
        <f t="shared" si="15"/>
        <v>93.75</v>
      </c>
      <c r="R131" s="55">
        <f t="shared" si="16"/>
        <v>96000</v>
      </c>
      <c r="S131" s="19" t="str">
        <f t="shared" si="17"/>
        <v>ليرة سورية</v>
      </c>
    </row>
    <row r="132" spans="1:19" ht="25.5" customHeight="1">
      <c r="A132" s="54" t="s">
        <v>239</v>
      </c>
      <c r="B132">
        <v>80</v>
      </c>
      <c r="C132">
        <v>18000</v>
      </c>
      <c r="D132">
        <v>18000</v>
      </c>
      <c r="E132">
        <v>18000</v>
      </c>
      <c r="F132" s="54" t="s">
        <v>62</v>
      </c>
      <c r="G132" t="s">
        <v>111</v>
      </c>
      <c r="H132" s="54" t="s">
        <v>139</v>
      </c>
      <c r="I132">
        <v>15000</v>
      </c>
      <c r="J132" s="11">
        <f t="shared" si="9"/>
        <v>202607</v>
      </c>
      <c r="K132" s="19" t="str">
        <f t="shared" si="10"/>
        <v>يوليو 2026</v>
      </c>
      <c r="L132" s="19" t="str">
        <f t="shared" si="11"/>
        <v>✅ جاهز</v>
      </c>
      <c r="N132" s="11">
        <f t="shared" si="12"/>
        <v>202607</v>
      </c>
      <c r="O132" s="19" t="str">
        <f t="shared" si="13"/>
        <v>يوليو 2026</v>
      </c>
      <c r="P132" s="19" t="str">
        <f t="shared" si="14"/>
        <v>طواقي راس</v>
      </c>
      <c r="Q132" s="55">
        <f t="shared" si="15"/>
        <v>80</v>
      </c>
      <c r="R132" s="55">
        <f t="shared" si="16"/>
        <v>15000</v>
      </c>
      <c r="S132" s="19" t="str">
        <f t="shared" si="17"/>
        <v>ليرة سورية</v>
      </c>
    </row>
    <row r="133" spans="1:19">
      <c r="A133" s="54" t="s">
        <v>149</v>
      </c>
      <c r="B133">
        <v>0</v>
      </c>
      <c r="C133">
        <v>0</v>
      </c>
      <c r="D133">
        <v>0</v>
      </c>
      <c r="E133">
        <v>0</v>
      </c>
      <c r="F133" s="54" t="s">
        <v>63</v>
      </c>
      <c r="G133" t="s">
        <v>111</v>
      </c>
      <c r="H133" s="54" t="s">
        <v>112</v>
      </c>
      <c r="I133">
        <v>0</v>
      </c>
      <c r="J133" s="11">
        <f t="shared" si="9"/>
        <v>202607</v>
      </c>
      <c r="K133" s="19" t="str">
        <f t="shared" si="10"/>
        <v>يوليو 2026</v>
      </c>
      <c r="L133" s="19" t="str">
        <f t="shared" si="11"/>
        <v>⚠️ كمية مفقودة/صفر</v>
      </c>
      <c r="N133" s="11">
        <f t="shared" si="12"/>
        <v>202607</v>
      </c>
      <c r="O133" s="19" t="str">
        <f t="shared" si="13"/>
        <v>يوليو 2026</v>
      </c>
      <c r="P133" s="19" t="str">
        <f t="shared" si="14"/>
        <v xml:space="preserve">طبخة رابع مخصصة </v>
      </c>
      <c r="Q133" s="55">
        <f t="shared" si="15"/>
        <v>0</v>
      </c>
      <c r="R133" s="55">
        <f t="shared" si="16"/>
        <v>0</v>
      </c>
      <c r="S133" s="19" t="str">
        <f t="shared" si="17"/>
        <v>دولار أمريكي</v>
      </c>
    </row>
    <row r="134" spans="1:19">
      <c r="A134" s="54" t="s">
        <v>150</v>
      </c>
      <c r="B134">
        <v>0</v>
      </c>
      <c r="C134">
        <v>0</v>
      </c>
      <c r="D134">
        <v>0</v>
      </c>
      <c r="E134">
        <v>0</v>
      </c>
      <c r="F134" s="54" t="s">
        <v>63</v>
      </c>
      <c r="G134" t="s">
        <v>111</v>
      </c>
      <c r="H134" t="s">
        <v>112</v>
      </c>
      <c r="I134">
        <v>0</v>
      </c>
      <c r="J134" s="11">
        <f t="shared" si="9"/>
        <v>202607</v>
      </c>
      <c r="K134" s="19" t="str">
        <f t="shared" si="10"/>
        <v>يوليو 2026</v>
      </c>
      <c r="L134" s="19" t="str">
        <f t="shared" si="11"/>
        <v>⚠️ كمية مفقودة/صفر</v>
      </c>
      <c r="N134" s="11">
        <f t="shared" si="12"/>
        <v>202607</v>
      </c>
      <c r="O134" s="19" t="str">
        <f t="shared" si="13"/>
        <v>يوليو 2026</v>
      </c>
      <c r="P134" s="19" t="str">
        <f t="shared" si="14"/>
        <v>طبخة رابع تنتح طبختين</v>
      </c>
      <c r="Q134" s="55">
        <f t="shared" si="15"/>
        <v>0</v>
      </c>
      <c r="R134" s="55">
        <f t="shared" si="16"/>
        <v>0</v>
      </c>
      <c r="S134" s="19" t="str">
        <f t="shared" si="17"/>
        <v>دولار أمريكي</v>
      </c>
    </row>
    <row r="135" spans="1:19" ht="25.5" customHeight="1">
      <c r="A135" s="54" t="s">
        <v>151</v>
      </c>
      <c r="B135">
        <v>0</v>
      </c>
      <c r="C135">
        <v>0</v>
      </c>
      <c r="D135">
        <v>0</v>
      </c>
      <c r="E135">
        <v>0</v>
      </c>
      <c r="F135" s="54" t="s">
        <v>63</v>
      </c>
      <c r="G135" t="s">
        <v>111</v>
      </c>
      <c r="H135" s="54" t="s">
        <v>112</v>
      </c>
      <c r="I135">
        <v>642</v>
      </c>
      <c r="J135" s="11">
        <f t="shared" ref="J135:J198" si="18">IF($B$3="","",$B$3)</f>
        <v>202607</v>
      </c>
      <c r="K135" s="19" t="str">
        <f t="shared" ref="K135:K198" si="19">IF($B$4="","",$B$4)</f>
        <v>يوليو 2026</v>
      </c>
      <c r="L135" s="19" t="str">
        <f t="shared" ref="L135:L198" si="20">IF(A135="","",IF(OR(B135="",B135=0),"⚠️ كمية مفقودة/صفر",IF(I135="","⚠️ سعر شراء مفقود",IF(F135="","⚠️ عملة مفقودة",IF(COUNTIF($A$7:$A$505,A135)&gt;1,"⚠️ مادة مكررة بالقائمة","✅ جاهز")))))</f>
        <v>⚠️ كمية مفقودة/صفر</v>
      </c>
      <c r="N135" s="11">
        <f t="shared" ref="N135:N198" si="21">J135</f>
        <v>202607</v>
      </c>
      <c r="O135" s="19" t="str">
        <f t="shared" ref="O135:O198" si="22">K135</f>
        <v>يوليو 2026</v>
      </c>
      <c r="P135" s="19" t="str">
        <f t="shared" ref="P135:P198" si="23">A135</f>
        <v xml:space="preserve">طبخة اول تنتج طبختين </v>
      </c>
      <c r="Q135" s="55">
        <f t="shared" ref="Q135:Q198" si="24">B135</f>
        <v>0</v>
      </c>
      <c r="R135" s="55">
        <f t="shared" ref="R135:R198" si="25">I135</f>
        <v>642</v>
      </c>
      <c r="S135" s="19" t="str">
        <f t="shared" ref="S135:S198" si="26">F135</f>
        <v>دولار أمريكي</v>
      </c>
    </row>
    <row r="136" spans="1:19">
      <c r="A136" s="54" t="s">
        <v>152</v>
      </c>
      <c r="B136">
        <v>0</v>
      </c>
      <c r="C136">
        <v>0</v>
      </c>
      <c r="D136">
        <v>0</v>
      </c>
      <c r="E136">
        <v>0</v>
      </c>
      <c r="F136" s="54" t="s">
        <v>63</v>
      </c>
      <c r="G136" t="s">
        <v>111</v>
      </c>
      <c r="H136" s="54" t="s">
        <v>115</v>
      </c>
      <c r="I136">
        <v>0</v>
      </c>
      <c r="J136" s="11">
        <f t="shared" si="18"/>
        <v>202607</v>
      </c>
      <c r="K136" s="19" t="str">
        <f t="shared" si="19"/>
        <v>يوليو 2026</v>
      </c>
      <c r="L136" s="19" t="str">
        <f t="shared" si="20"/>
        <v>⚠️ كمية مفقودة/صفر</v>
      </c>
      <c r="N136" s="11">
        <f t="shared" si="21"/>
        <v>202607</v>
      </c>
      <c r="O136" s="19" t="str">
        <f t="shared" si="22"/>
        <v>يوليو 2026</v>
      </c>
      <c r="P136" s="19" t="str">
        <f t="shared" si="23"/>
        <v>طبخة الاندومي</v>
      </c>
      <c r="Q136" s="55">
        <f t="shared" si="24"/>
        <v>0</v>
      </c>
      <c r="R136" s="55">
        <f t="shared" si="25"/>
        <v>0</v>
      </c>
      <c r="S136" s="19" t="str">
        <f t="shared" si="26"/>
        <v>دولار أمريكي</v>
      </c>
    </row>
    <row r="137" spans="1:19" ht="25.5" customHeight="1">
      <c r="A137" s="54" t="s">
        <v>153</v>
      </c>
      <c r="B137">
        <v>17</v>
      </c>
      <c r="C137">
        <v>8.5</v>
      </c>
      <c r="D137">
        <v>8.5</v>
      </c>
      <c r="E137">
        <v>8.5</v>
      </c>
      <c r="F137" s="54" t="s">
        <v>63</v>
      </c>
      <c r="G137" t="s">
        <v>111</v>
      </c>
      <c r="H137" s="54" t="s">
        <v>115</v>
      </c>
      <c r="I137">
        <v>8</v>
      </c>
      <c r="J137" s="11">
        <f t="shared" si="18"/>
        <v>202607</v>
      </c>
      <c r="K137" s="19" t="str">
        <f t="shared" si="19"/>
        <v>يوليو 2026</v>
      </c>
      <c r="L137" s="19" t="str">
        <f t="shared" si="20"/>
        <v>✅ جاهز</v>
      </c>
      <c r="N137" s="11">
        <f t="shared" si="21"/>
        <v>202607</v>
      </c>
      <c r="O137" s="19" t="str">
        <f t="shared" si="22"/>
        <v>يوليو 2026</v>
      </c>
      <c r="P137" s="19" t="str">
        <f t="shared" si="23"/>
        <v>طبالي خشب</v>
      </c>
      <c r="Q137" s="55">
        <f t="shared" si="24"/>
        <v>17</v>
      </c>
      <c r="R137" s="55">
        <f t="shared" si="25"/>
        <v>8</v>
      </c>
      <c r="S137" s="19" t="str">
        <f t="shared" si="26"/>
        <v>دولار أمريكي</v>
      </c>
    </row>
    <row r="138" spans="1:19">
      <c r="A138" s="54" t="s">
        <v>154</v>
      </c>
      <c r="B138">
        <v>0</v>
      </c>
      <c r="C138">
        <v>0</v>
      </c>
      <c r="D138">
        <v>0</v>
      </c>
      <c r="E138">
        <v>0</v>
      </c>
      <c r="F138" s="54" t="s">
        <v>63</v>
      </c>
      <c r="G138" t="s">
        <v>111</v>
      </c>
      <c r="H138" s="54" t="s">
        <v>115</v>
      </c>
      <c r="I138">
        <v>0.6</v>
      </c>
      <c r="J138" s="11">
        <f t="shared" si="18"/>
        <v>202607</v>
      </c>
      <c r="K138" s="19" t="str">
        <f t="shared" si="19"/>
        <v>يوليو 2026</v>
      </c>
      <c r="L138" s="19" t="str">
        <f t="shared" si="20"/>
        <v>⚠️ كمية مفقودة/صفر</v>
      </c>
      <c r="N138" s="11">
        <f t="shared" si="21"/>
        <v>202607</v>
      </c>
      <c r="O138" s="19" t="str">
        <f t="shared" si="22"/>
        <v>يوليو 2026</v>
      </c>
      <c r="P138" s="19" t="str">
        <f t="shared" si="23"/>
        <v xml:space="preserve">صودا أش </v>
      </c>
      <c r="Q138" s="55">
        <f t="shared" si="24"/>
        <v>0</v>
      </c>
      <c r="R138" s="55">
        <f t="shared" si="25"/>
        <v>0.6</v>
      </c>
      <c r="S138" s="19" t="str">
        <f t="shared" si="26"/>
        <v>دولار أمريكي</v>
      </c>
    </row>
    <row r="139" spans="1:19">
      <c r="A139" s="54" t="s">
        <v>155</v>
      </c>
      <c r="B139">
        <v>1.36</v>
      </c>
      <c r="C139">
        <v>0</v>
      </c>
      <c r="D139">
        <v>0</v>
      </c>
      <c r="E139">
        <v>0</v>
      </c>
      <c r="F139" s="54" t="s">
        <v>63</v>
      </c>
      <c r="G139" t="s">
        <v>111</v>
      </c>
      <c r="H139" s="54" t="s">
        <v>115</v>
      </c>
      <c r="I139">
        <v>9.17</v>
      </c>
      <c r="J139" s="11">
        <f t="shared" si="18"/>
        <v>202607</v>
      </c>
      <c r="K139" s="19" t="str">
        <f t="shared" si="19"/>
        <v>يوليو 2026</v>
      </c>
      <c r="L139" s="19" t="str">
        <f t="shared" si="20"/>
        <v>✅ جاهز</v>
      </c>
      <c r="N139" s="11">
        <f t="shared" si="21"/>
        <v>202607</v>
      </c>
      <c r="O139" s="19" t="str">
        <f t="shared" si="22"/>
        <v>يوليو 2026</v>
      </c>
      <c r="P139" s="19" t="str">
        <f t="shared" si="23"/>
        <v xml:space="preserve">صبغة </v>
      </c>
      <c r="Q139" s="55">
        <f t="shared" si="24"/>
        <v>1.36</v>
      </c>
      <c r="R139" s="55">
        <f t="shared" si="25"/>
        <v>9.17</v>
      </c>
      <c r="S139" s="19" t="str">
        <f t="shared" si="26"/>
        <v>دولار أمريكي</v>
      </c>
    </row>
    <row r="140" spans="1:19" ht="25.5" customHeight="1">
      <c r="A140" s="54" t="s">
        <v>240</v>
      </c>
      <c r="B140">
        <v>0</v>
      </c>
      <c r="C140">
        <v>0</v>
      </c>
      <c r="D140">
        <v>0</v>
      </c>
      <c r="E140">
        <v>0</v>
      </c>
      <c r="F140" s="54" t="s">
        <v>62</v>
      </c>
      <c r="G140" t="s">
        <v>111</v>
      </c>
      <c r="H140" s="54" t="s">
        <v>139</v>
      </c>
      <c r="I140">
        <v>170000</v>
      </c>
      <c r="J140" s="11">
        <f t="shared" si="18"/>
        <v>202607</v>
      </c>
      <c r="K140" s="19" t="str">
        <f t="shared" si="19"/>
        <v>يوليو 2026</v>
      </c>
      <c r="L140" s="19" t="str">
        <f t="shared" si="20"/>
        <v>⚠️ كمية مفقودة/صفر</v>
      </c>
      <c r="N140" s="11">
        <f t="shared" si="21"/>
        <v>202607</v>
      </c>
      <c r="O140" s="19" t="str">
        <f t="shared" si="22"/>
        <v>يوليو 2026</v>
      </c>
      <c r="P140" s="19" t="str">
        <f t="shared" si="23"/>
        <v>صابون كرمل</v>
      </c>
      <c r="Q140" s="55">
        <f t="shared" si="24"/>
        <v>0</v>
      </c>
      <c r="R140" s="55">
        <f t="shared" si="25"/>
        <v>170000</v>
      </c>
      <c r="S140" s="19" t="str">
        <f t="shared" si="26"/>
        <v>ليرة سورية</v>
      </c>
    </row>
    <row r="141" spans="1:19" ht="25.5" customHeight="1">
      <c r="A141" s="54" t="s">
        <v>156</v>
      </c>
      <c r="B141">
        <v>0</v>
      </c>
      <c r="C141">
        <v>0</v>
      </c>
      <c r="D141">
        <v>0</v>
      </c>
      <c r="E141">
        <v>0</v>
      </c>
      <c r="F141" s="54" t="s">
        <v>63</v>
      </c>
      <c r="G141" t="s">
        <v>111</v>
      </c>
      <c r="H141" s="54" t="s">
        <v>112</v>
      </c>
      <c r="I141">
        <v>423</v>
      </c>
      <c r="J141" s="11">
        <f t="shared" si="18"/>
        <v>202607</v>
      </c>
      <c r="K141" s="19" t="str">
        <f t="shared" si="19"/>
        <v>يوليو 2026</v>
      </c>
      <c r="L141" s="19" t="str">
        <f t="shared" si="20"/>
        <v>⚠️ كمية مفقودة/صفر</v>
      </c>
      <c r="N141" s="11">
        <f t="shared" si="21"/>
        <v>202607</v>
      </c>
      <c r="O141" s="19" t="str">
        <f t="shared" si="22"/>
        <v>يوليو 2026</v>
      </c>
      <c r="P141" s="19" t="str">
        <f t="shared" si="23"/>
        <v>صابون سادة خام</v>
      </c>
      <c r="Q141" s="55">
        <f t="shared" si="24"/>
        <v>0</v>
      </c>
      <c r="R141" s="55">
        <f t="shared" si="25"/>
        <v>423</v>
      </c>
      <c r="S141" s="19" t="str">
        <f t="shared" si="26"/>
        <v>دولار أمريكي</v>
      </c>
    </row>
    <row r="142" spans="1:19">
      <c r="A142" s="54" t="s">
        <v>157</v>
      </c>
      <c r="B142">
        <v>0</v>
      </c>
      <c r="C142">
        <v>0</v>
      </c>
      <c r="D142">
        <v>0</v>
      </c>
      <c r="E142">
        <v>0</v>
      </c>
      <c r="F142" s="54" t="s">
        <v>63</v>
      </c>
      <c r="G142" t="s">
        <v>111</v>
      </c>
      <c r="H142" s="54" t="s">
        <v>112</v>
      </c>
      <c r="I142">
        <v>448</v>
      </c>
      <c r="J142" s="11">
        <f t="shared" si="18"/>
        <v>202607</v>
      </c>
      <c r="K142" s="19" t="str">
        <f t="shared" si="19"/>
        <v>يوليو 2026</v>
      </c>
      <c r="L142" s="19" t="str">
        <f t="shared" si="20"/>
        <v>⚠️ كمية مفقودة/صفر</v>
      </c>
      <c r="N142" s="11">
        <f t="shared" si="21"/>
        <v>202607</v>
      </c>
      <c r="O142" s="19" t="str">
        <f t="shared" si="22"/>
        <v>يوليو 2026</v>
      </c>
      <c r="P142" s="19" t="str">
        <f t="shared" si="23"/>
        <v>صابون سائل ماء الذهب خام</v>
      </c>
      <c r="Q142" s="55">
        <f t="shared" si="24"/>
        <v>0</v>
      </c>
      <c r="R142" s="55">
        <f t="shared" si="25"/>
        <v>448</v>
      </c>
      <c r="S142" s="19" t="str">
        <f t="shared" si="26"/>
        <v>دولار أمريكي</v>
      </c>
    </row>
    <row r="143" spans="1:19">
      <c r="A143" s="54" t="s">
        <v>158</v>
      </c>
      <c r="B143">
        <v>0</v>
      </c>
      <c r="C143">
        <v>0</v>
      </c>
      <c r="D143">
        <v>0</v>
      </c>
      <c r="E143">
        <v>0</v>
      </c>
      <c r="F143" s="54" t="s">
        <v>63</v>
      </c>
      <c r="G143" t="s">
        <v>111</v>
      </c>
      <c r="H143" s="54" t="s">
        <v>112</v>
      </c>
      <c r="I143">
        <v>448</v>
      </c>
      <c r="J143" s="11">
        <f t="shared" si="18"/>
        <v>202607</v>
      </c>
      <c r="K143" s="19" t="str">
        <f t="shared" si="19"/>
        <v>يوليو 2026</v>
      </c>
      <c r="L143" s="19" t="str">
        <f t="shared" si="20"/>
        <v>⚠️ كمية مفقودة/صفر</v>
      </c>
      <c r="N143" s="11">
        <f t="shared" si="21"/>
        <v>202607</v>
      </c>
      <c r="O143" s="19" t="str">
        <f t="shared" si="22"/>
        <v>يوليو 2026</v>
      </c>
      <c r="P143" s="19" t="str">
        <f t="shared" si="23"/>
        <v>صابون سائل لافندر خام</v>
      </c>
      <c r="Q143" s="55">
        <f t="shared" si="24"/>
        <v>0</v>
      </c>
      <c r="R143" s="55">
        <f t="shared" si="25"/>
        <v>448</v>
      </c>
      <c r="S143" s="19" t="str">
        <f t="shared" si="26"/>
        <v>دولار أمريكي</v>
      </c>
    </row>
    <row r="144" spans="1:19" ht="25.5" customHeight="1">
      <c r="A144" s="54" t="s">
        <v>159</v>
      </c>
      <c r="B144">
        <v>0</v>
      </c>
      <c r="C144">
        <v>0</v>
      </c>
      <c r="D144">
        <v>0</v>
      </c>
      <c r="E144">
        <v>0</v>
      </c>
      <c r="F144" s="54" t="s">
        <v>63</v>
      </c>
      <c r="G144" t="s">
        <v>111</v>
      </c>
      <c r="H144" s="54" t="s">
        <v>112</v>
      </c>
      <c r="I144">
        <v>448</v>
      </c>
      <c r="J144" s="11">
        <f t="shared" si="18"/>
        <v>202607</v>
      </c>
      <c r="K144" s="19" t="str">
        <f t="shared" si="19"/>
        <v>يوليو 2026</v>
      </c>
      <c r="L144" s="19" t="str">
        <f t="shared" si="20"/>
        <v>⚠️ كمية مفقودة/صفر</v>
      </c>
      <c r="N144" s="11">
        <f t="shared" si="21"/>
        <v>202607</v>
      </c>
      <c r="O144" s="19" t="str">
        <f t="shared" si="22"/>
        <v>يوليو 2026</v>
      </c>
      <c r="P144" s="19" t="str">
        <f t="shared" si="23"/>
        <v xml:space="preserve">صابون سائل عود خام </v>
      </c>
      <c r="Q144" s="55">
        <f t="shared" si="24"/>
        <v>0</v>
      </c>
      <c r="R144" s="55">
        <f t="shared" si="25"/>
        <v>448</v>
      </c>
      <c r="S144" s="19" t="str">
        <f t="shared" si="26"/>
        <v>دولار أمريكي</v>
      </c>
    </row>
    <row r="145" spans="1:19" ht="25.5" customHeight="1">
      <c r="A145" s="54" t="s">
        <v>241</v>
      </c>
      <c r="B145">
        <v>0</v>
      </c>
      <c r="C145">
        <v>0</v>
      </c>
      <c r="D145">
        <v>0</v>
      </c>
      <c r="E145">
        <v>0</v>
      </c>
      <c r="F145" s="54" t="s">
        <v>62</v>
      </c>
      <c r="G145" t="s">
        <v>111</v>
      </c>
      <c r="H145" s="54" t="s">
        <v>111</v>
      </c>
      <c r="I145">
        <v>0</v>
      </c>
      <c r="J145" s="11">
        <f t="shared" si="18"/>
        <v>202607</v>
      </c>
      <c r="K145" s="19" t="str">
        <f t="shared" si="19"/>
        <v>يوليو 2026</v>
      </c>
      <c r="L145" s="19" t="str">
        <f t="shared" si="20"/>
        <v>⚠️ كمية مفقودة/صفر</v>
      </c>
      <c r="N145" s="11">
        <f t="shared" si="21"/>
        <v>202607</v>
      </c>
      <c r="O145" s="19" t="str">
        <f t="shared" si="22"/>
        <v>يوليو 2026</v>
      </c>
      <c r="P145" s="19" t="str">
        <f t="shared" si="23"/>
        <v>صابون سائل</v>
      </c>
      <c r="Q145" s="55">
        <f t="shared" si="24"/>
        <v>0</v>
      </c>
      <c r="R145" s="55">
        <f t="shared" si="25"/>
        <v>0</v>
      </c>
      <c r="S145" s="19" t="str">
        <f t="shared" si="26"/>
        <v>ليرة سورية</v>
      </c>
    </row>
    <row r="146" spans="1:19" ht="25.5" customHeight="1">
      <c r="A146" s="54" t="s">
        <v>332</v>
      </c>
      <c r="B146">
        <v>2196.5</v>
      </c>
      <c r="C146">
        <v>10000</v>
      </c>
      <c r="D146">
        <v>10000</v>
      </c>
      <c r="E146">
        <v>10000</v>
      </c>
      <c r="F146" s="54" t="s">
        <v>62</v>
      </c>
      <c r="G146" t="s">
        <v>111</v>
      </c>
      <c r="H146" s="54" t="s">
        <v>139</v>
      </c>
      <c r="I146">
        <v>0</v>
      </c>
      <c r="J146" s="11">
        <f t="shared" si="18"/>
        <v>202607</v>
      </c>
      <c r="K146" s="19" t="str">
        <f t="shared" si="19"/>
        <v>يوليو 2026</v>
      </c>
      <c r="L146" s="19" t="str">
        <f t="shared" si="20"/>
        <v>✅ جاهز</v>
      </c>
      <c r="N146" s="11">
        <f t="shared" si="21"/>
        <v>202607</v>
      </c>
      <c r="O146" s="19" t="str">
        <f t="shared" si="22"/>
        <v>يوليو 2026</v>
      </c>
      <c r="P146" s="19" t="str">
        <f t="shared" si="23"/>
        <v xml:space="preserve">صابون super / فرط </v>
      </c>
      <c r="Q146" s="55">
        <f t="shared" si="24"/>
        <v>2196.5</v>
      </c>
      <c r="R146" s="55">
        <f t="shared" si="25"/>
        <v>0</v>
      </c>
      <c r="S146" s="19" t="str">
        <f t="shared" si="26"/>
        <v>ليرة سورية</v>
      </c>
    </row>
    <row r="147" spans="1:19" ht="25.5" customHeight="1">
      <c r="A147" s="54" t="s">
        <v>333</v>
      </c>
      <c r="B147">
        <v>124</v>
      </c>
      <c r="C147">
        <v>33000</v>
      </c>
      <c r="D147">
        <v>33000</v>
      </c>
      <c r="E147">
        <v>33000</v>
      </c>
      <c r="F147" s="54" t="s">
        <v>62</v>
      </c>
      <c r="G147" t="s">
        <v>111</v>
      </c>
      <c r="H147" s="54" t="s">
        <v>139</v>
      </c>
      <c r="I147">
        <v>0</v>
      </c>
      <c r="J147" s="11">
        <f t="shared" si="18"/>
        <v>202607</v>
      </c>
      <c r="K147" s="19" t="str">
        <f t="shared" si="19"/>
        <v>يوليو 2026</v>
      </c>
      <c r="L147" s="19" t="str">
        <f t="shared" si="20"/>
        <v>✅ جاهز</v>
      </c>
      <c r="N147" s="11">
        <f t="shared" si="21"/>
        <v>202607</v>
      </c>
      <c r="O147" s="19" t="str">
        <f t="shared" si="22"/>
        <v>يوليو 2026</v>
      </c>
      <c r="P147" s="19" t="str">
        <f t="shared" si="23"/>
        <v>صابون super / عبوة 3 لتر</v>
      </c>
      <c r="Q147" s="55">
        <f t="shared" si="24"/>
        <v>124</v>
      </c>
      <c r="R147" s="55">
        <f t="shared" si="25"/>
        <v>0</v>
      </c>
      <c r="S147" s="19" t="str">
        <f t="shared" si="26"/>
        <v>ليرة سورية</v>
      </c>
    </row>
    <row r="148" spans="1:19">
      <c r="A148" s="54" t="s">
        <v>242</v>
      </c>
      <c r="B148">
        <v>0</v>
      </c>
      <c r="C148">
        <v>6000</v>
      </c>
      <c r="D148">
        <v>6000</v>
      </c>
      <c r="E148">
        <v>6000</v>
      </c>
      <c r="F148" s="54" t="s">
        <v>62</v>
      </c>
      <c r="G148" t="s">
        <v>111</v>
      </c>
      <c r="H148" t="s">
        <v>139</v>
      </c>
      <c r="I148">
        <v>3000</v>
      </c>
      <c r="J148" s="11">
        <f t="shared" si="18"/>
        <v>202607</v>
      </c>
      <c r="K148" s="19" t="str">
        <f t="shared" si="19"/>
        <v>يوليو 2026</v>
      </c>
      <c r="L148" s="19" t="str">
        <f t="shared" si="20"/>
        <v>⚠️ كمية مفقودة/صفر</v>
      </c>
      <c r="N148" s="11">
        <f t="shared" si="21"/>
        <v>202607</v>
      </c>
      <c r="O148" s="19" t="str">
        <f t="shared" si="22"/>
        <v>يوليو 2026</v>
      </c>
      <c r="P148" s="19" t="str">
        <f t="shared" si="23"/>
        <v>شامبو سيارات</v>
      </c>
      <c r="Q148" s="55">
        <f t="shared" si="24"/>
        <v>0</v>
      </c>
      <c r="R148" s="55">
        <f t="shared" si="25"/>
        <v>3000</v>
      </c>
      <c r="S148" s="19" t="str">
        <f t="shared" si="26"/>
        <v>ليرة سورية</v>
      </c>
    </row>
    <row r="149" spans="1:19">
      <c r="A149" s="54" t="s">
        <v>160</v>
      </c>
      <c r="B149">
        <v>0</v>
      </c>
      <c r="C149">
        <v>0</v>
      </c>
      <c r="D149">
        <v>0</v>
      </c>
      <c r="E149">
        <v>0</v>
      </c>
      <c r="F149" s="54" t="s">
        <v>63</v>
      </c>
      <c r="G149" t="s">
        <v>111</v>
      </c>
      <c r="H149" t="s">
        <v>112</v>
      </c>
      <c r="I149">
        <v>618</v>
      </c>
      <c r="J149" s="11">
        <f t="shared" si="18"/>
        <v>202607</v>
      </c>
      <c r="K149" s="19" t="str">
        <f t="shared" si="19"/>
        <v>يوليو 2026</v>
      </c>
      <c r="L149" s="19" t="str">
        <f t="shared" si="20"/>
        <v>⚠️ كمية مفقودة/صفر</v>
      </c>
      <c r="N149" s="11">
        <f t="shared" si="21"/>
        <v>202607</v>
      </c>
      <c r="O149" s="19" t="str">
        <f t="shared" si="22"/>
        <v>يوليو 2026</v>
      </c>
      <c r="P149" s="19" t="str">
        <f t="shared" si="23"/>
        <v>شامبو خام</v>
      </c>
      <c r="Q149" s="55">
        <f t="shared" si="24"/>
        <v>0</v>
      </c>
      <c r="R149" s="55">
        <f t="shared" si="25"/>
        <v>618</v>
      </c>
      <c r="S149" s="19" t="str">
        <f t="shared" si="26"/>
        <v>دولار أمريكي</v>
      </c>
    </row>
    <row r="150" spans="1:19" ht="25.5" customHeight="1">
      <c r="A150" s="54" t="s">
        <v>334</v>
      </c>
      <c r="B150">
        <v>2.25</v>
      </c>
      <c r="C150">
        <v>480000</v>
      </c>
      <c r="D150">
        <v>480000</v>
      </c>
      <c r="E150">
        <v>480000</v>
      </c>
      <c r="F150" s="54" t="s">
        <v>62</v>
      </c>
      <c r="G150" t="s">
        <v>111</v>
      </c>
      <c r="H150" s="54" t="s">
        <v>139</v>
      </c>
      <c r="I150">
        <v>302400</v>
      </c>
      <c r="J150" s="11">
        <f t="shared" si="18"/>
        <v>202607</v>
      </c>
      <c r="K150" s="19" t="str">
        <f t="shared" si="19"/>
        <v>يوليو 2026</v>
      </c>
      <c r="L150" s="19" t="str">
        <f t="shared" si="20"/>
        <v>✅ جاهز</v>
      </c>
      <c r="N150" s="11">
        <f t="shared" si="21"/>
        <v>202607</v>
      </c>
      <c r="O150" s="19" t="str">
        <f t="shared" si="22"/>
        <v>يوليو 2026</v>
      </c>
      <c r="P150" s="19" t="str">
        <f t="shared" si="23"/>
        <v>شامبو 3 لتر</v>
      </c>
      <c r="Q150" s="55">
        <f t="shared" si="24"/>
        <v>2.25</v>
      </c>
      <c r="R150" s="55">
        <f t="shared" si="25"/>
        <v>302400</v>
      </c>
      <c r="S150" s="19" t="str">
        <f t="shared" si="26"/>
        <v>ليرة سورية</v>
      </c>
    </row>
    <row r="151" spans="1:19">
      <c r="A151" s="54" t="s">
        <v>243</v>
      </c>
      <c r="B151">
        <v>785</v>
      </c>
      <c r="C151">
        <v>15000</v>
      </c>
      <c r="D151">
        <v>15000</v>
      </c>
      <c r="E151">
        <v>15000</v>
      </c>
      <c r="F151" s="54" t="s">
        <v>62</v>
      </c>
      <c r="G151" t="s">
        <v>111</v>
      </c>
      <c r="H151" s="54" t="s">
        <v>139</v>
      </c>
      <c r="I151">
        <v>7500</v>
      </c>
      <c r="J151" s="11">
        <f t="shared" si="18"/>
        <v>202607</v>
      </c>
      <c r="K151" s="19" t="str">
        <f t="shared" si="19"/>
        <v>يوليو 2026</v>
      </c>
      <c r="L151" s="19" t="str">
        <f t="shared" si="20"/>
        <v>✅ جاهز</v>
      </c>
      <c r="N151" s="11">
        <f t="shared" si="21"/>
        <v>202607</v>
      </c>
      <c r="O151" s="19" t="str">
        <f t="shared" si="22"/>
        <v>يوليو 2026</v>
      </c>
      <c r="P151" s="19" t="str">
        <f t="shared" si="23"/>
        <v xml:space="preserve">شامبو </v>
      </c>
      <c r="Q151" s="55">
        <f t="shared" si="24"/>
        <v>785</v>
      </c>
      <c r="R151" s="55">
        <f t="shared" si="25"/>
        <v>7500</v>
      </c>
      <c r="S151" s="19" t="str">
        <f t="shared" si="26"/>
        <v>ليرة سورية</v>
      </c>
    </row>
    <row r="152" spans="1:19" ht="25.5" customHeight="1">
      <c r="A152" s="54" t="s">
        <v>161</v>
      </c>
      <c r="B152">
        <v>0</v>
      </c>
      <c r="C152">
        <v>0</v>
      </c>
      <c r="D152">
        <v>0</v>
      </c>
      <c r="E152">
        <v>0</v>
      </c>
      <c r="F152" s="54" t="s">
        <v>63</v>
      </c>
      <c r="G152" t="s">
        <v>111</v>
      </c>
      <c r="H152" t="s">
        <v>115</v>
      </c>
      <c r="I152">
        <v>0.55000000000000004</v>
      </c>
      <c r="J152" s="11">
        <f t="shared" si="18"/>
        <v>202607</v>
      </c>
      <c r="K152" s="19" t="str">
        <f t="shared" si="19"/>
        <v>يوليو 2026</v>
      </c>
      <c r="L152" s="19" t="str">
        <f t="shared" si="20"/>
        <v>⚠️ كمية مفقودة/صفر</v>
      </c>
      <c r="N152" s="11">
        <f t="shared" si="21"/>
        <v>202607</v>
      </c>
      <c r="O152" s="19" t="str">
        <f t="shared" si="22"/>
        <v>يوليو 2026</v>
      </c>
      <c r="P152" s="19" t="str">
        <f t="shared" si="23"/>
        <v xml:space="preserve">سيليكات سائلة </v>
      </c>
      <c r="Q152" s="55">
        <f t="shared" si="24"/>
        <v>0</v>
      </c>
      <c r="R152" s="55">
        <f t="shared" si="25"/>
        <v>0.55000000000000004</v>
      </c>
      <c r="S152" s="19" t="str">
        <f t="shared" si="26"/>
        <v>دولار أمريكي</v>
      </c>
    </row>
    <row r="153" spans="1:19">
      <c r="A153" s="54" t="s">
        <v>244</v>
      </c>
      <c r="B153">
        <v>7.9</v>
      </c>
      <c r="C153">
        <v>25000</v>
      </c>
      <c r="D153">
        <v>25000</v>
      </c>
      <c r="E153">
        <v>25000</v>
      </c>
      <c r="F153" s="54" t="s">
        <v>62</v>
      </c>
      <c r="G153" t="s">
        <v>111</v>
      </c>
      <c r="H153" s="54" t="s">
        <v>139</v>
      </c>
      <c r="I153">
        <v>17000</v>
      </c>
      <c r="J153" s="11">
        <f t="shared" si="18"/>
        <v>202607</v>
      </c>
      <c r="K153" s="19" t="str">
        <f t="shared" si="19"/>
        <v>يوليو 2026</v>
      </c>
      <c r="L153" s="19" t="str">
        <f t="shared" si="20"/>
        <v>✅ جاهز</v>
      </c>
      <c r="N153" s="11">
        <f t="shared" si="21"/>
        <v>202607</v>
      </c>
      <c r="O153" s="19" t="str">
        <f t="shared" si="22"/>
        <v>يوليو 2026</v>
      </c>
      <c r="P153" s="19" t="str">
        <f t="shared" si="23"/>
        <v>سيف عائلاتي</v>
      </c>
      <c r="Q153" s="55">
        <f t="shared" si="24"/>
        <v>7.9</v>
      </c>
      <c r="R153" s="55">
        <f t="shared" si="25"/>
        <v>17000</v>
      </c>
      <c r="S153" s="19" t="str">
        <f t="shared" si="26"/>
        <v>ليرة سورية</v>
      </c>
    </row>
    <row r="154" spans="1:19" ht="25.5" customHeight="1">
      <c r="A154" s="54" t="s">
        <v>245</v>
      </c>
      <c r="B154">
        <v>67.599999999999994</v>
      </c>
      <c r="C154">
        <v>50000</v>
      </c>
      <c r="D154">
        <v>50000</v>
      </c>
      <c r="E154">
        <v>50000</v>
      </c>
      <c r="F154" s="54" t="s">
        <v>62</v>
      </c>
      <c r="G154" t="s">
        <v>111</v>
      </c>
      <c r="H154" s="54" t="s">
        <v>139</v>
      </c>
      <c r="I154">
        <v>35000</v>
      </c>
      <c r="J154" s="11">
        <f t="shared" si="18"/>
        <v>202607</v>
      </c>
      <c r="K154" s="19" t="str">
        <f t="shared" si="19"/>
        <v>يوليو 2026</v>
      </c>
      <c r="L154" s="19" t="str">
        <f t="shared" si="20"/>
        <v>✅ جاهز</v>
      </c>
      <c r="N154" s="11">
        <f t="shared" si="21"/>
        <v>202607</v>
      </c>
      <c r="O154" s="19" t="str">
        <f t="shared" si="22"/>
        <v>يوليو 2026</v>
      </c>
      <c r="P154" s="19" t="str">
        <f t="shared" si="23"/>
        <v xml:space="preserve">سيف بريفيت </v>
      </c>
      <c r="Q154" s="55">
        <f t="shared" si="24"/>
        <v>67.599999999999994</v>
      </c>
      <c r="R154" s="55">
        <f t="shared" si="25"/>
        <v>35000</v>
      </c>
      <c r="S154" s="19" t="str">
        <f t="shared" si="26"/>
        <v>ليرة سورية</v>
      </c>
    </row>
    <row r="155" spans="1:19" ht="25.5" customHeight="1">
      <c r="A155" s="54" t="s">
        <v>246</v>
      </c>
      <c r="B155">
        <v>0</v>
      </c>
      <c r="C155">
        <v>19000</v>
      </c>
      <c r="D155">
        <v>19000</v>
      </c>
      <c r="E155">
        <v>19000</v>
      </c>
      <c r="F155" s="54" t="s">
        <v>62</v>
      </c>
      <c r="G155" t="s">
        <v>111</v>
      </c>
      <c r="H155" s="54" t="s">
        <v>139</v>
      </c>
      <c r="I155">
        <v>16000</v>
      </c>
      <c r="J155" s="11">
        <f t="shared" si="18"/>
        <v>202607</v>
      </c>
      <c r="K155" s="19" t="str">
        <f t="shared" si="19"/>
        <v>يوليو 2026</v>
      </c>
      <c r="L155" s="19" t="str">
        <f t="shared" si="20"/>
        <v>⚠️ كمية مفقودة/صفر</v>
      </c>
      <c r="N155" s="11">
        <f t="shared" si="21"/>
        <v>202607</v>
      </c>
      <c r="O155" s="19" t="str">
        <f t="shared" si="22"/>
        <v>يوليو 2026</v>
      </c>
      <c r="P155" s="19" t="str">
        <f t="shared" si="23"/>
        <v>سيف برلنت</v>
      </c>
      <c r="Q155" s="55">
        <f t="shared" si="24"/>
        <v>0</v>
      </c>
      <c r="R155" s="55">
        <f t="shared" si="25"/>
        <v>16000</v>
      </c>
      <c r="S155" s="19" t="str">
        <f t="shared" si="26"/>
        <v>ليرة سورية</v>
      </c>
    </row>
    <row r="156" spans="1:19" ht="25.5" customHeight="1">
      <c r="A156" s="54" t="s">
        <v>247</v>
      </c>
      <c r="B156">
        <v>14</v>
      </c>
      <c r="C156">
        <v>21000</v>
      </c>
      <c r="D156">
        <v>21000</v>
      </c>
      <c r="E156">
        <v>21000</v>
      </c>
      <c r="F156" s="54" t="s">
        <v>62</v>
      </c>
      <c r="G156" t="s">
        <v>111</v>
      </c>
      <c r="H156" t="s">
        <v>139</v>
      </c>
      <c r="I156">
        <v>9000</v>
      </c>
      <c r="J156" s="11">
        <f t="shared" si="18"/>
        <v>202607</v>
      </c>
      <c r="K156" s="19" t="str">
        <f t="shared" si="19"/>
        <v>يوليو 2026</v>
      </c>
      <c r="L156" s="19" t="str">
        <f t="shared" si="20"/>
        <v>✅ جاهز</v>
      </c>
      <c r="N156" s="11">
        <f t="shared" si="21"/>
        <v>202607</v>
      </c>
      <c r="O156" s="19" t="str">
        <f t="shared" si="22"/>
        <v>يوليو 2026</v>
      </c>
      <c r="P156" s="19" t="str">
        <f t="shared" si="23"/>
        <v>سيف الكرار نخب اول</v>
      </c>
      <c r="Q156" s="55">
        <f t="shared" si="24"/>
        <v>14</v>
      </c>
      <c r="R156" s="55">
        <f t="shared" si="25"/>
        <v>9000</v>
      </c>
      <c r="S156" s="19" t="str">
        <f t="shared" si="26"/>
        <v>ليرة سورية</v>
      </c>
    </row>
    <row r="157" spans="1:19">
      <c r="A157" s="54" t="s">
        <v>335</v>
      </c>
      <c r="B157">
        <v>4</v>
      </c>
      <c r="C157">
        <v>200000</v>
      </c>
      <c r="D157">
        <v>200000</v>
      </c>
      <c r="E157">
        <v>200000</v>
      </c>
      <c r="F157" s="54" t="s">
        <v>62</v>
      </c>
      <c r="G157" t="s">
        <v>111</v>
      </c>
      <c r="H157" s="54" t="s">
        <v>139</v>
      </c>
      <c r="I157">
        <v>150000</v>
      </c>
      <c r="J157" s="11">
        <f t="shared" si="18"/>
        <v>202607</v>
      </c>
      <c r="K157" s="19" t="str">
        <f t="shared" si="19"/>
        <v>يوليو 2026</v>
      </c>
      <c r="L157" s="19" t="str">
        <f t="shared" si="20"/>
        <v>✅ جاهز</v>
      </c>
      <c r="N157" s="11">
        <f t="shared" si="21"/>
        <v>202607</v>
      </c>
      <c r="O157" s="19" t="str">
        <f t="shared" si="22"/>
        <v>يوليو 2026</v>
      </c>
      <c r="P157" s="19" t="str">
        <f t="shared" si="23"/>
        <v>سيف الكرار 2602</v>
      </c>
      <c r="Q157" s="55">
        <f t="shared" si="24"/>
        <v>4</v>
      </c>
      <c r="R157" s="55">
        <f t="shared" si="25"/>
        <v>150000</v>
      </c>
      <c r="S157" s="19" t="str">
        <f t="shared" si="26"/>
        <v>ليرة سورية</v>
      </c>
    </row>
    <row r="158" spans="1:19">
      <c r="A158" s="54" t="s">
        <v>248</v>
      </c>
      <c r="B158">
        <v>0</v>
      </c>
      <c r="C158">
        <v>30000</v>
      </c>
      <c r="D158">
        <v>30000</v>
      </c>
      <c r="E158">
        <v>30000</v>
      </c>
      <c r="F158" s="54" t="s">
        <v>62</v>
      </c>
      <c r="G158" t="s">
        <v>111</v>
      </c>
      <c r="H158" s="54" t="s">
        <v>139</v>
      </c>
      <c r="I158">
        <v>20000</v>
      </c>
      <c r="J158" s="11">
        <f t="shared" si="18"/>
        <v>202607</v>
      </c>
      <c r="K158" s="19" t="str">
        <f t="shared" si="19"/>
        <v>يوليو 2026</v>
      </c>
      <c r="L158" s="19" t="str">
        <f t="shared" si="20"/>
        <v>⚠️ كمية مفقودة/صفر</v>
      </c>
      <c r="N158" s="11">
        <f t="shared" si="21"/>
        <v>202607</v>
      </c>
      <c r="O158" s="19" t="str">
        <f t="shared" si="22"/>
        <v>يوليو 2026</v>
      </c>
      <c r="P158" s="19" t="str">
        <f t="shared" si="23"/>
        <v>سلة غسيل</v>
      </c>
      <c r="Q158" s="55">
        <f t="shared" si="24"/>
        <v>0</v>
      </c>
      <c r="R158" s="55">
        <f t="shared" si="25"/>
        <v>20000</v>
      </c>
      <c r="S158" s="19" t="str">
        <f t="shared" si="26"/>
        <v>ليرة سورية</v>
      </c>
    </row>
    <row r="159" spans="1:19" ht="25.5" customHeight="1">
      <c r="A159" s="54" t="s">
        <v>249</v>
      </c>
      <c r="B159">
        <v>2335</v>
      </c>
      <c r="C159">
        <v>4000</v>
      </c>
      <c r="D159">
        <v>4000</v>
      </c>
      <c r="E159">
        <v>4000</v>
      </c>
      <c r="F159" s="54" t="s">
        <v>62</v>
      </c>
      <c r="G159" t="s">
        <v>111</v>
      </c>
      <c r="H159" s="54" t="s">
        <v>139</v>
      </c>
      <c r="I159">
        <v>2500</v>
      </c>
      <c r="J159" s="11">
        <f t="shared" si="18"/>
        <v>202607</v>
      </c>
      <c r="K159" s="19" t="str">
        <f t="shared" si="19"/>
        <v>يوليو 2026</v>
      </c>
      <c r="L159" s="19" t="str">
        <f t="shared" si="20"/>
        <v>✅ جاهز</v>
      </c>
      <c r="N159" s="11">
        <f t="shared" si="21"/>
        <v>202607</v>
      </c>
      <c r="O159" s="19" t="str">
        <f t="shared" si="22"/>
        <v>يوليو 2026</v>
      </c>
      <c r="P159" s="19" t="str">
        <f t="shared" si="23"/>
        <v>سائل مغسل</v>
      </c>
      <c r="Q159" s="55">
        <f t="shared" si="24"/>
        <v>2335</v>
      </c>
      <c r="R159" s="55">
        <f t="shared" si="25"/>
        <v>2500</v>
      </c>
      <c r="S159" s="19" t="str">
        <f t="shared" si="26"/>
        <v>ليرة سورية</v>
      </c>
    </row>
    <row r="160" spans="1:19" ht="25.5" customHeight="1">
      <c r="A160" s="54" t="s">
        <v>250</v>
      </c>
      <c r="B160">
        <v>29</v>
      </c>
      <c r="C160">
        <v>13000</v>
      </c>
      <c r="D160">
        <v>13000</v>
      </c>
      <c r="E160">
        <v>13000</v>
      </c>
      <c r="F160" s="54" t="s">
        <v>62</v>
      </c>
      <c r="G160" t="s">
        <v>111</v>
      </c>
      <c r="H160" s="54" t="s">
        <v>139</v>
      </c>
      <c r="I160">
        <v>0</v>
      </c>
      <c r="J160" s="11">
        <f t="shared" si="18"/>
        <v>202607</v>
      </c>
      <c r="K160" s="19" t="str">
        <f t="shared" si="19"/>
        <v>يوليو 2026</v>
      </c>
      <c r="L160" s="19" t="str">
        <f t="shared" si="20"/>
        <v>✅ جاهز</v>
      </c>
      <c r="N160" s="11">
        <f t="shared" si="21"/>
        <v>202607</v>
      </c>
      <c r="O160" s="19" t="str">
        <f t="shared" si="22"/>
        <v>يوليو 2026</v>
      </c>
      <c r="P160" s="19" t="str">
        <f t="shared" si="23"/>
        <v>سائل غسيل زهري</v>
      </c>
      <c r="Q160" s="55">
        <f t="shared" si="24"/>
        <v>29</v>
      </c>
      <c r="R160" s="55">
        <f t="shared" si="25"/>
        <v>0</v>
      </c>
      <c r="S160" s="19" t="str">
        <f t="shared" si="26"/>
        <v>ليرة سورية</v>
      </c>
    </row>
    <row r="161" spans="1:19" ht="25.5" customHeight="1">
      <c r="A161" s="54" t="s">
        <v>162</v>
      </c>
      <c r="B161">
        <v>0</v>
      </c>
      <c r="C161">
        <v>0</v>
      </c>
      <c r="D161">
        <v>0</v>
      </c>
      <c r="E161">
        <v>0</v>
      </c>
      <c r="F161" s="54" t="s">
        <v>63</v>
      </c>
      <c r="G161" t="s">
        <v>111</v>
      </c>
      <c r="H161" s="54" t="s">
        <v>112</v>
      </c>
      <c r="I161">
        <v>918</v>
      </c>
      <c r="J161" s="11">
        <f t="shared" si="18"/>
        <v>202607</v>
      </c>
      <c r="K161" s="19" t="str">
        <f t="shared" si="19"/>
        <v>يوليو 2026</v>
      </c>
      <c r="L161" s="19" t="str">
        <f t="shared" si="20"/>
        <v>⚠️ كمية مفقودة/صفر</v>
      </c>
      <c r="N161" s="11">
        <f t="shared" si="21"/>
        <v>202607</v>
      </c>
      <c r="O161" s="19" t="str">
        <f t="shared" si="22"/>
        <v>يوليو 2026</v>
      </c>
      <c r="P161" s="19" t="str">
        <f t="shared" si="23"/>
        <v>سائل غسيل اتوماتيك خام</v>
      </c>
      <c r="Q161" s="55">
        <f t="shared" si="24"/>
        <v>0</v>
      </c>
      <c r="R161" s="55">
        <f t="shared" si="25"/>
        <v>918</v>
      </c>
      <c r="S161" s="19" t="str">
        <f t="shared" si="26"/>
        <v>دولار أمريكي</v>
      </c>
    </row>
    <row r="162" spans="1:19">
      <c r="A162" s="54" t="s">
        <v>336</v>
      </c>
      <c r="B162">
        <v>38</v>
      </c>
      <c r="C162">
        <v>58000</v>
      </c>
      <c r="D162">
        <v>58000</v>
      </c>
      <c r="E162">
        <v>58000</v>
      </c>
      <c r="F162" s="54" t="s">
        <v>62</v>
      </c>
      <c r="G162" t="s">
        <v>111</v>
      </c>
      <c r="H162" s="54" t="s">
        <v>139</v>
      </c>
      <c r="I162">
        <v>41500</v>
      </c>
      <c r="J162" s="11">
        <f t="shared" si="18"/>
        <v>202607</v>
      </c>
      <c r="K162" s="19" t="str">
        <f t="shared" si="19"/>
        <v>يوليو 2026</v>
      </c>
      <c r="L162" s="19" t="str">
        <f t="shared" si="20"/>
        <v>✅ جاهز</v>
      </c>
      <c r="N162" s="11">
        <f t="shared" si="21"/>
        <v>202607</v>
      </c>
      <c r="O162" s="19" t="str">
        <f t="shared" si="22"/>
        <v>يوليو 2026</v>
      </c>
      <c r="P162" s="19" t="str">
        <f t="shared" si="23"/>
        <v>سائل غسيل اتوماتيك 3 لتر</v>
      </c>
      <c r="Q162" s="55">
        <f t="shared" si="24"/>
        <v>38</v>
      </c>
      <c r="R162" s="55">
        <f t="shared" si="25"/>
        <v>41500</v>
      </c>
      <c r="S162" s="19" t="str">
        <f t="shared" si="26"/>
        <v>ليرة سورية</v>
      </c>
    </row>
    <row r="163" spans="1:19" ht="25.5" customHeight="1">
      <c r="A163" s="54" t="s">
        <v>337</v>
      </c>
      <c r="B163">
        <v>104</v>
      </c>
      <c r="C163">
        <v>15000</v>
      </c>
      <c r="D163">
        <v>15000</v>
      </c>
      <c r="E163">
        <v>15000</v>
      </c>
      <c r="F163" s="54" t="s">
        <v>62</v>
      </c>
      <c r="G163" t="s">
        <v>111</v>
      </c>
      <c r="H163" s="54" t="s">
        <v>139</v>
      </c>
      <c r="I163">
        <v>12800</v>
      </c>
      <c r="J163" s="11">
        <f t="shared" si="18"/>
        <v>202607</v>
      </c>
      <c r="K163" s="19" t="str">
        <f t="shared" si="19"/>
        <v>يوليو 2026</v>
      </c>
      <c r="L163" s="19" t="str">
        <f t="shared" si="20"/>
        <v>✅ جاهز</v>
      </c>
      <c r="N163" s="11">
        <f t="shared" si="21"/>
        <v>202607</v>
      </c>
      <c r="O163" s="19" t="str">
        <f t="shared" si="22"/>
        <v>يوليو 2026</v>
      </c>
      <c r="P163" s="19" t="str">
        <f t="shared" si="23"/>
        <v xml:space="preserve">سائل غسيل اتوماتيك / فرط </v>
      </c>
      <c r="Q163" s="55">
        <f t="shared" si="24"/>
        <v>104</v>
      </c>
      <c r="R163" s="55">
        <f t="shared" si="25"/>
        <v>12800</v>
      </c>
      <c r="S163" s="19" t="str">
        <f t="shared" si="26"/>
        <v>ليرة سورية</v>
      </c>
    </row>
    <row r="164" spans="1:19">
      <c r="A164" s="54" t="s">
        <v>251</v>
      </c>
      <c r="B164">
        <v>0</v>
      </c>
      <c r="C164">
        <v>120000</v>
      </c>
      <c r="D164">
        <v>12000</v>
      </c>
      <c r="E164">
        <v>12000</v>
      </c>
      <c r="F164" s="54" t="s">
        <v>62</v>
      </c>
      <c r="G164" t="s">
        <v>111</v>
      </c>
      <c r="H164" s="54" t="s">
        <v>139</v>
      </c>
      <c r="I164">
        <v>11000</v>
      </c>
      <c r="J164" s="11">
        <f t="shared" si="18"/>
        <v>202607</v>
      </c>
      <c r="K164" s="19" t="str">
        <f t="shared" si="19"/>
        <v>يوليو 2026</v>
      </c>
      <c r="L164" s="19" t="str">
        <f t="shared" si="20"/>
        <v>⚠️ كمية مفقودة/صفر</v>
      </c>
      <c r="N164" s="11">
        <f t="shared" si="21"/>
        <v>202607</v>
      </c>
      <c r="O164" s="19" t="str">
        <f t="shared" si="22"/>
        <v>يوليو 2026</v>
      </c>
      <c r="P164" s="19" t="str">
        <f t="shared" si="23"/>
        <v xml:space="preserve">سائل جلي متعدد الاستعمالات كرمل </v>
      </c>
      <c r="Q164" s="55">
        <f t="shared" si="24"/>
        <v>0</v>
      </c>
      <c r="R164" s="55">
        <f t="shared" si="25"/>
        <v>11000</v>
      </c>
      <c r="S164" s="19" t="str">
        <f t="shared" si="26"/>
        <v>ليرة سورية</v>
      </c>
    </row>
    <row r="165" spans="1:19">
      <c r="A165" s="54" t="s">
        <v>338</v>
      </c>
      <c r="B165">
        <v>4</v>
      </c>
      <c r="C165">
        <v>11000</v>
      </c>
      <c r="D165">
        <v>11000</v>
      </c>
      <c r="E165">
        <v>11000</v>
      </c>
      <c r="F165" s="54" t="s">
        <v>62</v>
      </c>
      <c r="G165" t="s">
        <v>111</v>
      </c>
      <c r="H165" s="54" t="s">
        <v>139</v>
      </c>
      <c r="I165">
        <v>9000</v>
      </c>
      <c r="J165" s="11">
        <f t="shared" si="18"/>
        <v>202607</v>
      </c>
      <c r="K165" s="19" t="str">
        <f t="shared" si="19"/>
        <v>يوليو 2026</v>
      </c>
      <c r="L165" s="19" t="str">
        <f t="shared" si="20"/>
        <v>✅ جاهز</v>
      </c>
      <c r="N165" s="11">
        <f t="shared" si="21"/>
        <v>202607</v>
      </c>
      <c r="O165" s="19" t="str">
        <f t="shared" si="22"/>
        <v>يوليو 2026</v>
      </c>
      <c r="P165" s="19" t="str">
        <f t="shared" si="23"/>
        <v xml:space="preserve">سائل جلي متعدد الإستعمالات - غولدن هاوس 1 لتر </v>
      </c>
      <c r="Q165" s="55">
        <f t="shared" si="24"/>
        <v>4</v>
      </c>
      <c r="R165" s="55">
        <f t="shared" si="25"/>
        <v>9000</v>
      </c>
      <c r="S165" s="19" t="str">
        <f t="shared" si="26"/>
        <v>ليرة سورية</v>
      </c>
    </row>
    <row r="166" spans="1:19">
      <c r="A166" s="54" t="s">
        <v>163</v>
      </c>
      <c r="B166">
        <v>0</v>
      </c>
      <c r="C166">
        <v>0</v>
      </c>
      <c r="D166">
        <v>0</v>
      </c>
      <c r="E166">
        <v>0</v>
      </c>
      <c r="F166" s="54" t="s">
        <v>63</v>
      </c>
      <c r="G166" t="s">
        <v>111</v>
      </c>
      <c r="H166" s="54" t="s">
        <v>112</v>
      </c>
      <c r="I166">
        <v>191</v>
      </c>
      <c r="J166" s="11">
        <f t="shared" si="18"/>
        <v>202607</v>
      </c>
      <c r="K166" s="19" t="str">
        <f t="shared" si="19"/>
        <v>يوليو 2026</v>
      </c>
      <c r="L166" s="19" t="str">
        <f t="shared" si="20"/>
        <v>⚠️ كمية مفقودة/صفر</v>
      </c>
      <c r="N166" s="11">
        <f t="shared" si="21"/>
        <v>202607</v>
      </c>
      <c r="O166" s="19" t="str">
        <f t="shared" si="22"/>
        <v>يوليو 2026</v>
      </c>
      <c r="P166" s="19" t="str">
        <f t="shared" si="23"/>
        <v xml:space="preserve">سائل جلي ليمون رابع خام </v>
      </c>
      <c r="Q166" s="55">
        <f t="shared" si="24"/>
        <v>0</v>
      </c>
      <c r="R166" s="55">
        <f t="shared" si="25"/>
        <v>191</v>
      </c>
      <c r="S166" s="19" t="str">
        <f t="shared" si="26"/>
        <v>دولار أمريكي</v>
      </c>
    </row>
    <row r="167" spans="1:19">
      <c r="A167" s="54" t="s">
        <v>164</v>
      </c>
      <c r="B167">
        <v>0</v>
      </c>
      <c r="C167">
        <v>0</v>
      </c>
      <c r="D167">
        <v>0</v>
      </c>
      <c r="E167">
        <v>0</v>
      </c>
      <c r="F167" s="54" t="s">
        <v>63</v>
      </c>
      <c r="G167" t="s">
        <v>111</v>
      </c>
      <c r="H167" s="54" t="s">
        <v>112</v>
      </c>
      <c r="I167">
        <v>294</v>
      </c>
      <c r="J167" s="11">
        <f t="shared" si="18"/>
        <v>202607</v>
      </c>
      <c r="K167" s="19" t="str">
        <f t="shared" si="19"/>
        <v>يوليو 2026</v>
      </c>
      <c r="L167" s="19" t="str">
        <f t="shared" si="20"/>
        <v>⚠️ كمية مفقودة/صفر</v>
      </c>
      <c r="N167" s="11">
        <f t="shared" si="21"/>
        <v>202607</v>
      </c>
      <c r="O167" s="19" t="str">
        <f t="shared" si="22"/>
        <v>يوليو 2026</v>
      </c>
      <c r="P167" s="19" t="str">
        <f t="shared" si="23"/>
        <v xml:space="preserve">سائل جلي ليمون ثاني خام </v>
      </c>
      <c r="Q167" s="55">
        <f t="shared" si="24"/>
        <v>0</v>
      </c>
      <c r="R167" s="55">
        <f t="shared" si="25"/>
        <v>294</v>
      </c>
      <c r="S167" s="19" t="str">
        <f t="shared" si="26"/>
        <v>دولار أمريكي</v>
      </c>
    </row>
    <row r="168" spans="1:19">
      <c r="A168" s="54" t="s">
        <v>165</v>
      </c>
      <c r="B168">
        <v>0</v>
      </c>
      <c r="C168">
        <v>0</v>
      </c>
      <c r="D168">
        <v>0</v>
      </c>
      <c r="E168">
        <v>0</v>
      </c>
      <c r="F168" s="54" t="s">
        <v>63</v>
      </c>
      <c r="G168" t="s">
        <v>111</v>
      </c>
      <c r="H168" s="54" t="s">
        <v>112</v>
      </c>
      <c r="I168">
        <v>248</v>
      </c>
      <c r="J168" s="11">
        <f t="shared" si="18"/>
        <v>202607</v>
      </c>
      <c r="K168" s="19" t="str">
        <f t="shared" si="19"/>
        <v>يوليو 2026</v>
      </c>
      <c r="L168" s="19" t="str">
        <f t="shared" si="20"/>
        <v>⚠️ كمية مفقودة/صفر</v>
      </c>
      <c r="N168" s="11">
        <f t="shared" si="21"/>
        <v>202607</v>
      </c>
      <c r="O168" s="19" t="str">
        <f t="shared" si="22"/>
        <v>يوليو 2026</v>
      </c>
      <c r="P168" s="19" t="str">
        <f t="shared" si="23"/>
        <v xml:space="preserve">سائل جلي ليمون ثالث خام </v>
      </c>
      <c r="Q168" s="55">
        <f t="shared" si="24"/>
        <v>0</v>
      </c>
      <c r="R168" s="55">
        <f t="shared" si="25"/>
        <v>248</v>
      </c>
      <c r="S168" s="19" t="str">
        <f t="shared" si="26"/>
        <v>دولار أمريكي</v>
      </c>
    </row>
    <row r="169" spans="1:19">
      <c r="A169" s="54" t="s">
        <v>166</v>
      </c>
      <c r="B169">
        <v>0</v>
      </c>
      <c r="C169">
        <v>0</v>
      </c>
      <c r="D169">
        <v>0</v>
      </c>
      <c r="E169">
        <v>0</v>
      </c>
      <c r="F169" s="54" t="s">
        <v>63</v>
      </c>
      <c r="G169" t="s">
        <v>111</v>
      </c>
      <c r="H169" s="54" t="s">
        <v>112</v>
      </c>
      <c r="I169">
        <v>669</v>
      </c>
      <c r="J169" s="11">
        <f t="shared" si="18"/>
        <v>202607</v>
      </c>
      <c r="K169" s="19" t="str">
        <f t="shared" si="19"/>
        <v>يوليو 2026</v>
      </c>
      <c r="L169" s="19" t="str">
        <f t="shared" si="20"/>
        <v>⚠️ كمية مفقودة/صفر</v>
      </c>
      <c r="N169" s="11">
        <f t="shared" si="21"/>
        <v>202607</v>
      </c>
      <c r="O169" s="19" t="str">
        <f t="shared" si="22"/>
        <v>يوليو 2026</v>
      </c>
      <c r="P169" s="19" t="str">
        <f t="shared" si="23"/>
        <v xml:space="preserve">سائل جلي ليمون اول خام </v>
      </c>
      <c r="Q169" s="55">
        <f t="shared" si="24"/>
        <v>0</v>
      </c>
      <c r="R169" s="55">
        <f t="shared" si="25"/>
        <v>669</v>
      </c>
      <c r="S169" s="19" t="str">
        <f t="shared" si="26"/>
        <v>دولار أمريكي</v>
      </c>
    </row>
    <row r="170" spans="1:19">
      <c r="A170" s="54" t="s">
        <v>167</v>
      </c>
      <c r="B170">
        <v>0</v>
      </c>
      <c r="C170">
        <v>0</v>
      </c>
      <c r="D170">
        <v>0</v>
      </c>
      <c r="E170">
        <v>0</v>
      </c>
      <c r="F170" s="54" t="s">
        <v>63</v>
      </c>
      <c r="G170" t="s">
        <v>111</v>
      </c>
      <c r="H170" s="54" t="s">
        <v>112</v>
      </c>
      <c r="I170">
        <v>191</v>
      </c>
      <c r="J170" s="11">
        <f t="shared" si="18"/>
        <v>202607</v>
      </c>
      <c r="K170" s="19" t="str">
        <f t="shared" si="19"/>
        <v>يوليو 2026</v>
      </c>
      <c r="L170" s="19" t="str">
        <f t="shared" si="20"/>
        <v>⚠️ كمية مفقودة/صفر</v>
      </c>
      <c r="N170" s="11">
        <f t="shared" si="21"/>
        <v>202607</v>
      </c>
      <c r="O170" s="19" t="str">
        <f t="shared" si="22"/>
        <v>يوليو 2026</v>
      </c>
      <c r="P170" s="19" t="str">
        <f t="shared" si="23"/>
        <v xml:space="preserve">سائل جلي ليلك رابع خام </v>
      </c>
      <c r="Q170" s="55">
        <f t="shared" si="24"/>
        <v>0</v>
      </c>
      <c r="R170" s="55">
        <f t="shared" si="25"/>
        <v>191</v>
      </c>
      <c r="S170" s="19" t="str">
        <f t="shared" si="26"/>
        <v>دولار أمريكي</v>
      </c>
    </row>
    <row r="171" spans="1:19" ht="25.5" customHeight="1">
      <c r="A171" s="54" t="s">
        <v>168</v>
      </c>
      <c r="B171">
        <v>0</v>
      </c>
      <c r="C171">
        <v>0</v>
      </c>
      <c r="D171">
        <v>0</v>
      </c>
      <c r="E171">
        <v>0</v>
      </c>
      <c r="F171" s="54" t="s">
        <v>63</v>
      </c>
      <c r="G171" t="s">
        <v>111</v>
      </c>
      <c r="H171" s="54" t="s">
        <v>112</v>
      </c>
      <c r="I171">
        <v>294</v>
      </c>
      <c r="J171" s="11">
        <f t="shared" si="18"/>
        <v>202607</v>
      </c>
      <c r="K171" s="19" t="str">
        <f t="shared" si="19"/>
        <v>يوليو 2026</v>
      </c>
      <c r="L171" s="19" t="str">
        <f t="shared" si="20"/>
        <v>⚠️ كمية مفقودة/صفر</v>
      </c>
      <c r="N171" s="11">
        <f t="shared" si="21"/>
        <v>202607</v>
      </c>
      <c r="O171" s="19" t="str">
        <f t="shared" si="22"/>
        <v>يوليو 2026</v>
      </c>
      <c r="P171" s="19" t="str">
        <f t="shared" si="23"/>
        <v xml:space="preserve">سائل جلي ليلك ثاني خام </v>
      </c>
      <c r="Q171" s="55">
        <f t="shared" si="24"/>
        <v>0</v>
      </c>
      <c r="R171" s="55">
        <f t="shared" si="25"/>
        <v>294</v>
      </c>
      <c r="S171" s="19" t="str">
        <f t="shared" si="26"/>
        <v>دولار أمريكي</v>
      </c>
    </row>
    <row r="172" spans="1:19">
      <c r="A172" s="54" t="s">
        <v>169</v>
      </c>
      <c r="B172">
        <v>0</v>
      </c>
      <c r="C172">
        <v>0</v>
      </c>
      <c r="D172">
        <v>0</v>
      </c>
      <c r="E172">
        <v>0</v>
      </c>
      <c r="F172" s="54" t="s">
        <v>63</v>
      </c>
      <c r="G172" t="s">
        <v>111</v>
      </c>
      <c r="H172" s="54" t="s">
        <v>112</v>
      </c>
      <c r="I172">
        <v>294</v>
      </c>
      <c r="J172" s="11">
        <f t="shared" si="18"/>
        <v>202607</v>
      </c>
      <c r="K172" s="19" t="str">
        <f t="shared" si="19"/>
        <v>يوليو 2026</v>
      </c>
      <c r="L172" s="19" t="str">
        <f t="shared" si="20"/>
        <v>⚠️ كمية مفقودة/صفر</v>
      </c>
      <c r="N172" s="11">
        <f t="shared" si="21"/>
        <v>202607</v>
      </c>
      <c r="O172" s="19" t="str">
        <f t="shared" si="22"/>
        <v>يوليو 2026</v>
      </c>
      <c r="P172" s="19" t="str">
        <f t="shared" si="23"/>
        <v xml:space="preserve">سائل جلي ليلك ثالث خام </v>
      </c>
      <c r="Q172" s="55">
        <f t="shared" si="24"/>
        <v>0</v>
      </c>
      <c r="R172" s="55">
        <f t="shared" si="25"/>
        <v>294</v>
      </c>
      <c r="S172" s="19" t="str">
        <f t="shared" si="26"/>
        <v>دولار أمريكي</v>
      </c>
    </row>
    <row r="173" spans="1:19">
      <c r="A173" s="54" t="s">
        <v>170</v>
      </c>
      <c r="B173">
        <v>0</v>
      </c>
      <c r="C173">
        <v>0</v>
      </c>
      <c r="D173">
        <v>0</v>
      </c>
      <c r="E173">
        <v>0</v>
      </c>
      <c r="F173" s="54" t="s">
        <v>63</v>
      </c>
      <c r="G173" t="s">
        <v>111</v>
      </c>
      <c r="H173" s="54" t="s">
        <v>112</v>
      </c>
      <c r="I173">
        <v>669</v>
      </c>
      <c r="J173" s="11">
        <f t="shared" si="18"/>
        <v>202607</v>
      </c>
      <c r="K173" s="19" t="str">
        <f t="shared" si="19"/>
        <v>يوليو 2026</v>
      </c>
      <c r="L173" s="19" t="str">
        <f t="shared" si="20"/>
        <v>⚠️ كمية مفقودة/صفر</v>
      </c>
      <c r="N173" s="11">
        <f t="shared" si="21"/>
        <v>202607</v>
      </c>
      <c r="O173" s="19" t="str">
        <f t="shared" si="22"/>
        <v>يوليو 2026</v>
      </c>
      <c r="P173" s="19" t="str">
        <f t="shared" si="23"/>
        <v xml:space="preserve">سائل جلي ليلك اول خام </v>
      </c>
      <c r="Q173" s="55">
        <f t="shared" si="24"/>
        <v>0</v>
      </c>
      <c r="R173" s="55">
        <f t="shared" si="25"/>
        <v>669</v>
      </c>
      <c r="S173" s="19" t="str">
        <f t="shared" si="26"/>
        <v>دولار أمريكي</v>
      </c>
    </row>
    <row r="174" spans="1:19" ht="25.5" customHeight="1">
      <c r="A174" s="54" t="s">
        <v>171</v>
      </c>
      <c r="B174">
        <v>0</v>
      </c>
      <c r="C174">
        <v>0</v>
      </c>
      <c r="D174">
        <v>0</v>
      </c>
      <c r="E174">
        <v>0</v>
      </c>
      <c r="F174" s="54" t="s">
        <v>63</v>
      </c>
      <c r="G174" t="s">
        <v>111</v>
      </c>
      <c r="H174" s="54" t="s">
        <v>112</v>
      </c>
      <c r="I174">
        <v>191</v>
      </c>
      <c r="J174" s="11">
        <f t="shared" si="18"/>
        <v>202607</v>
      </c>
      <c r="K174" s="19" t="str">
        <f t="shared" si="19"/>
        <v>يوليو 2026</v>
      </c>
      <c r="L174" s="19" t="str">
        <f t="shared" si="20"/>
        <v>⚠️ كمية مفقودة/صفر</v>
      </c>
      <c r="N174" s="11">
        <f t="shared" si="21"/>
        <v>202607</v>
      </c>
      <c r="O174" s="19" t="str">
        <f t="shared" si="22"/>
        <v>يوليو 2026</v>
      </c>
      <c r="P174" s="19" t="str">
        <f t="shared" si="23"/>
        <v xml:space="preserve">سائل جلي فريز رابع خام </v>
      </c>
      <c r="Q174" s="55">
        <f t="shared" si="24"/>
        <v>0</v>
      </c>
      <c r="R174" s="55">
        <f t="shared" si="25"/>
        <v>191</v>
      </c>
      <c r="S174" s="19" t="str">
        <f t="shared" si="26"/>
        <v>دولار أمريكي</v>
      </c>
    </row>
    <row r="175" spans="1:19">
      <c r="A175" s="54" t="s">
        <v>172</v>
      </c>
      <c r="B175">
        <v>0</v>
      </c>
      <c r="C175">
        <v>0</v>
      </c>
      <c r="D175">
        <v>0</v>
      </c>
      <c r="E175">
        <v>0</v>
      </c>
      <c r="F175" s="54" t="s">
        <v>63</v>
      </c>
      <c r="G175" t="s">
        <v>111</v>
      </c>
      <c r="H175" s="54" t="s">
        <v>112</v>
      </c>
      <c r="I175">
        <v>294</v>
      </c>
      <c r="J175" s="11">
        <f t="shared" si="18"/>
        <v>202607</v>
      </c>
      <c r="K175" s="19" t="str">
        <f t="shared" si="19"/>
        <v>يوليو 2026</v>
      </c>
      <c r="L175" s="19" t="str">
        <f t="shared" si="20"/>
        <v>⚠️ كمية مفقودة/صفر</v>
      </c>
      <c r="N175" s="11">
        <f t="shared" si="21"/>
        <v>202607</v>
      </c>
      <c r="O175" s="19" t="str">
        <f t="shared" si="22"/>
        <v>يوليو 2026</v>
      </c>
      <c r="P175" s="19" t="str">
        <f t="shared" si="23"/>
        <v xml:space="preserve">سائل جلي فريز ثاني خام </v>
      </c>
      <c r="Q175" s="55">
        <f t="shared" si="24"/>
        <v>0</v>
      </c>
      <c r="R175" s="55">
        <f t="shared" si="25"/>
        <v>294</v>
      </c>
      <c r="S175" s="19" t="str">
        <f t="shared" si="26"/>
        <v>دولار أمريكي</v>
      </c>
    </row>
    <row r="176" spans="1:19">
      <c r="A176" s="54" t="s">
        <v>173</v>
      </c>
      <c r="B176">
        <v>0</v>
      </c>
      <c r="C176">
        <v>0</v>
      </c>
      <c r="D176">
        <v>0</v>
      </c>
      <c r="E176">
        <v>0</v>
      </c>
      <c r="F176" s="54" t="s">
        <v>63</v>
      </c>
      <c r="G176" t="s">
        <v>111</v>
      </c>
      <c r="H176" s="54" t="s">
        <v>112</v>
      </c>
      <c r="I176">
        <v>248</v>
      </c>
      <c r="J176" s="11">
        <f t="shared" si="18"/>
        <v>202607</v>
      </c>
      <c r="K176" s="19" t="str">
        <f t="shared" si="19"/>
        <v>يوليو 2026</v>
      </c>
      <c r="L176" s="19" t="str">
        <f t="shared" si="20"/>
        <v>⚠️ كمية مفقودة/صفر</v>
      </c>
      <c r="N176" s="11">
        <f t="shared" si="21"/>
        <v>202607</v>
      </c>
      <c r="O176" s="19" t="str">
        <f t="shared" si="22"/>
        <v>يوليو 2026</v>
      </c>
      <c r="P176" s="19" t="str">
        <f t="shared" si="23"/>
        <v xml:space="preserve">سائل جلي فريز ثالث خام </v>
      </c>
      <c r="Q176" s="55">
        <f t="shared" si="24"/>
        <v>0</v>
      </c>
      <c r="R176" s="55">
        <f t="shared" si="25"/>
        <v>248</v>
      </c>
      <c r="S176" s="19" t="str">
        <f t="shared" si="26"/>
        <v>دولار أمريكي</v>
      </c>
    </row>
    <row r="177" spans="1:19">
      <c r="A177" s="54" t="s">
        <v>174</v>
      </c>
      <c r="B177">
        <v>0</v>
      </c>
      <c r="C177">
        <v>0</v>
      </c>
      <c r="D177">
        <v>0</v>
      </c>
      <c r="E177">
        <v>0</v>
      </c>
      <c r="F177" s="54" t="s">
        <v>63</v>
      </c>
      <c r="G177" t="s">
        <v>111</v>
      </c>
      <c r="H177" s="54" t="s">
        <v>112</v>
      </c>
      <c r="I177">
        <v>669</v>
      </c>
      <c r="J177" s="11">
        <f t="shared" si="18"/>
        <v>202607</v>
      </c>
      <c r="K177" s="19" t="str">
        <f t="shared" si="19"/>
        <v>يوليو 2026</v>
      </c>
      <c r="L177" s="19" t="str">
        <f t="shared" si="20"/>
        <v>⚠️ كمية مفقودة/صفر</v>
      </c>
      <c r="N177" s="11">
        <f t="shared" si="21"/>
        <v>202607</v>
      </c>
      <c r="O177" s="19" t="str">
        <f t="shared" si="22"/>
        <v>يوليو 2026</v>
      </c>
      <c r="P177" s="19" t="str">
        <f t="shared" si="23"/>
        <v xml:space="preserve">سائل جلي فريز اول خام </v>
      </c>
      <c r="Q177" s="55">
        <f t="shared" si="24"/>
        <v>0</v>
      </c>
      <c r="R177" s="55">
        <f t="shared" si="25"/>
        <v>669</v>
      </c>
      <c r="S177" s="19" t="str">
        <f t="shared" si="26"/>
        <v>دولار أمريكي</v>
      </c>
    </row>
    <row r="178" spans="1:19">
      <c r="A178" s="54" t="s">
        <v>339</v>
      </c>
      <c r="B178">
        <v>0</v>
      </c>
      <c r="C178">
        <v>4000</v>
      </c>
      <c r="D178">
        <v>4000</v>
      </c>
      <c r="E178">
        <v>4000</v>
      </c>
      <c r="F178" s="54" t="s">
        <v>62</v>
      </c>
      <c r="G178" t="s">
        <v>111</v>
      </c>
      <c r="H178" s="54" t="s">
        <v>139</v>
      </c>
      <c r="I178">
        <v>2300</v>
      </c>
      <c r="J178" s="11">
        <f t="shared" si="18"/>
        <v>202607</v>
      </c>
      <c r="K178" s="19" t="str">
        <f t="shared" si="19"/>
        <v>يوليو 2026</v>
      </c>
      <c r="L178" s="19" t="str">
        <f t="shared" si="20"/>
        <v>⚠️ كمية مفقودة/صفر</v>
      </c>
      <c r="N178" s="11">
        <f t="shared" si="21"/>
        <v>202607</v>
      </c>
      <c r="O178" s="19" t="str">
        <f t="shared" si="22"/>
        <v>يوليو 2026</v>
      </c>
      <c r="P178" s="19" t="str">
        <f t="shared" si="23"/>
        <v>سائل جلي شفاف مع عطر / فرط</v>
      </c>
      <c r="Q178" s="55">
        <f t="shared" si="24"/>
        <v>0</v>
      </c>
      <c r="R178" s="55">
        <f t="shared" si="25"/>
        <v>2300</v>
      </c>
      <c r="S178" s="19" t="str">
        <f t="shared" si="26"/>
        <v>ليرة سورية</v>
      </c>
    </row>
    <row r="179" spans="1:19" ht="25.5" customHeight="1">
      <c r="A179" s="54" t="s">
        <v>175</v>
      </c>
      <c r="B179">
        <v>0</v>
      </c>
      <c r="C179">
        <v>0</v>
      </c>
      <c r="D179">
        <v>0</v>
      </c>
      <c r="E179">
        <v>0</v>
      </c>
      <c r="F179" s="54" t="s">
        <v>63</v>
      </c>
      <c r="G179" t="s">
        <v>111</v>
      </c>
      <c r="H179" s="54" t="s">
        <v>112</v>
      </c>
      <c r="I179">
        <v>185</v>
      </c>
      <c r="J179" s="11">
        <f t="shared" si="18"/>
        <v>202607</v>
      </c>
      <c r="K179" s="19" t="str">
        <f t="shared" si="19"/>
        <v>يوليو 2026</v>
      </c>
      <c r="L179" s="19" t="str">
        <f t="shared" si="20"/>
        <v>⚠️ كمية مفقودة/صفر</v>
      </c>
      <c r="N179" s="11">
        <f t="shared" si="21"/>
        <v>202607</v>
      </c>
      <c r="O179" s="19" t="str">
        <f t="shared" si="22"/>
        <v>يوليو 2026</v>
      </c>
      <c r="P179" s="19" t="str">
        <f t="shared" si="23"/>
        <v xml:space="preserve">سائل جلي سادة رابع خام </v>
      </c>
      <c r="Q179" s="55">
        <f t="shared" si="24"/>
        <v>0</v>
      </c>
      <c r="R179" s="55">
        <f t="shared" si="25"/>
        <v>185</v>
      </c>
      <c r="S179" s="19" t="str">
        <f t="shared" si="26"/>
        <v>دولار أمريكي</v>
      </c>
    </row>
    <row r="180" spans="1:19" ht="25.5" customHeight="1">
      <c r="A180" s="54" t="s">
        <v>176</v>
      </c>
      <c r="B180">
        <v>0</v>
      </c>
      <c r="C180">
        <v>0</v>
      </c>
      <c r="D180">
        <v>0</v>
      </c>
      <c r="E180">
        <v>0</v>
      </c>
      <c r="F180" s="54" t="s">
        <v>63</v>
      </c>
      <c r="G180" t="s">
        <v>111</v>
      </c>
      <c r="H180" s="54" t="s">
        <v>112</v>
      </c>
      <c r="I180">
        <v>340</v>
      </c>
      <c r="J180" s="11">
        <f t="shared" si="18"/>
        <v>202607</v>
      </c>
      <c r="K180" s="19" t="str">
        <f t="shared" si="19"/>
        <v>يوليو 2026</v>
      </c>
      <c r="L180" s="19" t="str">
        <f t="shared" si="20"/>
        <v>⚠️ كمية مفقودة/صفر</v>
      </c>
      <c r="N180" s="11">
        <f t="shared" si="21"/>
        <v>202607</v>
      </c>
      <c r="O180" s="19" t="str">
        <f t="shared" si="22"/>
        <v>يوليو 2026</v>
      </c>
      <c r="P180" s="19" t="str">
        <f t="shared" si="23"/>
        <v xml:space="preserve">سائل جلي سادة ثاني خام </v>
      </c>
      <c r="Q180" s="55">
        <f t="shared" si="24"/>
        <v>0</v>
      </c>
      <c r="R180" s="55">
        <f t="shared" si="25"/>
        <v>340</v>
      </c>
      <c r="S180" s="19" t="str">
        <f t="shared" si="26"/>
        <v>دولار أمريكي</v>
      </c>
    </row>
    <row r="181" spans="1:19" ht="25.5" customHeight="1">
      <c r="A181" s="54" t="s">
        <v>177</v>
      </c>
      <c r="B181">
        <v>0</v>
      </c>
      <c r="C181">
        <v>0</v>
      </c>
      <c r="D181">
        <v>0</v>
      </c>
      <c r="E181">
        <v>0</v>
      </c>
      <c r="F181" s="54" t="s">
        <v>63</v>
      </c>
      <c r="G181" t="s">
        <v>111</v>
      </c>
      <c r="H181" s="54" t="s">
        <v>112</v>
      </c>
      <c r="I181">
        <v>242</v>
      </c>
      <c r="J181" s="11">
        <f t="shared" si="18"/>
        <v>202607</v>
      </c>
      <c r="K181" s="19" t="str">
        <f t="shared" si="19"/>
        <v>يوليو 2026</v>
      </c>
      <c r="L181" s="19" t="str">
        <f t="shared" si="20"/>
        <v>⚠️ كمية مفقودة/صفر</v>
      </c>
      <c r="N181" s="11">
        <f t="shared" si="21"/>
        <v>202607</v>
      </c>
      <c r="O181" s="19" t="str">
        <f t="shared" si="22"/>
        <v>يوليو 2026</v>
      </c>
      <c r="P181" s="19" t="str">
        <f t="shared" si="23"/>
        <v xml:space="preserve">سائل جلي سادة ثالث خام </v>
      </c>
      <c r="Q181" s="55">
        <f t="shared" si="24"/>
        <v>0</v>
      </c>
      <c r="R181" s="55">
        <f t="shared" si="25"/>
        <v>242</v>
      </c>
      <c r="S181" s="19" t="str">
        <f t="shared" si="26"/>
        <v>دولار أمريكي</v>
      </c>
    </row>
    <row r="182" spans="1:19">
      <c r="A182" s="54" t="s">
        <v>299</v>
      </c>
      <c r="B182">
        <v>0</v>
      </c>
      <c r="C182">
        <v>0</v>
      </c>
      <c r="D182">
        <v>0</v>
      </c>
      <c r="E182">
        <v>0</v>
      </c>
      <c r="F182" s="54" t="s">
        <v>63</v>
      </c>
      <c r="G182" t="s">
        <v>111</v>
      </c>
      <c r="H182" s="54" t="s">
        <v>112</v>
      </c>
      <c r="I182">
        <v>0</v>
      </c>
      <c r="J182" s="11">
        <f t="shared" si="18"/>
        <v>202607</v>
      </c>
      <c r="K182" s="19" t="str">
        <f t="shared" si="19"/>
        <v>يوليو 2026</v>
      </c>
      <c r="L182" s="19" t="str">
        <f t="shared" si="20"/>
        <v>⚠️ كمية مفقودة/صفر</v>
      </c>
      <c r="N182" s="11">
        <f t="shared" si="21"/>
        <v>202607</v>
      </c>
      <c r="O182" s="19" t="str">
        <f t="shared" si="22"/>
        <v>يوليو 2026</v>
      </c>
      <c r="P182" s="19" t="str">
        <f t="shared" si="23"/>
        <v>سائل جلي سادة اول خام 500 كغ</v>
      </c>
      <c r="Q182" s="55">
        <f t="shared" si="24"/>
        <v>0</v>
      </c>
      <c r="R182" s="55">
        <f t="shared" si="25"/>
        <v>0</v>
      </c>
      <c r="S182" s="19" t="str">
        <f t="shared" si="26"/>
        <v>دولار أمريكي</v>
      </c>
    </row>
    <row r="183" spans="1:19" ht="25.5" customHeight="1">
      <c r="A183" s="54" t="s">
        <v>178</v>
      </c>
      <c r="B183">
        <v>0</v>
      </c>
      <c r="C183">
        <v>0</v>
      </c>
      <c r="D183">
        <v>0</v>
      </c>
      <c r="E183">
        <v>0</v>
      </c>
      <c r="F183" s="54" t="s">
        <v>63</v>
      </c>
      <c r="G183" t="s">
        <v>111</v>
      </c>
      <c r="H183" s="54" t="s">
        <v>112</v>
      </c>
      <c r="I183">
        <v>657</v>
      </c>
      <c r="J183" s="11">
        <f t="shared" si="18"/>
        <v>202607</v>
      </c>
      <c r="K183" s="19" t="str">
        <f t="shared" si="19"/>
        <v>يوليو 2026</v>
      </c>
      <c r="L183" s="19" t="str">
        <f t="shared" si="20"/>
        <v>⚠️ كمية مفقودة/صفر</v>
      </c>
      <c r="N183" s="11">
        <f t="shared" si="21"/>
        <v>202607</v>
      </c>
      <c r="O183" s="19" t="str">
        <f t="shared" si="22"/>
        <v>يوليو 2026</v>
      </c>
      <c r="P183" s="19" t="str">
        <f t="shared" si="23"/>
        <v xml:space="preserve">سائل جلي سادة اول خام </v>
      </c>
      <c r="Q183" s="55">
        <f t="shared" si="24"/>
        <v>0</v>
      </c>
      <c r="R183" s="55">
        <f t="shared" si="25"/>
        <v>657</v>
      </c>
      <c r="S183" s="19" t="str">
        <f t="shared" si="26"/>
        <v>دولار أمريكي</v>
      </c>
    </row>
    <row r="184" spans="1:19">
      <c r="A184" s="54" t="s">
        <v>179</v>
      </c>
      <c r="B184">
        <v>0</v>
      </c>
      <c r="C184">
        <v>0</v>
      </c>
      <c r="D184">
        <v>0</v>
      </c>
      <c r="E184">
        <v>0</v>
      </c>
      <c r="F184" s="54" t="s">
        <v>63</v>
      </c>
      <c r="G184" t="s">
        <v>111</v>
      </c>
      <c r="H184" s="54" t="s">
        <v>112</v>
      </c>
      <c r="I184">
        <v>191</v>
      </c>
      <c r="J184" s="11">
        <f t="shared" si="18"/>
        <v>202607</v>
      </c>
      <c r="K184" s="19" t="str">
        <f t="shared" si="19"/>
        <v>يوليو 2026</v>
      </c>
      <c r="L184" s="19" t="str">
        <f t="shared" si="20"/>
        <v>⚠️ كمية مفقودة/صفر</v>
      </c>
      <c r="N184" s="11">
        <f t="shared" si="21"/>
        <v>202607</v>
      </c>
      <c r="O184" s="19" t="str">
        <f t="shared" si="22"/>
        <v>يوليو 2026</v>
      </c>
      <c r="P184" s="19" t="str">
        <f t="shared" si="23"/>
        <v xml:space="preserve">سائل جلي تفاح رابع خام </v>
      </c>
      <c r="Q184" s="55">
        <f t="shared" si="24"/>
        <v>0</v>
      </c>
      <c r="R184" s="55">
        <f t="shared" si="25"/>
        <v>191</v>
      </c>
      <c r="S184" s="19" t="str">
        <f t="shared" si="26"/>
        <v>دولار أمريكي</v>
      </c>
    </row>
    <row r="185" spans="1:19" ht="25.5" customHeight="1">
      <c r="A185" s="54" t="s">
        <v>180</v>
      </c>
      <c r="B185">
        <v>0</v>
      </c>
      <c r="C185">
        <v>0</v>
      </c>
      <c r="D185">
        <v>0</v>
      </c>
      <c r="E185">
        <v>0</v>
      </c>
      <c r="F185" s="54" t="s">
        <v>63</v>
      </c>
      <c r="G185" t="s">
        <v>111</v>
      </c>
      <c r="H185" s="54" t="s">
        <v>112</v>
      </c>
      <c r="I185">
        <v>294</v>
      </c>
      <c r="J185" s="11">
        <f t="shared" si="18"/>
        <v>202607</v>
      </c>
      <c r="K185" s="19" t="str">
        <f t="shared" si="19"/>
        <v>يوليو 2026</v>
      </c>
      <c r="L185" s="19" t="str">
        <f t="shared" si="20"/>
        <v>⚠️ كمية مفقودة/صفر</v>
      </c>
      <c r="N185" s="11">
        <f t="shared" si="21"/>
        <v>202607</v>
      </c>
      <c r="O185" s="19" t="str">
        <f t="shared" si="22"/>
        <v>يوليو 2026</v>
      </c>
      <c r="P185" s="19" t="str">
        <f t="shared" si="23"/>
        <v xml:space="preserve">سائل جلي تفاح ثاني خام </v>
      </c>
      <c r="Q185" s="55">
        <f t="shared" si="24"/>
        <v>0</v>
      </c>
      <c r="R185" s="55">
        <f t="shared" si="25"/>
        <v>294</v>
      </c>
      <c r="S185" s="19" t="str">
        <f t="shared" si="26"/>
        <v>دولار أمريكي</v>
      </c>
    </row>
    <row r="186" spans="1:19">
      <c r="A186" s="54" t="s">
        <v>181</v>
      </c>
      <c r="B186">
        <v>0</v>
      </c>
      <c r="C186">
        <v>0</v>
      </c>
      <c r="D186">
        <v>0</v>
      </c>
      <c r="E186">
        <v>0</v>
      </c>
      <c r="F186" s="54" t="s">
        <v>63</v>
      </c>
      <c r="G186" t="s">
        <v>111</v>
      </c>
      <c r="H186" s="54" t="s">
        <v>112</v>
      </c>
      <c r="I186">
        <v>248</v>
      </c>
      <c r="J186" s="11">
        <f t="shared" si="18"/>
        <v>202607</v>
      </c>
      <c r="K186" s="19" t="str">
        <f t="shared" si="19"/>
        <v>يوليو 2026</v>
      </c>
      <c r="L186" s="19" t="str">
        <f t="shared" si="20"/>
        <v>⚠️ كمية مفقودة/صفر</v>
      </c>
      <c r="N186" s="11">
        <f t="shared" si="21"/>
        <v>202607</v>
      </c>
      <c r="O186" s="19" t="str">
        <f t="shared" si="22"/>
        <v>يوليو 2026</v>
      </c>
      <c r="P186" s="19" t="str">
        <f t="shared" si="23"/>
        <v xml:space="preserve">سائل جلي تفاح ثالث خام </v>
      </c>
      <c r="Q186" s="55">
        <f t="shared" si="24"/>
        <v>0</v>
      </c>
      <c r="R186" s="55">
        <f t="shared" si="25"/>
        <v>248</v>
      </c>
      <c r="S186" s="19" t="str">
        <f t="shared" si="26"/>
        <v>دولار أمريكي</v>
      </c>
    </row>
    <row r="187" spans="1:19">
      <c r="A187" s="54" t="s">
        <v>182</v>
      </c>
      <c r="B187">
        <v>0</v>
      </c>
      <c r="C187">
        <v>0</v>
      </c>
      <c r="D187">
        <v>0</v>
      </c>
      <c r="E187">
        <v>0</v>
      </c>
      <c r="F187" s="54" t="s">
        <v>63</v>
      </c>
      <c r="G187" t="s">
        <v>111</v>
      </c>
      <c r="H187" s="54" t="s">
        <v>112</v>
      </c>
      <c r="I187">
        <v>669</v>
      </c>
      <c r="J187" s="11">
        <f t="shared" si="18"/>
        <v>202607</v>
      </c>
      <c r="K187" s="19" t="str">
        <f t="shared" si="19"/>
        <v>يوليو 2026</v>
      </c>
      <c r="L187" s="19" t="str">
        <f t="shared" si="20"/>
        <v>⚠️ كمية مفقودة/صفر</v>
      </c>
      <c r="N187" s="11">
        <f t="shared" si="21"/>
        <v>202607</v>
      </c>
      <c r="O187" s="19" t="str">
        <f t="shared" si="22"/>
        <v>يوليو 2026</v>
      </c>
      <c r="P187" s="19" t="str">
        <f t="shared" si="23"/>
        <v xml:space="preserve">سائل جلي تفاح اول خام </v>
      </c>
      <c r="Q187" s="55">
        <f t="shared" si="24"/>
        <v>0</v>
      </c>
      <c r="R187" s="55">
        <f t="shared" si="25"/>
        <v>669</v>
      </c>
      <c r="S187" s="19" t="str">
        <f t="shared" si="26"/>
        <v>دولار أمريكي</v>
      </c>
    </row>
    <row r="188" spans="1:19">
      <c r="A188" s="54" t="s">
        <v>340</v>
      </c>
      <c r="B188">
        <v>6359.2</v>
      </c>
      <c r="C188">
        <v>6000</v>
      </c>
      <c r="D188">
        <v>6000</v>
      </c>
      <c r="E188">
        <v>6000</v>
      </c>
      <c r="F188" s="54" t="s">
        <v>62</v>
      </c>
      <c r="G188" t="s">
        <v>111</v>
      </c>
      <c r="H188" s="54" t="s">
        <v>139</v>
      </c>
      <c r="I188">
        <v>0</v>
      </c>
      <c r="J188" s="11">
        <f t="shared" si="18"/>
        <v>202607</v>
      </c>
      <c r="K188" s="19" t="str">
        <f t="shared" si="19"/>
        <v>يوليو 2026</v>
      </c>
      <c r="L188" s="19" t="str">
        <f t="shared" si="20"/>
        <v>✅ جاهز</v>
      </c>
      <c r="N188" s="11">
        <f t="shared" si="21"/>
        <v>202607</v>
      </c>
      <c r="O188" s="19" t="str">
        <f t="shared" si="22"/>
        <v>يوليو 2026</v>
      </c>
      <c r="P188" s="19" t="str">
        <f t="shared" si="23"/>
        <v>سائل جلي super / فرط 2604</v>
      </c>
      <c r="Q188" s="55">
        <f t="shared" si="24"/>
        <v>6359.2</v>
      </c>
      <c r="R188" s="55">
        <f t="shared" si="25"/>
        <v>0</v>
      </c>
      <c r="S188" s="19" t="str">
        <f t="shared" si="26"/>
        <v>ليرة سورية</v>
      </c>
    </row>
    <row r="189" spans="1:19">
      <c r="A189" s="54" t="s">
        <v>341</v>
      </c>
      <c r="B189">
        <v>3756</v>
      </c>
      <c r="C189">
        <v>7000</v>
      </c>
      <c r="D189">
        <v>7000</v>
      </c>
      <c r="E189">
        <v>7000</v>
      </c>
      <c r="F189" s="54" t="s">
        <v>62</v>
      </c>
      <c r="G189" t="s">
        <v>111</v>
      </c>
      <c r="H189" s="54" t="s">
        <v>139</v>
      </c>
      <c r="I189">
        <v>0</v>
      </c>
      <c r="J189" s="11">
        <f t="shared" si="18"/>
        <v>202607</v>
      </c>
      <c r="K189" s="19" t="str">
        <f t="shared" si="19"/>
        <v>يوليو 2026</v>
      </c>
      <c r="L189" s="19" t="str">
        <f t="shared" si="20"/>
        <v>✅ جاهز</v>
      </c>
      <c r="N189" s="11">
        <f t="shared" si="21"/>
        <v>202607</v>
      </c>
      <c r="O189" s="19" t="str">
        <f t="shared" si="22"/>
        <v>يوليو 2026</v>
      </c>
      <c r="P189" s="19" t="str">
        <f t="shared" si="23"/>
        <v>سائل جلي super / فرط 2603</v>
      </c>
      <c r="Q189" s="55">
        <f t="shared" si="24"/>
        <v>3756</v>
      </c>
      <c r="R189" s="55">
        <f t="shared" si="25"/>
        <v>0</v>
      </c>
      <c r="S189" s="19" t="str">
        <f t="shared" si="26"/>
        <v>ليرة سورية</v>
      </c>
    </row>
    <row r="190" spans="1:19" ht="25.5" customHeight="1">
      <c r="A190" s="54" t="s">
        <v>342</v>
      </c>
      <c r="B190">
        <v>1934</v>
      </c>
      <c r="C190">
        <v>8000</v>
      </c>
      <c r="D190">
        <v>8000</v>
      </c>
      <c r="E190">
        <v>8000</v>
      </c>
      <c r="F190" s="54" t="s">
        <v>62</v>
      </c>
      <c r="G190" t="s">
        <v>111</v>
      </c>
      <c r="H190" s="54" t="s">
        <v>139</v>
      </c>
      <c r="I190">
        <v>0</v>
      </c>
      <c r="J190" s="11">
        <f t="shared" si="18"/>
        <v>202607</v>
      </c>
      <c r="K190" s="19" t="str">
        <f t="shared" si="19"/>
        <v>يوليو 2026</v>
      </c>
      <c r="L190" s="19" t="str">
        <f t="shared" si="20"/>
        <v>✅ جاهز</v>
      </c>
      <c r="N190" s="11">
        <f t="shared" si="21"/>
        <v>202607</v>
      </c>
      <c r="O190" s="19" t="str">
        <f t="shared" si="22"/>
        <v>يوليو 2026</v>
      </c>
      <c r="P190" s="19" t="str">
        <f t="shared" si="23"/>
        <v>سائل جلي super / فرط 2602</v>
      </c>
      <c r="Q190" s="55">
        <f t="shared" si="24"/>
        <v>1934</v>
      </c>
      <c r="R190" s="55">
        <f t="shared" si="25"/>
        <v>0</v>
      </c>
      <c r="S190" s="19" t="str">
        <f t="shared" si="26"/>
        <v>ليرة سورية</v>
      </c>
    </row>
    <row r="191" spans="1:19">
      <c r="A191" s="54" t="s">
        <v>343</v>
      </c>
      <c r="B191">
        <v>1566</v>
      </c>
      <c r="C191">
        <v>15000</v>
      </c>
      <c r="D191">
        <v>15000</v>
      </c>
      <c r="E191">
        <v>15000</v>
      </c>
      <c r="F191" s="54" t="s">
        <v>62</v>
      </c>
      <c r="G191" t="s">
        <v>111</v>
      </c>
      <c r="H191" s="54" t="s">
        <v>139</v>
      </c>
      <c r="I191">
        <v>0</v>
      </c>
      <c r="J191" s="11">
        <f t="shared" si="18"/>
        <v>202607</v>
      </c>
      <c r="K191" s="19" t="str">
        <f t="shared" si="19"/>
        <v>يوليو 2026</v>
      </c>
      <c r="L191" s="19" t="str">
        <f t="shared" si="20"/>
        <v>✅ جاهز</v>
      </c>
      <c r="N191" s="11">
        <f t="shared" si="21"/>
        <v>202607</v>
      </c>
      <c r="O191" s="19" t="str">
        <f t="shared" si="22"/>
        <v>يوليو 2026</v>
      </c>
      <c r="P191" s="19" t="str">
        <f t="shared" si="23"/>
        <v>سائل جلي super / فرط 2601</v>
      </c>
      <c r="Q191" s="55">
        <f t="shared" si="24"/>
        <v>1566</v>
      </c>
      <c r="R191" s="55">
        <f t="shared" si="25"/>
        <v>0</v>
      </c>
      <c r="S191" s="19" t="str">
        <f t="shared" si="26"/>
        <v>ليرة سورية</v>
      </c>
    </row>
    <row r="192" spans="1:19" ht="25.5" customHeight="1">
      <c r="A192" s="54" t="s">
        <v>344</v>
      </c>
      <c r="B192">
        <v>34</v>
      </c>
      <c r="C192">
        <v>22000</v>
      </c>
      <c r="D192">
        <v>22000</v>
      </c>
      <c r="E192">
        <v>22000</v>
      </c>
      <c r="F192" s="54" t="s">
        <v>62</v>
      </c>
      <c r="G192" t="s">
        <v>111</v>
      </c>
      <c r="H192" s="54" t="s">
        <v>139</v>
      </c>
      <c r="I192">
        <v>0</v>
      </c>
      <c r="J192" s="11">
        <f t="shared" si="18"/>
        <v>202607</v>
      </c>
      <c r="K192" s="19" t="str">
        <f t="shared" si="19"/>
        <v>يوليو 2026</v>
      </c>
      <c r="L192" s="19" t="str">
        <f t="shared" si="20"/>
        <v>✅ جاهز</v>
      </c>
      <c r="N192" s="11">
        <f t="shared" si="21"/>
        <v>202607</v>
      </c>
      <c r="O192" s="19" t="str">
        <f t="shared" si="22"/>
        <v>يوليو 2026</v>
      </c>
      <c r="P192" s="19" t="str">
        <f t="shared" si="23"/>
        <v>سائل جلي super / عبوة 3 لتر 2604</v>
      </c>
      <c r="Q192" s="55">
        <f t="shared" si="24"/>
        <v>34</v>
      </c>
      <c r="R192" s="55">
        <f t="shared" si="25"/>
        <v>0</v>
      </c>
      <c r="S192" s="19" t="str">
        <f t="shared" si="26"/>
        <v>ليرة سورية</v>
      </c>
    </row>
    <row r="193" spans="1:19">
      <c r="A193" s="54" t="s">
        <v>345</v>
      </c>
      <c r="B193">
        <v>65</v>
      </c>
      <c r="C193">
        <v>25000</v>
      </c>
      <c r="D193">
        <v>25000</v>
      </c>
      <c r="E193">
        <v>25000</v>
      </c>
      <c r="F193" s="54" t="s">
        <v>62</v>
      </c>
      <c r="G193" t="s">
        <v>111</v>
      </c>
      <c r="H193" t="s">
        <v>139</v>
      </c>
      <c r="I193">
        <v>0</v>
      </c>
      <c r="J193" s="11">
        <f t="shared" si="18"/>
        <v>202607</v>
      </c>
      <c r="K193" s="19" t="str">
        <f t="shared" si="19"/>
        <v>يوليو 2026</v>
      </c>
      <c r="L193" s="19" t="str">
        <f t="shared" si="20"/>
        <v>✅ جاهز</v>
      </c>
      <c r="N193" s="11">
        <f t="shared" si="21"/>
        <v>202607</v>
      </c>
      <c r="O193" s="19" t="str">
        <f t="shared" si="22"/>
        <v>يوليو 2026</v>
      </c>
      <c r="P193" s="19" t="str">
        <f t="shared" si="23"/>
        <v>سائل جلي super / عبوة 3 لتر 2603</v>
      </c>
      <c r="Q193" s="55">
        <f t="shared" si="24"/>
        <v>65</v>
      </c>
      <c r="R193" s="55">
        <f t="shared" si="25"/>
        <v>0</v>
      </c>
      <c r="S193" s="19" t="str">
        <f t="shared" si="26"/>
        <v>ليرة سورية</v>
      </c>
    </row>
    <row r="194" spans="1:19">
      <c r="A194" s="54" t="s">
        <v>346</v>
      </c>
      <c r="B194">
        <v>427</v>
      </c>
      <c r="C194">
        <v>27000</v>
      </c>
      <c r="D194">
        <v>27000</v>
      </c>
      <c r="E194">
        <v>27000</v>
      </c>
      <c r="F194" s="54" t="s">
        <v>62</v>
      </c>
      <c r="G194" t="s">
        <v>111</v>
      </c>
      <c r="H194" s="54" t="s">
        <v>139</v>
      </c>
      <c r="I194">
        <v>0</v>
      </c>
      <c r="J194" s="11">
        <f t="shared" si="18"/>
        <v>202607</v>
      </c>
      <c r="K194" s="19" t="str">
        <f t="shared" si="19"/>
        <v>يوليو 2026</v>
      </c>
      <c r="L194" s="19" t="str">
        <f t="shared" si="20"/>
        <v>✅ جاهز</v>
      </c>
      <c r="N194" s="11">
        <f t="shared" si="21"/>
        <v>202607</v>
      </c>
      <c r="O194" s="19" t="str">
        <f t="shared" si="22"/>
        <v>يوليو 2026</v>
      </c>
      <c r="P194" s="19" t="str">
        <f t="shared" si="23"/>
        <v>سائل جلي super / عبوة 3 لتر 2602</v>
      </c>
      <c r="Q194" s="55">
        <f t="shared" si="24"/>
        <v>427</v>
      </c>
      <c r="R194" s="55">
        <f t="shared" si="25"/>
        <v>0</v>
      </c>
      <c r="S194" s="19" t="str">
        <f t="shared" si="26"/>
        <v>ليرة سورية</v>
      </c>
    </row>
    <row r="195" spans="1:19" ht="25.5" customHeight="1">
      <c r="A195" s="54" t="s">
        <v>347</v>
      </c>
      <c r="B195">
        <v>41</v>
      </c>
      <c r="C195">
        <v>48000</v>
      </c>
      <c r="D195">
        <v>48000</v>
      </c>
      <c r="E195">
        <v>48000</v>
      </c>
      <c r="F195" s="54" t="s">
        <v>62</v>
      </c>
      <c r="G195" t="s">
        <v>111</v>
      </c>
      <c r="H195" s="54" t="s">
        <v>139</v>
      </c>
      <c r="I195">
        <v>0</v>
      </c>
      <c r="J195" s="11">
        <f t="shared" si="18"/>
        <v>202607</v>
      </c>
      <c r="K195" s="19" t="str">
        <f t="shared" si="19"/>
        <v>يوليو 2026</v>
      </c>
      <c r="L195" s="19" t="str">
        <f t="shared" si="20"/>
        <v>✅ جاهز</v>
      </c>
      <c r="N195" s="11">
        <f t="shared" si="21"/>
        <v>202607</v>
      </c>
      <c r="O195" s="19" t="str">
        <f t="shared" si="22"/>
        <v>يوليو 2026</v>
      </c>
      <c r="P195" s="19" t="str">
        <f t="shared" si="23"/>
        <v>سائل جلي super / عبوة 3 لتر 2601</v>
      </c>
      <c r="Q195" s="55">
        <f t="shared" si="24"/>
        <v>41</v>
      </c>
      <c r="R195" s="55">
        <f t="shared" si="25"/>
        <v>0</v>
      </c>
      <c r="S195" s="19" t="str">
        <f t="shared" si="26"/>
        <v>ليرة سورية</v>
      </c>
    </row>
    <row r="196" spans="1:19">
      <c r="A196" s="54" t="s">
        <v>348</v>
      </c>
      <c r="B196">
        <v>0</v>
      </c>
      <c r="C196">
        <v>270000</v>
      </c>
      <c r="D196">
        <v>270000</v>
      </c>
      <c r="E196">
        <v>270000</v>
      </c>
      <c r="F196" s="54" t="s">
        <v>62</v>
      </c>
      <c r="G196" t="s">
        <v>111</v>
      </c>
      <c r="H196" s="54" t="s">
        <v>139</v>
      </c>
      <c r="I196">
        <v>119500</v>
      </c>
      <c r="J196" s="11">
        <f t="shared" si="18"/>
        <v>202607</v>
      </c>
      <c r="K196" s="19" t="str">
        <f t="shared" si="19"/>
        <v>يوليو 2026</v>
      </c>
      <c r="L196" s="19" t="str">
        <f t="shared" si="20"/>
        <v>⚠️ كمية مفقودة/صفر</v>
      </c>
      <c r="N196" s="11">
        <f t="shared" si="21"/>
        <v>202607</v>
      </c>
      <c r="O196" s="19" t="str">
        <f t="shared" si="22"/>
        <v>يوليو 2026</v>
      </c>
      <c r="P196" s="19" t="str">
        <f t="shared" si="23"/>
        <v>زيت صنوبر 3 لتر</v>
      </c>
      <c r="Q196" s="55">
        <f t="shared" si="24"/>
        <v>0</v>
      </c>
      <c r="R196" s="55">
        <f t="shared" si="25"/>
        <v>119500</v>
      </c>
      <c r="S196" s="19" t="str">
        <f t="shared" si="26"/>
        <v>ليرة سورية</v>
      </c>
    </row>
    <row r="197" spans="1:19">
      <c r="A197" s="54" t="s">
        <v>183</v>
      </c>
      <c r="B197">
        <v>11</v>
      </c>
      <c r="C197">
        <v>0</v>
      </c>
      <c r="D197">
        <v>0</v>
      </c>
      <c r="E197">
        <v>0</v>
      </c>
      <c r="F197" s="54" t="s">
        <v>63</v>
      </c>
      <c r="G197" t="s">
        <v>111</v>
      </c>
      <c r="H197" s="54" t="s">
        <v>115</v>
      </c>
      <c r="I197">
        <v>5</v>
      </c>
      <c r="J197" s="11">
        <f t="shared" si="18"/>
        <v>202607</v>
      </c>
      <c r="K197" s="19" t="str">
        <f t="shared" si="19"/>
        <v>يوليو 2026</v>
      </c>
      <c r="L197" s="19" t="str">
        <f t="shared" si="20"/>
        <v>✅ جاهز</v>
      </c>
      <c r="N197" s="11">
        <f t="shared" si="21"/>
        <v>202607</v>
      </c>
      <c r="O197" s="19" t="str">
        <f t="shared" si="22"/>
        <v>يوليو 2026</v>
      </c>
      <c r="P197" s="19" t="str">
        <f t="shared" si="23"/>
        <v>زيت الصنوبر</v>
      </c>
      <c r="Q197" s="55">
        <f t="shared" si="24"/>
        <v>11</v>
      </c>
      <c r="R197" s="55">
        <f t="shared" si="25"/>
        <v>5</v>
      </c>
      <c r="S197" s="19" t="str">
        <f t="shared" si="26"/>
        <v>دولار أمريكي</v>
      </c>
    </row>
    <row r="198" spans="1:19">
      <c r="A198" s="54" t="s">
        <v>184</v>
      </c>
      <c r="B198">
        <v>0</v>
      </c>
      <c r="C198">
        <v>0</v>
      </c>
      <c r="D198">
        <v>0</v>
      </c>
      <c r="E198">
        <v>0</v>
      </c>
      <c r="F198" s="54" t="s">
        <v>63</v>
      </c>
      <c r="G198" t="s">
        <v>111</v>
      </c>
      <c r="H198" s="54" t="s">
        <v>115</v>
      </c>
      <c r="I198">
        <v>100</v>
      </c>
      <c r="J198" s="11">
        <f t="shared" si="18"/>
        <v>202607</v>
      </c>
      <c r="K198" s="19" t="str">
        <f t="shared" si="19"/>
        <v>يوليو 2026</v>
      </c>
      <c r="L198" s="19" t="str">
        <f t="shared" si="20"/>
        <v>⚠️ كمية مفقودة/صفر</v>
      </c>
      <c r="N198" s="11">
        <f t="shared" si="21"/>
        <v>202607</v>
      </c>
      <c r="O198" s="19" t="str">
        <f t="shared" si="22"/>
        <v>يوليو 2026</v>
      </c>
      <c r="P198" s="19" t="str">
        <f t="shared" si="23"/>
        <v>زنجارة</v>
      </c>
      <c r="Q198" s="55">
        <f t="shared" si="24"/>
        <v>0</v>
      </c>
      <c r="R198" s="55">
        <f t="shared" si="25"/>
        <v>100</v>
      </c>
      <c r="S198" s="19" t="str">
        <f t="shared" si="26"/>
        <v>دولار أمريكي</v>
      </c>
    </row>
    <row r="199" spans="1:19">
      <c r="A199" s="54" t="s">
        <v>185</v>
      </c>
      <c r="B199">
        <v>1731</v>
      </c>
      <c r="C199">
        <v>0</v>
      </c>
      <c r="D199">
        <v>0</v>
      </c>
      <c r="E199">
        <v>0</v>
      </c>
      <c r="F199" s="54" t="s">
        <v>63</v>
      </c>
      <c r="G199" t="s">
        <v>111</v>
      </c>
      <c r="H199" s="54" t="s">
        <v>115</v>
      </c>
      <c r="I199">
        <v>3</v>
      </c>
      <c r="J199" s="11">
        <f t="shared" ref="J199:J262" si="27">IF($B$3="","",$B$3)</f>
        <v>202607</v>
      </c>
      <c r="K199" s="19" t="str">
        <f t="shared" ref="K199:K262" si="28">IF($B$4="","",$B$4)</f>
        <v>يوليو 2026</v>
      </c>
      <c r="L199" s="19" t="str">
        <f t="shared" ref="L199:L262" si="29">IF(A199="","",IF(OR(B199="",B199=0),"⚠️ كمية مفقودة/صفر",IF(I199="","⚠️ سعر شراء مفقود",IF(F199="","⚠️ عملة مفقودة",IF(COUNTIF($A$7:$A$505,A199)&gt;1,"⚠️ مادة مكررة بالقائمة","✅ جاهز")))))</f>
        <v>✅ جاهز</v>
      </c>
      <c r="N199" s="11">
        <f t="shared" ref="N199:N262" si="30">J199</f>
        <v>202607</v>
      </c>
      <c r="O199" s="19" t="str">
        <f t="shared" ref="O199:O262" si="31">K199</f>
        <v>يوليو 2026</v>
      </c>
      <c r="P199" s="19" t="str">
        <f t="shared" ref="P199:P262" si="32">A199</f>
        <v>زفتة</v>
      </c>
      <c r="Q199" s="55">
        <f t="shared" ref="Q199:Q262" si="33">B199</f>
        <v>1731</v>
      </c>
      <c r="R199" s="55">
        <f t="shared" ref="R199:R262" si="34">I199</f>
        <v>3</v>
      </c>
      <c r="S199" s="19" t="str">
        <f t="shared" ref="S199:S262" si="35">F199</f>
        <v>دولار أمريكي</v>
      </c>
    </row>
    <row r="200" spans="1:19" ht="25.5" customHeight="1">
      <c r="A200" s="54" t="s">
        <v>252</v>
      </c>
      <c r="B200">
        <v>0.2</v>
      </c>
      <c r="C200">
        <v>1750000</v>
      </c>
      <c r="D200">
        <v>1750000</v>
      </c>
      <c r="E200">
        <v>1750000</v>
      </c>
      <c r="F200" s="54" t="s">
        <v>62</v>
      </c>
      <c r="G200" t="s">
        <v>111</v>
      </c>
      <c r="H200" s="54" t="s">
        <v>115</v>
      </c>
      <c r="I200">
        <v>812500</v>
      </c>
      <c r="J200" s="11">
        <f t="shared" si="27"/>
        <v>202607</v>
      </c>
      <c r="K200" s="19" t="str">
        <f t="shared" si="28"/>
        <v>يوليو 2026</v>
      </c>
      <c r="L200" s="19" t="str">
        <f t="shared" si="29"/>
        <v>✅ جاهز</v>
      </c>
      <c r="N200" s="11">
        <f t="shared" si="30"/>
        <v>202607</v>
      </c>
      <c r="O200" s="19" t="str">
        <f t="shared" si="31"/>
        <v>يوليو 2026</v>
      </c>
      <c r="P200" s="19" t="str">
        <f t="shared" si="32"/>
        <v>ديتول خام</v>
      </c>
      <c r="Q200" s="55">
        <f t="shared" si="33"/>
        <v>0.2</v>
      </c>
      <c r="R200" s="55">
        <f t="shared" si="34"/>
        <v>812500</v>
      </c>
      <c r="S200" s="19" t="str">
        <f t="shared" si="35"/>
        <v>ليرة سورية</v>
      </c>
    </row>
    <row r="201" spans="1:19">
      <c r="A201" s="54" t="s">
        <v>349</v>
      </c>
      <c r="B201">
        <v>0</v>
      </c>
      <c r="C201">
        <v>49000</v>
      </c>
      <c r="D201">
        <v>49000</v>
      </c>
      <c r="E201">
        <v>49000</v>
      </c>
      <c r="F201" s="54" t="s">
        <v>62</v>
      </c>
      <c r="G201" t="s">
        <v>111</v>
      </c>
      <c r="H201" s="54" t="s">
        <v>139</v>
      </c>
      <c r="I201">
        <v>24500</v>
      </c>
      <c r="J201" s="11">
        <f t="shared" si="27"/>
        <v>202607</v>
      </c>
      <c r="K201" s="19" t="str">
        <f t="shared" si="28"/>
        <v>يوليو 2026</v>
      </c>
      <c r="L201" s="19" t="str">
        <f t="shared" si="29"/>
        <v>⚠️ كمية مفقودة/صفر</v>
      </c>
      <c r="N201" s="11">
        <f t="shared" si="30"/>
        <v>202607</v>
      </c>
      <c r="O201" s="19" t="str">
        <f t="shared" si="31"/>
        <v>يوليو 2026</v>
      </c>
      <c r="P201" s="19" t="str">
        <f t="shared" si="32"/>
        <v xml:space="preserve">ديتول 3 لتر </v>
      </c>
      <c r="Q201" s="55">
        <f t="shared" si="33"/>
        <v>0</v>
      </c>
      <c r="R201" s="55">
        <f t="shared" si="34"/>
        <v>24500</v>
      </c>
      <c r="S201" s="19" t="str">
        <f t="shared" si="35"/>
        <v>ليرة سورية</v>
      </c>
    </row>
    <row r="202" spans="1:19">
      <c r="A202" s="54" t="s">
        <v>350</v>
      </c>
      <c r="B202">
        <v>0</v>
      </c>
      <c r="C202">
        <v>14000</v>
      </c>
      <c r="D202">
        <v>14000</v>
      </c>
      <c r="E202">
        <v>14000</v>
      </c>
      <c r="F202" s="54" t="s">
        <v>62</v>
      </c>
      <c r="G202" t="s">
        <v>111</v>
      </c>
      <c r="H202" s="54" t="s">
        <v>139</v>
      </c>
      <c r="I202">
        <v>7000</v>
      </c>
      <c r="J202" s="11">
        <f t="shared" si="27"/>
        <v>202607</v>
      </c>
      <c r="K202" s="19" t="str">
        <f t="shared" si="28"/>
        <v>يوليو 2026</v>
      </c>
      <c r="L202" s="19" t="str">
        <f t="shared" si="29"/>
        <v>⚠️ كمية مفقودة/صفر</v>
      </c>
      <c r="N202" s="11">
        <f t="shared" si="30"/>
        <v>202607</v>
      </c>
      <c r="O202" s="19" t="str">
        <f t="shared" si="31"/>
        <v>يوليو 2026</v>
      </c>
      <c r="P202" s="19" t="str">
        <f t="shared" si="32"/>
        <v xml:space="preserve">ديتول / فرط </v>
      </c>
      <c r="Q202" s="55">
        <f t="shared" si="33"/>
        <v>0</v>
      </c>
      <c r="R202" s="55">
        <f t="shared" si="34"/>
        <v>7000</v>
      </c>
      <c r="S202" s="19" t="str">
        <f t="shared" si="35"/>
        <v>ليرة سورية</v>
      </c>
    </row>
    <row r="203" spans="1:19" ht="25.5" customHeight="1">
      <c r="A203" s="54" t="s">
        <v>186</v>
      </c>
      <c r="B203">
        <v>0</v>
      </c>
      <c r="C203">
        <v>0</v>
      </c>
      <c r="D203">
        <v>0</v>
      </c>
      <c r="E203">
        <v>0</v>
      </c>
      <c r="F203" s="54" t="s">
        <v>63</v>
      </c>
      <c r="G203" t="s">
        <v>111</v>
      </c>
      <c r="H203" s="54" t="s">
        <v>115</v>
      </c>
      <c r="I203">
        <v>0</v>
      </c>
      <c r="J203" s="11">
        <f t="shared" si="27"/>
        <v>202607</v>
      </c>
      <c r="K203" s="19" t="str">
        <f t="shared" si="28"/>
        <v>يوليو 2026</v>
      </c>
      <c r="L203" s="19" t="str">
        <f t="shared" si="29"/>
        <v>⚠️ كمية مفقودة/صفر</v>
      </c>
      <c r="N203" s="11">
        <f t="shared" si="30"/>
        <v>202607</v>
      </c>
      <c r="O203" s="19" t="str">
        <f t="shared" si="31"/>
        <v>يوليو 2026</v>
      </c>
      <c r="P203" s="19" t="str">
        <f t="shared" si="32"/>
        <v>ديباتيول فينب</v>
      </c>
      <c r="Q203" s="55">
        <f t="shared" si="33"/>
        <v>0</v>
      </c>
      <c r="R203" s="55">
        <f t="shared" si="34"/>
        <v>0</v>
      </c>
      <c r="S203" s="19" t="str">
        <f t="shared" si="35"/>
        <v>دولار أمريكي</v>
      </c>
    </row>
    <row r="204" spans="1:19">
      <c r="A204" s="54" t="s">
        <v>187</v>
      </c>
      <c r="B204">
        <v>0</v>
      </c>
      <c r="C204">
        <v>0</v>
      </c>
      <c r="D204">
        <v>0</v>
      </c>
      <c r="E204">
        <v>0</v>
      </c>
      <c r="F204" s="54" t="s">
        <v>63</v>
      </c>
      <c r="G204" t="s">
        <v>111</v>
      </c>
      <c r="H204" s="54" t="s">
        <v>115</v>
      </c>
      <c r="I204">
        <v>0.66</v>
      </c>
      <c r="J204" s="11">
        <f t="shared" si="27"/>
        <v>202607</v>
      </c>
      <c r="K204" s="19" t="str">
        <f t="shared" si="28"/>
        <v>يوليو 2026</v>
      </c>
      <c r="L204" s="19" t="str">
        <f t="shared" si="29"/>
        <v>⚠️ كمية مفقودة/صفر</v>
      </c>
      <c r="N204" s="11">
        <f t="shared" si="30"/>
        <v>202607</v>
      </c>
      <c r="O204" s="19" t="str">
        <f t="shared" si="31"/>
        <v>يوليو 2026</v>
      </c>
      <c r="P204" s="19" t="str">
        <f t="shared" si="32"/>
        <v>دواء غسيل نصف مصنع</v>
      </c>
      <c r="Q204" s="55">
        <f t="shared" si="33"/>
        <v>0</v>
      </c>
      <c r="R204" s="55">
        <f t="shared" si="34"/>
        <v>0.66</v>
      </c>
      <c r="S204" s="19" t="str">
        <f t="shared" si="35"/>
        <v>دولار أمريكي</v>
      </c>
    </row>
    <row r="205" spans="1:19">
      <c r="A205" s="54" t="s">
        <v>253</v>
      </c>
      <c r="B205">
        <v>541</v>
      </c>
      <c r="C205">
        <v>11000</v>
      </c>
      <c r="D205">
        <v>11000</v>
      </c>
      <c r="E205">
        <v>11000</v>
      </c>
      <c r="F205" s="54" t="s">
        <v>62</v>
      </c>
      <c r="G205" t="s">
        <v>111</v>
      </c>
      <c r="H205" s="54" t="s">
        <v>139</v>
      </c>
      <c r="I205">
        <v>9000</v>
      </c>
      <c r="J205" s="11">
        <f t="shared" si="27"/>
        <v>202607</v>
      </c>
      <c r="K205" s="19" t="str">
        <f t="shared" si="28"/>
        <v>يوليو 2026</v>
      </c>
      <c r="L205" s="19" t="str">
        <f t="shared" si="29"/>
        <v>✅ جاهز</v>
      </c>
      <c r="N205" s="11">
        <f t="shared" si="30"/>
        <v>202607</v>
      </c>
      <c r="O205" s="19" t="str">
        <f t="shared" si="31"/>
        <v>يوليو 2026</v>
      </c>
      <c r="P205" s="19" t="str">
        <f t="shared" si="32"/>
        <v xml:space="preserve">دواء غسيل بودرا </v>
      </c>
      <c r="Q205" s="55">
        <f t="shared" si="33"/>
        <v>541</v>
      </c>
      <c r="R205" s="55">
        <f t="shared" si="34"/>
        <v>9000</v>
      </c>
      <c r="S205" s="19" t="str">
        <f t="shared" si="35"/>
        <v>ليرة سورية</v>
      </c>
    </row>
    <row r="206" spans="1:19">
      <c r="A206" s="54" t="s">
        <v>254</v>
      </c>
      <c r="B206">
        <v>0</v>
      </c>
      <c r="C206">
        <v>200000</v>
      </c>
      <c r="D206">
        <v>200000</v>
      </c>
      <c r="E206">
        <v>200000</v>
      </c>
      <c r="F206" s="54" t="s">
        <v>62</v>
      </c>
      <c r="G206" t="s">
        <v>111</v>
      </c>
      <c r="H206" s="54" t="s">
        <v>139</v>
      </c>
      <c r="I206">
        <v>144000</v>
      </c>
      <c r="J206" s="11">
        <f t="shared" si="27"/>
        <v>202607</v>
      </c>
      <c r="K206" s="19" t="str">
        <f t="shared" si="28"/>
        <v>يوليو 2026</v>
      </c>
      <c r="L206" s="19" t="str">
        <f t="shared" si="29"/>
        <v>⚠️ كمية مفقودة/صفر</v>
      </c>
      <c r="N206" s="11">
        <f t="shared" si="30"/>
        <v>202607</v>
      </c>
      <c r="O206" s="19" t="str">
        <f t="shared" si="31"/>
        <v>يوليو 2026</v>
      </c>
      <c r="P206" s="19" t="str">
        <f t="shared" si="32"/>
        <v>دوا غسيل نورا</v>
      </c>
      <c r="Q206" s="55">
        <f t="shared" si="33"/>
        <v>0</v>
      </c>
      <c r="R206" s="55">
        <f t="shared" si="34"/>
        <v>144000</v>
      </c>
      <c r="S206" s="19" t="str">
        <f t="shared" si="35"/>
        <v>ليرة سورية</v>
      </c>
    </row>
    <row r="207" spans="1:19">
      <c r="A207" s="54" t="s">
        <v>300</v>
      </c>
      <c r="B207">
        <v>0</v>
      </c>
      <c r="C207">
        <v>0</v>
      </c>
      <c r="D207">
        <v>0</v>
      </c>
      <c r="E207">
        <v>0</v>
      </c>
      <c r="F207" s="54" t="s">
        <v>63</v>
      </c>
      <c r="G207" t="s">
        <v>111</v>
      </c>
      <c r="H207" s="54" t="s">
        <v>112</v>
      </c>
      <c r="I207">
        <v>69</v>
      </c>
      <c r="J207" s="11">
        <f t="shared" si="27"/>
        <v>202607</v>
      </c>
      <c r="K207" s="19" t="str">
        <f t="shared" si="28"/>
        <v>يوليو 2026</v>
      </c>
      <c r="L207" s="19" t="str">
        <f t="shared" si="29"/>
        <v>⚠️ كمية مفقودة/صفر</v>
      </c>
      <c r="N207" s="11">
        <f t="shared" si="30"/>
        <v>202607</v>
      </c>
      <c r="O207" s="19" t="str">
        <f t="shared" si="31"/>
        <v>يوليو 2026</v>
      </c>
      <c r="P207" s="19" t="str">
        <f t="shared" si="32"/>
        <v>دوا غسيل بودرا 60 كغ خام</v>
      </c>
      <c r="Q207" s="55">
        <f t="shared" si="33"/>
        <v>0</v>
      </c>
      <c r="R207" s="55">
        <f t="shared" si="34"/>
        <v>69</v>
      </c>
      <c r="S207" s="19" t="str">
        <f t="shared" si="35"/>
        <v>دولار أمريكي</v>
      </c>
    </row>
    <row r="208" spans="1:19" ht="25.5" customHeight="1">
      <c r="A208" s="54" t="s">
        <v>301</v>
      </c>
      <c r="B208">
        <v>0</v>
      </c>
      <c r="C208">
        <v>0</v>
      </c>
      <c r="D208">
        <v>0</v>
      </c>
      <c r="E208">
        <v>0</v>
      </c>
      <c r="F208" s="54" t="s">
        <v>63</v>
      </c>
      <c r="G208" t="s">
        <v>111</v>
      </c>
      <c r="H208" s="54" t="s">
        <v>112</v>
      </c>
      <c r="I208">
        <v>105.4</v>
      </c>
      <c r="J208" s="11">
        <f t="shared" si="27"/>
        <v>202607</v>
      </c>
      <c r="K208" s="19" t="str">
        <f t="shared" si="28"/>
        <v>يوليو 2026</v>
      </c>
      <c r="L208" s="19" t="str">
        <f t="shared" si="29"/>
        <v>⚠️ كمية مفقودة/صفر</v>
      </c>
      <c r="N208" s="11">
        <f t="shared" si="30"/>
        <v>202607</v>
      </c>
      <c r="O208" s="19" t="str">
        <f t="shared" si="31"/>
        <v>يوليو 2026</v>
      </c>
      <c r="P208" s="19" t="str">
        <f t="shared" si="32"/>
        <v>دوا غسيل بودرا 170 كغ خام</v>
      </c>
      <c r="Q208" s="55">
        <f t="shared" si="33"/>
        <v>0</v>
      </c>
      <c r="R208" s="55">
        <f t="shared" si="34"/>
        <v>105.4</v>
      </c>
      <c r="S208" s="19" t="str">
        <f t="shared" si="35"/>
        <v>دولار أمريكي</v>
      </c>
    </row>
    <row r="209" spans="1:19" ht="25.5" customHeight="1">
      <c r="A209" s="54" t="s">
        <v>302</v>
      </c>
      <c r="B209">
        <v>0</v>
      </c>
      <c r="C209">
        <v>0</v>
      </c>
      <c r="D209">
        <v>0</v>
      </c>
      <c r="E209">
        <v>0</v>
      </c>
      <c r="F209" s="54" t="s">
        <v>63</v>
      </c>
      <c r="G209" t="s">
        <v>111</v>
      </c>
      <c r="H209" s="54" t="s">
        <v>112</v>
      </c>
      <c r="I209">
        <v>60.48</v>
      </c>
      <c r="J209" s="11">
        <f t="shared" si="27"/>
        <v>202607</v>
      </c>
      <c r="K209" s="19" t="str">
        <f t="shared" si="28"/>
        <v>يوليو 2026</v>
      </c>
      <c r="L209" s="19" t="str">
        <f t="shared" si="29"/>
        <v>⚠️ كمية مفقودة/صفر</v>
      </c>
      <c r="N209" s="11">
        <f t="shared" si="30"/>
        <v>202607</v>
      </c>
      <c r="O209" s="19" t="str">
        <f t="shared" si="31"/>
        <v>يوليو 2026</v>
      </c>
      <c r="P209" s="19" t="str">
        <f t="shared" si="32"/>
        <v>دوا غسيل بودرا &amp;&amp; كغ خام</v>
      </c>
      <c r="Q209" s="55">
        <f t="shared" si="33"/>
        <v>0</v>
      </c>
      <c r="R209" s="55">
        <f t="shared" si="34"/>
        <v>60.48</v>
      </c>
      <c r="S209" s="19" t="str">
        <f t="shared" si="35"/>
        <v>دولار أمريكي</v>
      </c>
    </row>
    <row r="210" spans="1:19" ht="25.5" customHeight="1">
      <c r="A210" s="54" t="s">
        <v>255</v>
      </c>
      <c r="B210">
        <v>0</v>
      </c>
      <c r="C210">
        <v>13000</v>
      </c>
      <c r="D210">
        <v>13000</v>
      </c>
      <c r="E210">
        <v>13000</v>
      </c>
      <c r="F210" s="54" t="s">
        <v>62</v>
      </c>
      <c r="G210" t="s">
        <v>111</v>
      </c>
      <c r="H210" s="54" t="s">
        <v>139</v>
      </c>
      <c r="I210">
        <v>5500</v>
      </c>
      <c r="J210" s="11">
        <f t="shared" si="27"/>
        <v>202607</v>
      </c>
      <c r="K210" s="19" t="str">
        <f t="shared" si="28"/>
        <v>يوليو 2026</v>
      </c>
      <c r="L210" s="19" t="str">
        <f t="shared" si="29"/>
        <v>⚠️ كمية مفقودة/صفر</v>
      </c>
      <c r="N210" s="11">
        <f t="shared" si="30"/>
        <v>202607</v>
      </c>
      <c r="O210" s="19" t="str">
        <f t="shared" si="31"/>
        <v>يوليو 2026</v>
      </c>
      <c r="P210" s="19" t="str">
        <f t="shared" si="32"/>
        <v xml:space="preserve">دفتر </v>
      </c>
      <c r="Q210" s="55">
        <f t="shared" si="33"/>
        <v>0</v>
      </c>
      <c r="R210" s="55">
        <f t="shared" si="34"/>
        <v>5500</v>
      </c>
      <c r="S210" s="19" t="str">
        <f t="shared" si="35"/>
        <v>ليرة سورية</v>
      </c>
    </row>
    <row r="211" spans="1:19">
      <c r="A211" s="54" t="s">
        <v>351</v>
      </c>
      <c r="B211">
        <v>2</v>
      </c>
      <c r="C211">
        <v>0</v>
      </c>
      <c r="D211">
        <v>0</v>
      </c>
      <c r="E211">
        <v>0</v>
      </c>
      <c r="F211" s="54" t="s">
        <v>62</v>
      </c>
      <c r="G211" t="s">
        <v>111</v>
      </c>
      <c r="H211" s="54" t="s">
        <v>115</v>
      </c>
      <c r="I211">
        <v>28000</v>
      </c>
      <c r="J211" s="11">
        <f t="shared" si="27"/>
        <v>202607</v>
      </c>
      <c r="K211" s="19" t="str">
        <f t="shared" si="28"/>
        <v>يوليو 2026</v>
      </c>
      <c r="L211" s="19" t="str">
        <f t="shared" si="29"/>
        <v>✅ جاهز</v>
      </c>
      <c r="N211" s="11">
        <f t="shared" si="30"/>
        <v>202607</v>
      </c>
      <c r="O211" s="19" t="str">
        <f t="shared" si="31"/>
        <v>يوليو 2026</v>
      </c>
      <c r="P211" s="19" t="str">
        <f t="shared" si="32"/>
        <v>دبجانة 50 كغ</v>
      </c>
      <c r="Q211" s="55">
        <f t="shared" si="33"/>
        <v>2</v>
      </c>
      <c r="R211" s="55">
        <f t="shared" si="34"/>
        <v>28000</v>
      </c>
      <c r="S211" s="19" t="str">
        <f t="shared" si="35"/>
        <v>ليرة سورية</v>
      </c>
    </row>
    <row r="212" spans="1:19">
      <c r="A212" s="54" t="s">
        <v>256</v>
      </c>
      <c r="B212">
        <v>-2</v>
      </c>
      <c r="C212">
        <v>0</v>
      </c>
      <c r="D212">
        <v>0</v>
      </c>
      <c r="E212">
        <v>0</v>
      </c>
      <c r="F212" s="54" t="s">
        <v>62</v>
      </c>
      <c r="G212" t="s">
        <v>111</v>
      </c>
      <c r="H212" s="54" t="s">
        <v>139</v>
      </c>
      <c r="I212">
        <v>0</v>
      </c>
      <c r="J212" s="11">
        <f t="shared" si="27"/>
        <v>202607</v>
      </c>
      <c r="K212" s="19" t="str">
        <f t="shared" si="28"/>
        <v>يوليو 2026</v>
      </c>
      <c r="L212" s="19" t="str">
        <f t="shared" si="29"/>
        <v>✅ جاهز</v>
      </c>
      <c r="N212" s="11">
        <f t="shared" si="30"/>
        <v>202607</v>
      </c>
      <c r="O212" s="19" t="str">
        <f t="shared" si="31"/>
        <v>يوليو 2026</v>
      </c>
      <c r="P212" s="19" t="str">
        <f t="shared" si="32"/>
        <v xml:space="preserve">خردة وبلاستيك </v>
      </c>
      <c r="Q212" s="55">
        <f t="shared" si="33"/>
        <v>-2</v>
      </c>
      <c r="R212" s="55">
        <f t="shared" si="34"/>
        <v>0</v>
      </c>
      <c r="S212" s="19" t="str">
        <f t="shared" si="35"/>
        <v>ليرة سورية</v>
      </c>
    </row>
    <row r="213" spans="1:19">
      <c r="A213" s="54" t="s">
        <v>188</v>
      </c>
      <c r="B213">
        <v>1</v>
      </c>
      <c r="C213">
        <v>0</v>
      </c>
      <c r="D213">
        <v>0</v>
      </c>
      <c r="E213">
        <v>0</v>
      </c>
      <c r="F213" s="54" t="s">
        <v>63</v>
      </c>
      <c r="G213" t="s">
        <v>111</v>
      </c>
      <c r="H213" s="54" t="s">
        <v>115</v>
      </c>
      <c r="I213">
        <v>0.875</v>
      </c>
      <c r="J213" s="11">
        <f t="shared" si="27"/>
        <v>202607</v>
      </c>
      <c r="K213" s="19" t="str">
        <f t="shared" si="28"/>
        <v>يوليو 2026</v>
      </c>
      <c r="L213" s="19" t="str">
        <f t="shared" si="29"/>
        <v>✅ جاهز</v>
      </c>
      <c r="N213" s="11">
        <f t="shared" si="30"/>
        <v>202607</v>
      </c>
      <c r="O213" s="19" t="str">
        <f t="shared" si="31"/>
        <v>يوليو 2026</v>
      </c>
      <c r="P213" s="19" t="str">
        <f t="shared" si="32"/>
        <v>حمض الليمون</v>
      </c>
      <c r="Q213" s="55">
        <f t="shared" si="33"/>
        <v>1</v>
      </c>
      <c r="R213" s="55">
        <f t="shared" si="34"/>
        <v>0.875</v>
      </c>
      <c r="S213" s="19" t="str">
        <f t="shared" si="35"/>
        <v>دولار أمريكي</v>
      </c>
    </row>
    <row r="214" spans="1:19">
      <c r="A214" s="54" t="s">
        <v>189</v>
      </c>
      <c r="B214">
        <v>0</v>
      </c>
      <c r="C214">
        <v>0</v>
      </c>
      <c r="D214">
        <v>0</v>
      </c>
      <c r="E214">
        <v>0</v>
      </c>
      <c r="F214" s="54" t="s">
        <v>63</v>
      </c>
      <c r="G214" t="s">
        <v>111</v>
      </c>
      <c r="H214" s="54" t="s">
        <v>115</v>
      </c>
      <c r="I214">
        <v>0.65</v>
      </c>
      <c r="J214" s="11">
        <f t="shared" si="27"/>
        <v>202607</v>
      </c>
      <c r="K214" s="19" t="str">
        <f t="shared" si="28"/>
        <v>يوليو 2026</v>
      </c>
      <c r="L214" s="19" t="str">
        <f t="shared" si="29"/>
        <v>⚠️ كمية مفقودة/صفر</v>
      </c>
      <c r="N214" s="11">
        <f t="shared" si="30"/>
        <v>202607</v>
      </c>
      <c r="O214" s="19" t="str">
        <f t="shared" si="31"/>
        <v>يوليو 2026</v>
      </c>
      <c r="P214" s="19" t="str">
        <f t="shared" si="32"/>
        <v>حمض الكبريت</v>
      </c>
      <c r="Q214" s="55">
        <f t="shared" si="33"/>
        <v>0</v>
      </c>
      <c r="R214" s="55">
        <f t="shared" si="34"/>
        <v>0.65</v>
      </c>
      <c r="S214" s="19" t="str">
        <f t="shared" si="35"/>
        <v>دولار أمريكي</v>
      </c>
    </row>
    <row r="215" spans="1:19" ht="25.5" customHeight="1">
      <c r="A215" s="54" t="s">
        <v>190</v>
      </c>
      <c r="B215">
        <v>1</v>
      </c>
      <c r="C215">
        <v>0</v>
      </c>
      <c r="D215">
        <v>0</v>
      </c>
      <c r="E215">
        <v>0</v>
      </c>
      <c r="F215" s="54" t="s">
        <v>63</v>
      </c>
      <c r="G215" t="s">
        <v>111</v>
      </c>
      <c r="H215" s="54" t="s">
        <v>115</v>
      </c>
      <c r="I215">
        <v>0.91600000000000004</v>
      </c>
      <c r="J215" s="11">
        <f t="shared" si="27"/>
        <v>202607</v>
      </c>
      <c r="K215" s="19" t="str">
        <f t="shared" si="28"/>
        <v>يوليو 2026</v>
      </c>
      <c r="L215" s="19" t="str">
        <f t="shared" si="29"/>
        <v>✅ جاهز</v>
      </c>
      <c r="N215" s="11">
        <f t="shared" si="30"/>
        <v>202607</v>
      </c>
      <c r="O215" s="19" t="str">
        <f t="shared" si="31"/>
        <v>يوليو 2026</v>
      </c>
      <c r="P215" s="19" t="str">
        <f t="shared" si="32"/>
        <v>حمض الخل</v>
      </c>
      <c r="Q215" s="55">
        <f t="shared" si="33"/>
        <v>1</v>
      </c>
      <c r="R215" s="55">
        <f t="shared" si="34"/>
        <v>0.91600000000000004</v>
      </c>
      <c r="S215" s="19" t="str">
        <f t="shared" si="35"/>
        <v>دولار أمريكي</v>
      </c>
    </row>
    <row r="216" spans="1:19" ht="25.5" customHeight="1">
      <c r="A216" s="54" t="s">
        <v>191</v>
      </c>
      <c r="B216">
        <v>0.83</v>
      </c>
      <c r="C216">
        <v>0</v>
      </c>
      <c r="D216">
        <v>0</v>
      </c>
      <c r="E216">
        <v>0</v>
      </c>
      <c r="F216" s="54" t="s">
        <v>63</v>
      </c>
      <c r="G216" t="s">
        <v>111</v>
      </c>
      <c r="H216" s="54" t="s">
        <v>115</v>
      </c>
      <c r="I216">
        <v>300</v>
      </c>
      <c r="J216" s="11">
        <f t="shared" si="27"/>
        <v>202607</v>
      </c>
      <c r="K216" s="19" t="str">
        <f t="shared" si="28"/>
        <v>يوليو 2026</v>
      </c>
      <c r="L216" s="19" t="str">
        <f t="shared" si="29"/>
        <v>✅ جاهز</v>
      </c>
      <c r="N216" s="11">
        <f t="shared" si="30"/>
        <v>202607</v>
      </c>
      <c r="O216" s="19" t="str">
        <f t="shared" si="31"/>
        <v>يوليو 2026</v>
      </c>
      <c r="P216" s="19" t="str">
        <f t="shared" si="32"/>
        <v>حليب التين</v>
      </c>
      <c r="Q216" s="55">
        <f t="shared" si="33"/>
        <v>0.83</v>
      </c>
      <c r="R216" s="55">
        <f t="shared" si="34"/>
        <v>300</v>
      </c>
      <c r="S216" s="19" t="str">
        <f t="shared" si="35"/>
        <v>دولار أمريكي</v>
      </c>
    </row>
    <row r="217" spans="1:19" ht="25.5" customHeight="1">
      <c r="A217" s="54" t="s">
        <v>192</v>
      </c>
      <c r="B217">
        <v>0</v>
      </c>
      <c r="C217">
        <v>0</v>
      </c>
      <c r="D217">
        <v>0</v>
      </c>
      <c r="E217">
        <v>0</v>
      </c>
      <c r="F217" s="54" t="s">
        <v>63</v>
      </c>
      <c r="G217" t="s">
        <v>111</v>
      </c>
      <c r="H217" s="54" t="s">
        <v>115</v>
      </c>
      <c r="I217">
        <v>0.5</v>
      </c>
      <c r="J217" s="11">
        <f t="shared" si="27"/>
        <v>202607</v>
      </c>
      <c r="K217" s="19" t="str">
        <f t="shared" si="28"/>
        <v>يوليو 2026</v>
      </c>
      <c r="L217" s="19" t="str">
        <f t="shared" si="29"/>
        <v>⚠️ كمية مفقودة/صفر</v>
      </c>
      <c r="N217" s="11">
        <f t="shared" si="30"/>
        <v>202607</v>
      </c>
      <c r="O217" s="19" t="str">
        <f t="shared" si="31"/>
        <v>يوليو 2026</v>
      </c>
      <c r="P217" s="19" t="str">
        <f t="shared" si="32"/>
        <v xml:space="preserve">حبيبات ملونة </v>
      </c>
      <c r="Q217" s="55">
        <f t="shared" si="33"/>
        <v>0</v>
      </c>
      <c r="R217" s="55">
        <f t="shared" si="34"/>
        <v>0.5</v>
      </c>
      <c r="S217" s="19" t="str">
        <f t="shared" si="35"/>
        <v>دولار أمريكي</v>
      </c>
    </row>
    <row r="218" spans="1:19" ht="25.5" customHeight="1">
      <c r="A218" s="54" t="s">
        <v>352</v>
      </c>
      <c r="B218">
        <v>70.8</v>
      </c>
      <c r="C218">
        <v>20000</v>
      </c>
      <c r="D218">
        <v>20000</v>
      </c>
      <c r="E218">
        <v>20000</v>
      </c>
      <c r="F218" s="54" t="s">
        <v>62</v>
      </c>
      <c r="G218" t="s">
        <v>111</v>
      </c>
      <c r="H218" s="54" t="s">
        <v>139</v>
      </c>
      <c r="I218">
        <v>15000</v>
      </c>
      <c r="J218" s="11">
        <f t="shared" si="27"/>
        <v>202607</v>
      </c>
      <c r="K218" s="19" t="str">
        <f t="shared" si="28"/>
        <v>يوليو 2026</v>
      </c>
      <c r="L218" s="19" t="str">
        <f t="shared" si="29"/>
        <v>✅ جاهز</v>
      </c>
      <c r="N218" s="11">
        <f t="shared" si="30"/>
        <v>202607</v>
      </c>
      <c r="O218" s="19" t="str">
        <f t="shared" si="31"/>
        <v>يوليو 2026</v>
      </c>
      <c r="P218" s="19" t="str">
        <f t="shared" si="32"/>
        <v>جاطات + طشوطة بلاستيك</v>
      </c>
      <c r="Q218" s="55">
        <f t="shared" si="33"/>
        <v>70.8</v>
      </c>
      <c r="R218" s="55">
        <f t="shared" si="34"/>
        <v>15000</v>
      </c>
      <c r="S218" s="19" t="str">
        <f t="shared" si="35"/>
        <v>ليرة سورية</v>
      </c>
    </row>
    <row r="219" spans="1:19" ht="25.5" customHeight="1">
      <c r="A219" s="54" t="s">
        <v>193</v>
      </c>
      <c r="B219">
        <v>1393</v>
      </c>
      <c r="C219">
        <v>0</v>
      </c>
      <c r="D219">
        <v>0</v>
      </c>
      <c r="E219">
        <v>0</v>
      </c>
      <c r="F219" s="54" t="s">
        <v>63</v>
      </c>
      <c r="G219" t="s">
        <v>111</v>
      </c>
      <c r="H219" s="54" t="s">
        <v>115</v>
      </c>
      <c r="I219">
        <v>2.5</v>
      </c>
      <c r="J219" s="11">
        <f t="shared" si="27"/>
        <v>202607</v>
      </c>
      <c r="K219" s="19" t="str">
        <f t="shared" si="28"/>
        <v>يوليو 2026</v>
      </c>
      <c r="L219" s="19" t="str">
        <f t="shared" si="29"/>
        <v>✅ جاهز</v>
      </c>
      <c r="N219" s="11">
        <f t="shared" si="30"/>
        <v>202607</v>
      </c>
      <c r="O219" s="19" t="str">
        <f t="shared" si="31"/>
        <v>يوليو 2026</v>
      </c>
      <c r="P219" s="19" t="str">
        <f t="shared" si="32"/>
        <v>تكسبون</v>
      </c>
      <c r="Q219" s="55">
        <f t="shared" si="33"/>
        <v>1393</v>
      </c>
      <c r="R219" s="55">
        <f t="shared" si="34"/>
        <v>2.5</v>
      </c>
      <c r="S219" s="19" t="str">
        <f t="shared" si="35"/>
        <v>دولار أمريكي</v>
      </c>
    </row>
    <row r="220" spans="1:19">
      <c r="A220" s="54" t="s">
        <v>353</v>
      </c>
      <c r="B220">
        <v>4</v>
      </c>
      <c r="C220">
        <v>6000</v>
      </c>
      <c r="D220">
        <v>6000</v>
      </c>
      <c r="E220">
        <v>6000</v>
      </c>
      <c r="F220" s="54" t="s">
        <v>62</v>
      </c>
      <c r="G220" t="s">
        <v>111</v>
      </c>
      <c r="H220" s="54" t="s">
        <v>139</v>
      </c>
      <c r="I220">
        <v>6000</v>
      </c>
      <c r="J220" s="11">
        <f t="shared" si="27"/>
        <v>202607</v>
      </c>
      <c r="K220" s="19" t="str">
        <f t="shared" si="28"/>
        <v>يوليو 2026</v>
      </c>
      <c r="L220" s="19" t="str">
        <f t="shared" si="29"/>
        <v>✅ جاهز</v>
      </c>
      <c r="N220" s="11">
        <f t="shared" si="30"/>
        <v>202607</v>
      </c>
      <c r="O220" s="19" t="str">
        <f t="shared" si="31"/>
        <v>يوليو 2026</v>
      </c>
      <c r="P220" s="19" t="str">
        <f t="shared" si="32"/>
        <v>بيدون سعة 5 كغ</v>
      </c>
      <c r="Q220" s="55">
        <f t="shared" si="33"/>
        <v>4</v>
      </c>
      <c r="R220" s="55">
        <f t="shared" si="34"/>
        <v>6000</v>
      </c>
      <c r="S220" s="19" t="str">
        <f t="shared" si="35"/>
        <v>ليرة سورية</v>
      </c>
    </row>
    <row r="221" spans="1:19" ht="25.5" customHeight="1">
      <c r="A221" s="54" t="s">
        <v>354</v>
      </c>
      <c r="B221">
        <v>-7</v>
      </c>
      <c r="C221">
        <v>0</v>
      </c>
      <c r="D221">
        <v>0</v>
      </c>
      <c r="E221">
        <v>0</v>
      </c>
      <c r="F221" s="54" t="s">
        <v>62</v>
      </c>
      <c r="G221" t="s">
        <v>111</v>
      </c>
      <c r="H221" s="54" t="s">
        <v>115</v>
      </c>
      <c r="I221">
        <v>0</v>
      </c>
      <c r="J221" s="11">
        <f t="shared" si="27"/>
        <v>202607</v>
      </c>
      <c r="K221" s="19" t="str">
        <f t="shared" si="28"/>
        <v>يوليو 2026</v>
      </c>
      <c r="L221" s="19" t="str">
        <f t="shared" si="29"/>
        <v>✅ جاهز</v>
      </c>
      <c r="N221" s="11">
        <f t="shared" si="30"/>
        <v>202607</v>
      </c>
      <c r="O221" s="19" t="str">
        <f t="shared" si="31"/>
        <v>يوليو 2026</v>
      </c>
      <c r="P221" s="19" t="str">
        <f t="shared" si="32"/>
        <v>بيدون سعة 10 كغ</v>
      </c>
      <c r="Q221" s="55">
        <f t="shared" si="33"/>
        <v>-7</v>
      </c>
      <c r="R221" s="55">
        <f t="shared" si="34"/>
        <v>0</v>
      </c>
      <c r="S221" s="19" t="str">
        <f t="shared" si="35"/>
        <v>ليرة سورية</v>
      </c>
    </row>
    <row r="222" spans="1:19" ht="25.5" customHeight="1">
      <c r="A222" s="54" t="s">
        <v>303</v>
      </c>
      <c r="B222">
        <v>12</v>
      </c>
      <c r="C222">
        <v>0</v>
      </c>
      <c r="D222">
        <v>0</v>
      </c>
      <c r="E222">
        <v>0</v>
      </c>
      <c r="F222" s="54" t="s">
        <v>63</v>
      </c>
      <c r="G222" t="s">
        <v>111</v>
      </c>
      <c r="H222" s="54" t="s">
        <v>115</v>
      </c>
      <c r="I222">
        <v>0.21</v>
      </c>
      <c r="J222" s="11">
        <f t="shared" si="27"/>
        <v>202607</v>
      </c>
      <c r="K222" s="19" t="str">
        <f t="shared" si="28"/>
        <v>يوليو 2026</v>
      </c>
      <c r="L222" s="19" t="str">
        <f t="shared" si="29"/>
        <v>✅ جاهز</v>
      </c>
      <c r="N222" s="11">
        <f t="shared" si="30"/>
        <v>202607</v>
      </c>
      <c r="O222" s="19" t="str">
        <f t="shared" si="31"/>
        <v>يوليو 2026</v>
      </c>
      <c r="P222" s="19" t="str">
        <f t="shared" si="32"/>
        <v xml:space="preserve">بيدون 4 لتر </v>
      </c>
      <c r="Q222" s="55">
        <f t="shared" si="33"/>
        <v>12</v>
      </c>
      <c r="R222" s="55">
        <f t="shared" si="34"/>
        <v>0.21</v>
      </c>
      <c r="S222" s="19" t="str">
        <f t="shared" si="35"/>
        <v>دولار أمريكي</v>
      </c>
    </row>
    <row r="223" spans="1:19">
      <c r="A223" s="54" t="s">
        <v>355</v>
      </c>
      <c r="B223">
        <v>-141</v>
      </c>
      <c r="C223">
        <v>0</v>
      </c>
      <c r="D223">
        <v>0</v>
      </c>
      <c r="E223">
        <v>0</v>
      </c>
      <c r="F223" s="54" t="s">
        <v>62</v>
      </c>
      <c r="G223" t="s">
        <v>111</v>
      </c>
      <c r="H223" s="54" t="s">
        <v>139</v>
      </c>
      <c r="I223">
        <v>0</v>
      </c>
      <c r="J223" s="11">
        <f t="shared" si="27"/>
        <v>202607</v>
      </c>
      <c r="K223" s="19" t="str">
        <f t="shared" si="28"/>
        <v>يوليو 2026</v>
      </c>
      <c r="L223" s="19" t="str">
        <f t="shared" si="29"/>
        <v>✅ جاهز</v>
      </c>
      <c r="N223" s="11">
        <f t="shared" si="30"/>
        <v>202607</v>
      </c>
      <c r="O223" s="19" t="str">
        <f t="shared" si="31"/>
        <v>يوليو 2026</v>
      </c>
      <c r="P223" s="19" t="str">
        <f t="shared" si="32"/>
        <v>بيدون !</v>
      </c>
      <c r="Q223" s="55">
        <f t="shared" si="33"/>
        <v>-141</v>
      </c>
      <c r="R223" s="55">
        <f t="shared" si="34"/>
        <v>0</v>
      </c>
      <c r="S223" s="19" t="str">
        <f t="shared" si="35"/>
        <v>ليرة سورية</v>
      </c>
    </row>
    <row r="224" spans="1:19" ht="25.5" customHeight="1">
      <c r="A224" s="54" t="s">
        <v>194</v>
      </c>
      <c r="B224">
        <v>617.5</v>
      </c>
      <c r="C224">
        <v>0</v>
      </c>
      <c r="D224">
        <v>0</v>
      </c>
      <c r="E224">
        <v>0</v>
      </c>
      <c r="F224" s="54" t="s">
        <v>63</v>
      </c>
      <c r="G224" t="s">
        <v>111</v>
      </c>
      <c r="H224" s="54" t="s">
        <v>115</v>
      </c>
      <c r="I224">
        <v>1.35</v>
      </c>
      <c r="J224" s="11">
        <f t="shared" si="27"/>
        <v>202607</v>
      </c>
      <c r="K224" s="19" t="str">
        <f t="shared" si="28"/>
        <v>يوليو 2026</v>
      </c>
      <c r="L224" s="19" t="str">
        <f t="shared" si="29"/>
        <v>✅ جاهز</v>
      </c>
      <c r="N224" s="11">
        <f t="shared" si="30"/>
        <v>202607</v>
      </c>
      <c r="O224" s="19" t="str">
        <f t="shared" si="31"/>
        <v>يوليو 2026</v>
      </c>
      <c r="P224" s="19" t="str">
        <f t="shared" si="32"/>
        <v>بيتائين</v>
      </c>
      <c r="Q224" s="55">
        <f t="shared" si="33"/>
        <v>617.5</v>
      </c>
      <c r="R224" s="55">
        <f t="shared" si="34"/>
        <v>1.35</v>
      </c>
      <c r="S224" s="19" t="str">
        <f t="shared" si="35"/>
        <v>دولار أمريكي</v>
      </c>
    </row>
    <row r="225" spans="1:19" ht="25.5" customHeight="1">
      <c r="A225" s="54" t="s">
        <v>356</v>
      </c>
      <c r="B225">
        <v>0</v>
      </c>
      <c r="C225">
        <v>0</v>
      </c>
      <c r="D225">
        <v>0</v>
      </c>
      <c r="E225">
        <v>0</v>
      </c>
      <c r="F225" s="54" t="s">
        <v>62</v>
      </c>
      <c r="G225" t="s">
        <v>111</v>
      </c>
      <c r="H225" s="54" t="s">
        <v>139</v>
      </c>
      <c r="I225">
        <v>0</v>
      </c>
      <c r="J225" s="11">
        <f t="shared" si="27"/>
        <v>202607</v>
      </c>
      <c r="K225" s="19" t="str">
        <f t="shared" si="28"/>
        <v>يوليو 2026</v>
      </c>
      <c r="L225" s="19" t="str">
        <f t="shared" si="29"/>
        <v>⚠️ كمية مفقودة/صفر</v>
      </c>
      <c r="N225" s="11">
        <f t="shared" si="30"/>
        <v>202607</v>
      </c>
      <c r="O225" s="19" t="str">
        <f t="shared" si="31"/>
        <v>يوليو 2026</v>
      </c>
      <c r="P225" s="19" t="str">
        <f t="shared" si="32"/>
        <v xml:space="preserve">بي اتش 3 لتر </v>
      </c>
      <c r="Q225" s="55">
        <f t="shared" si="33"/>
        <v>0</v>
      </c>
      <c r="R225" s="55">
        <f t="shared" si="34"/>
        <v>0</v>
      </c>
      <c r="S225" s="19" t="str">
        <f t="shared" si="35"/>
        <v>ليرة سورية</v>
      </c>
    </row>
    <row r="226" spans="1:19" ht="25.5" customHeight="1">
      <c r="A226" s="54" t="s">
        <v>357</v>
      </c>
      <c r="B226">
        <v>0</v>
      </c>
      <c r="C226">
        <v>118000</v>
      </c>
      <c r="D226">
        <v>118000</v>
      </c>
      <c r="E226">
        <v>118000</v>
      </c>
      <c r="F226" s="54" t="s">
        <v>62</v>
      </c>
      <c r="G226" t="s">
        <v>111</v>
      </c>
      <c r="H226" s="54" t="s">
        <v>139</v>
      </c>
      <c r="I226">
        <v>105000</v>
      </c>
      <c r="J226" s="11">
        <f t="shared" si="27"/>
        <v>202607</v>
      </c>
      <c r="K226" s="19" t="str">
        <f t="shared" si="28"/>
        <v>يوليو 2026</v>
      </c>
      <c r="L226" s="19" t="str">
        <f t="shared" si="29"/>
        <v>⚠️ كمية مفقودة/صفر</v>
      </c>
      <c r="N226" s="11">
        <f t="shared" si="30"/>
        <v>202607</v>
      </c>
      <c r="O226" s="19" t="str">
        <f t="shared" si="31"/>
        <v>يوليو 2026</v>
      </c>
      <c r="P226" s="19" t="str">
        <f t="shared" si="32"/>
        <v>بي اتش - كرتونة</v>
      </c>
      <c r="Q226" s="55">
        <f t="shared" si="33"/>
        <v>0</v>
      </c>
      <c r="R226" s="55">
        <f t="shared" si="34"/>
        <v>105000</v>
      </c>
      <c r="S226" s="19" t="str">
        <f t="shared" si="35"/>
        <v>ليرة سورية</v>
      </c>
    </row>
    <row r="227" spans="1:19">
      <c r="A227" s="54" t="s">
        <v>304</v>
      </c>
      <c r="B227">
        <v>0</v>
      </c>
      <c r="C227">
        <v>0</v>
      </c>
      <c r="D227">
        <v>0</v>
      </c>
      <c r="E227">
        <v>0</v>
      </c>
      <c r="F227" s="54" t="s">
        <v>63</v>
      </c>
      <c r="G227" t="s">
        <v>111</v>
      </c>
      <c r="H227" s="54" t="s">
        <v>112</v>
      </c>
      <c r="I227">
        <v>450</v>
      </c>
      <c r="J227" s="11">
        <f t="shared" si="27"/>
        <v>202607</v>
      </c>
      <c r="K227" s="19" t="str">
        <f t="shared" si="28"/>
        <v>يوليو 2026</v>
      </c>
      <c r="L227" s="19" t="str">
        <f t="shared" si="29"/>
        <v>⚠️ كمية مفقودة/صفر</v>
      </c>
      <c r="N227" s="11">
        <f t="shared" si="30"/>
        <v>202607</v>
      </c>
      <c r="O227" s="19" t="str">
        <f t="shared" si="31"/>
        <v>يوليو 2026</v>
      </c>
      <c r="P227" s="19" t="str">
        <f t="shared" si="32"/>
        <v>بي اتش - BH خام</v>
      </c>
      <c r="Q227" s="55">
        <f t="shared" si="33"/>
        <v>0</v>
      </c>
      <c r="R227" s="55">
        <f t="shared" si="34"/>
        <v>450</v>
      </c>
      <c r="S227" s="19" t="str">
        <f t="shared" si="35"/>
        <v>دولار أمريكي</v>
      </c>
    </row>
    <row r="228" spans="1:19" ht="25.5" customHeight="1">
      <c r="A228" s="54" t="s">
        <v>358</v>
      </c>
      <c r="B228">
        <v>504</v>
      </c>
      <c r="C228">
        <v>6000</v>
      </c>
      <c r="D228">
        <v>6000</v>
      </c>
      <c r="E228">
        <v>6000</v>
      </c>
      <c r="F228" s="54" t="s">
        <v>62</v>
      </c>
      <c r="G228" t="s">
        <v>111</v>
      </c>
      <c r="H228" s="54" t="s">
        <v>139</v>
      </c>
      <c r="I228">
        <v>5500</v>
      </c>
      <c r="J228" s="11">
        <f t="shared" si="27"/>
        <v>202607</v>
      </c>
      <c r="K228" s="19" t="str">
        <f t="shared" si="28"/>
        <v>يوليو 2026</v>
      </c>
      <c r="L228" s="19" t="str">
        <f t="shared" si="29"/>
        <v>✅ جاهز</v>
      </c>
      <c r="N228" s="11">
        <f t="shared" si="30"/>
        <v>202607</v>
      </c>
      <c r="O228" s="19" t="str">
        <f t="shared" si="31"/>
        <v>يوليو 2026</v>
      </c>
      <c r="P228" s="19" t="str">
        <f t="shared" si="32"/>
        <v>بي اتش - BH / فرط</v>
      </c>
      <c r="Q228" s="55">
        <f t="shared" si="33"/>
        <v>504</v>
      </c>
      <c r="R228" s="55">
        <f t="shared" si="34"/>
        <v>5500</v>
      </c>
      <c r="S228" s="19" t="str">
        <f t="shared" si="35"/>
        <v>ليرة سورية</v>
      </c>
    </row>
    <row r="229" spans="1:19">
      <c r="A229" s="54" t="s">
        <v>359</v>
      </c>
      <c r="B229">
        <v>0</v>
      </c>
      <c r="C229">
        <v>0</v>
      </c>
      <c r="D229">
        <v>0</v>
      </c>
      <c r="E229">
        <v>0</v>
      </c>
      <c r="F229" s="54" t="s">
        <v>62</v>
      </c>
      <c r="G229" t="s">
        <v>111</v>
      </c>
      <c r="H229" s="54" t="s">
        <v>139</v>
      </c>
      <c r="I229">
        <v>0</v>
      </c>
      <c r="J229" s="11">
        <f t="shared" si="27"/>
        <v>202607</v>
      </c>
      <c r="K229" s="19" t="str">
        <f t="shared" si="28"/>
        <v>يوليو 2026</v>
      </c>
      <c r="L229" s="19" t="str">
        <f t="shared" si="29"/>
        <v>⚠️ كمية مفقودة/صفر</v>
      </c>
      <c r="N229" s="11">
        <f t="shared" si="30"/>
        <v>202607</v>
      </c>
      <c r="O229" s="19" t="str">
        <f t="shared" si="31"/>
        <v>يوليو 2026</v>
      </c>
      <c r="P229" s="19" t="str">
        <f t="shared" si="32"/>
        <v>بي أتش ph الكرمل</v>
      </c>
      <c r="Q229" s="55">
        <f t="shared" si="33"/>
        <v>0</v>
      </c>
      <c r="R229" s="55">
        <f t="shared" si="34"/>
        <v>0</v>
      </c>
      <c r="S229" s="19" t="str">
        <f t="shared" si="35"/>
        <v>ليرة سورية</v>
      </c>
    </row>
    <row r="230" spans="1:19">
      <c r="A230" s="54" t="s">
        <v>195</v>
      </c>
      <c r="B230">
        <v>0</v>
      </c>
      <c r="C230">
        <v>0</v>
      </c>
      <c r="D230">
        <v>0</v>
      </c>
      <c r="E230">
        <v>0</v>
      </c>
      <c r="F230" s="54" t="s">
        <v>63</v>
      </c>
      <c r="G230" t="s">
        <v>111</v>
      </c>
      <c r="H230" s="54" t="s">
        <v>115</v>
      </c>
      <c r="I230">
        <v>2</v>
      </c>
      <c r="J230" s="11">
        <f t="shared" si="27"/>
        <v>202607</v>
      </c>
      <c r="K230" s="19" t="str">
        <f t="shared" si="28"/>
        <v>يوليو 2026</v>
      </c>
      <c r="L230" s="19" t="str">
        <f t="shared" si="29"/>
        <v>⚠️ كمية مفقودة/صفر</v>
      </c>
      <c r="N230" s="11">
        <f t="shared" si="30"/>
        <v>202607</v>
      </c>
      <c r="O230" s="19" t="str">
        <f t="shared" si="31"/>
        <v>يوليو 2026</v>
      </c>
      <c r="P230" s="19" t="str">
        <f t="shared" si="32"/>
        <v>بوتيل غليكول</v>
      </c>
      <c r="Q230" s="55">
        <f t="shared" si="33"/>
        <v>0</v>
      </c>
      <c r="R230" s="55">
        <f t="shared" si="34"/>
        <v>2</v>
      </c>
      <c r="S230" s="19" t="str">
        <f t="shared" si="35"/>
        <v>دولار أمريكي</v>
      </c>
    </row>
    <row r="231" spans="1:19">
      <c r="A231" s="54" t="s">
        <v>196</v>
      </c>
      <c r="B231">
        <v>0</v>
      </c>
      <c r="C231">
        <v>0</v>
      </c>
      <c r="D231">
        <v>0</v>
      </c>
      <c r="E231">
        <v>0</v>
      </c>
      <c r="F231" s="54" t="s">
        <v>63</v>
      </c>
      <c r="G231" t="s">
        <v>111</v>
      </c>
      <c r="H231" s="54" t="s">
        <v>112</v>
      </c>
      <c r="I231">
        <v>89.3</v>
      </c>
      <c r="J231" s="11">
        <f t="shared" si="27"/>
        <v>202607</v>
      </c>
      <c r="K231" s="19" t="str">
        <f t="shared" si="28"/>
        <v>يوليو 2026</v>
      </c>
      <c r="L231" s="19" t="str">
        <f t="shared" si="29"/>
        <v>⚠️ كمية مفقودة/صفر</v>
      </c>
      <c r="N231" s="11">
        <f t="shared" si="30"/>
        <v>202607</v>
      </c>
      <c r="O231" s="19" t="str">
        <f t="shared" si="31"/>
        <v>يوليو 2026</v>
      </c>
      <c r="P231" s="19" t="str">
        <f t="shared" si="32"/>
        <v>بلسم خام</v>
      </c>
      <c r="Q231" s="55">
        <f t="shared" si="33"/>
        <v>0</v>
      </c>
      <c r="R231" s="55">
        <f t="shared" si="34"/>
        <v>89.3</v>
      </c>
      <c r="S231" s="19" t="str">
        <f t="shared" si="35"/>
        <v>دولار أمريكي</v>
      </c>
    </row>
    <row r="232" spans="1:19" ht="25.5" customHeight="1">
      <c r="A232" s="54" t="s">
        <v>197</v>
      </c>
      <c r="B232">
        <v>3</v>
      </c>
      <c r="C232">
        <v>0</v>
      </c>
      <c r="D232">
        <v>0</v>
      </c>
      <c r="E232">
        <v>0</v>
      </c>
      <c r="F232" s="54" t="s">
        <v>63</v>
      </c>
      <c r="G232" t="s">
        <v>111</v>
      </c>
      <c r="H232" s="54" t="s">
        <v>115</v>
      </c>
      <c r="I232">
        <v>2</v>
      </c>
      <c r="J232" s="11">
        <f t="shared" si="27"/>
        <v>202607</v>
      </c>
      <c r="K232" s="19" t="str">
        <f t="shared" si="28"/>
        <v>يوليو 2026</v>
      </c>
      <c r="L232" s="19" t="str">
        <f t="shared" si="29"/>
        <v>✅ جاهز</v>
      </c>
      <c r="N232" s="11">
        <f t="shared" si="30"/>
        <v>202607</v>
      </c>
      <c r="O232" s="19" t="str">
        <f t="shared" si="31"/>
        <v>يوليو 2026</v>
      </c>
      <c r="P232" s="19" t="str">
        <f t="shared" si="32"/>
        <v>بلسم جامد</v>
      </c>
      <c r="Q232" s="55">
        <f t="shared" si="33"/>
        <v>3</v>
      </c>
      <c r="R232" s="55">
        <f t="shared" si="34"/>
        <v>2</v>
      </c>
      <c r="S232" s="19" t="str">
        <f t="shared" si="35"/>
        <v>دولار أمريكي</v>
      </c>
    </row>
    <row r="233" spans="1:19" ht="25.5" customHeight="1">
      <c r="A233" s="54" t="s">
        <v>360</v>
      </c>
      <c r="B233">
        <v>0</v>
      </c>
      <c r="C233">
        <v>0</v>
      </c>
      <c r="D233">
        <v>0</v>
      </c>
      <c r="E233">
        <v>0</v>
      </c>
      <c r="F233" s="54" t="s">
        <v>62</v>
      </c>
      <c r="G233" t="s">
        <v>111</v>
      </c>
      <c r="H233" s="54" t="s">
        <v>139</v>
      </c>
      <c r="I233">
        <v>0</v>
      </c>
      <c r="J233" s="11">
        <f t="shared" si="27"/>
        <v>202607</v>
      </c>
      <c r="K233" s="19" t="str">
        <f t="shared" si="28"/>
        <v>يوليو 2026</v>
      </c>
      <c r="L233" s="19" t="str">
        <f t="shared" si="29"/>
        <v>⚠️ كمية مفقودة/صفر</v>
      </c>
      <c r="N233" s="11">
        <f t="shared" si="30"/>
        <v>202607</v>
      </c>
      <c r="O233" s="19" t="str">
        <f t="shared" si="31"/>
        <v>يوليو 2026</v>
      </c>
      <c r="P233" s="19" t="str">
        <f t="shared" si="32"/>
        <v>بلسم 3 لتر</v>
      </c>
      <c r="Q233" s="55">
        <f t="shared" si="33"/>
        <v>0</v>
      </c>
      <c r="R233" s="55">
        <f t="shared" si="34"/>
        <v>0</v>
      </c>
      <c r="S233" s="19" t="str">
        <f t="shared" si="35"/>
        <v>ليرة سورية</v>
      </c>
    </row>
    <row r="234" spans="1:19">
      <c r="A234" s="54" t="s">
        <v>361</v>
      </c>
      <c r="B234">
        <v>0</v>
      </c>
      <c r="C234">
        <v>15000</v>
      </c>
      <c r="D234">
        <v>15000</v>
      </c>
      <c r="E234">
        <v>15000</v>
      </c>
      <c r="F234" s="54" t="s">
        <v>62</v>
      </c>
      <c r="G234" t="s">
        <v>111</v>
      </c>
      <c r="H234" s="54" t="s">
        <v>139</v>
      </c>
      <c r="I234">
        <v>0</v>
      </c>
      <c r="J234" s="11">
        <f t="shared" si="27"/>
        <v>202607</v>
      </c>
      <c r="K234" s="19" t="str">
        <f t="shared" si="28"/>
        <v>يوليو 2026</v>
      </c>
      <c r="L234" s="19" t="str">
        <f t="shared" si="29"/>
        <v>⚠️ كمية مفقودة/صفر</v>
      </c>
      <c r="N234" s="11">
        <f t="shared" si="30"/>
        <v>202607</v>
      </c>
      <c r="O234" s="19" t="str">
        <f t="shared" si="31"/>
        <v>يوليو 2026</v>
      </c>
      <c r="P234" s="19" t="str">
        <f t="shared" si="32"/>
        <v>بلسم / فرط</v>
      </c>
      <c r="Q234" s="55">
        <f t="shared" si="33"/>
        <v>0</v>
      </c>
      <c r="R234" s="55">
        <f t="shared" si="34"/>
        <v>0</v>
      </c>
      <c r="S234" s="19" t="str">
        <f t="shared" si="35"/>
        <v>ليرة سورية</v>
      </c>
    </row>
    <row r="235" spans="1:19" ht="25.5" customHeight="1">
      <c r="A235" s="54" t="s">
        <v>305</v>
      </c>
      <c r="B235">
        <v>0</v>
      </c>
      <c r="C235">
        <v>0</v>
      </c>
      <c r="D235">
        <v>0</v>
      </c>
      <c r="E235">
        <v>0</v>
      </c>
      <c r="F235" s="54" t="s">
        <v>63</v>
      </c>
      <c r="G235" t="s">
        <v>111</v>
      </c>
      <c r="H235" s="54" t="s">
        <v>115</v>
      </c>
      <c r="I235">
        <v>1.625</v>
      </c>
      <c r="J235" s="11">
        <f t="shared" si="27"/>
        <v>202607</v>
      </c>
      <c r="K235" s="19" t="str">
        <f t="shared" si="28"/>
        <v>يوليو 2026</v>
      </c>
      <c r="L235" s="19" t="str">
        <f t="shared" si="29"/>
        <v>⚠️ كمية مفقودة/صفر</v>
      </c>
      <c r="N235" s="11">
        <f t="shared" si="30"/>
        <v>202607</v>
      </c>
      <c r="O235" s="19" t="str">
        <f t="shared" si="31"/>
        <v>يوليو 2026</v>
      </c>
      <c r="P235" s="19" t="str">
        <f t="shared" si="32"/>
        <v>بروبلين - فينب</v>
      </c>
      <c r="Q235" s="55">
        <f t="shared" si="33"/>
        <v>0</v>
      </c>
      <c r="R235" s="55">
        <f t="shared" si="34"/>
        <v>1.625</v>
      </c>
      <c r="S235" s="19" t="str">
        <f t="shared" si="35"/>
        <v>دولار أمريكي</v>
      </c>
    </row>
    <row r="236" spans="1:19" ht="25.5" customHeight="1">
      <c r="A236" s="54" t="s">
        <v>257</v>
      </c>
      <c r="B236">
        <v>0</v>
      </c>
      <c r="C236">
        <v>49000</v>
      </c>
      <c r="D236">
        <v>49000</v>
      </c>
      <c r="E236">
        <v>49000</v>
      </c>
      <c r="F236" s="54" t="s">
        <v>62</v>
      </c>
      <c r="G236" t="s">
        <v>111</v>
      </c>
      <c r="H236" s="54" t="s">
        <v>139</v>
      </c>
      <c r="I236">
        <v>20000</v>
      </c>
      <c r="J236" s="11">
        <f t="shared" si="27"/>
        <v>202607</v>
      </c>
      <c r="K236" s="19" t="str">
        <f t="shared" si="28"/>
        <v>يوليو 2026</v>
      </c>
      <c r="L236" s="19" t="str">
        <f t="shared" si="29"/>
        <v>⚠️ كمية مفقودة/صفر</v>
      </c>
      <c r="N236" s="11">
        <f t="shared" si="30"/>
        <v>202607</v>
      </c>
      <c r="O236" s="19" t="str">
        <f t="shared" si="31"/>
        <v>يوليو 2026</v>
      </c>
      <c r="P236" s="19" t="str">
        <f t="shared" si="32"/>
        <v>برميل كرتون</v>
      </c>
      <c r="Q236" s="55">
        <f t="shared" si="33"/>
        <v>0</v>
      </c>
      <c r="R236" s="55">
        <f t="shared" si="34"/>
        <v>20000</v>
      </c>
      <c r="S236" s="19" t="str">
        <f t="shared" si="35"/>
        <v>ليرة سورية</v>
      </c>
    </row>
    <row r="237" spans="1:19">
      <c r="A237" s="54" t="s">
        <v>258</v>
      </c>
      <c r="B237">
        <v>-30</v>
      </c>
      <c r="C237">
        <v>0</v>
      </c>
      <c r="D237">
        <v>0</v>
      </c>
      <c r="E237">
        <v>0</v>
      </c>
      <c r="F237" s="54" t="s">
        <v>62</v>
      </c>
      <c r="G237" t="s">
        <v>111</v>
      </c>
      <c r="H237" s="54" t="s">
        <v>139</v>
      </c>
      <c r="I237">
        <v>0</v>
      </c>
      <c r="J237" s="11">
        <f t="shared" si="27"/>
        <v>202607</v>
      </c>
      <c r="K237" s="19" t="str">
        <f t="shared" si="28"/>
        <v>يوليو 2026</v>
      </c>
      <c r="L237" s="19" t="str">
        <f t="shared" si="29"/>
        <v>✅ جاهز</v>
      </c>
      <c r="N237" s="11">
        <f t="shared" si="30"/>
        <v>202607</v>
      </c>
      <c r="O237" s="19" t="str">
        <f t="shared" si="31"/>
        <v>يوليو 2026</v>
      </c>
      <c r="P237" s="19" t="str">
        <f t="shared" si="32"/>
        <v>برميل تكسبون فارغ</v>
      </c>
      <c r="Q237" s="55">
        <f t="shared" si="33"/>
        <v>-30</v>
      </c>
      <c r="R237" s="55">
        <f t="shared" si="34"/>
        <v>0</v>
      </c>
      <c r="S237" s="19" t="str">
        <f t="shared" si="35"/>
        <v>ليرة سورية</v>
      </c>
    </row>
    <row r="238" spans="1:19" ht="25.5" customHeight="1">
      <c r="A238" s="54" t="s">
        <v>259</v>
      </c>
      <c r="B238">
        <v>-7</v>
      </c>
      <c r="C238">
        <v>0</v>
      </c>
      <c r="D238">
        <v>0</v>
      </c>
      <c r="E238">
        <v>0</v>
      </c>
      <c r="F238" s="54" t="s">
        <v>62</v>
      </c>
      <c r="G238" t="s">
        <v>111</v>
      </c>
      <c r="H238" s="54" t="s">
        <v>115</v>
      </c>
      <c r="I238">
        <v>0</v>
      </c>
      <c r="J238" s="11">
        <f t="shared" si="27"/>
        <v>202607</v>
      </c>
      <c r="K238" s="19" t="str">
        <f t="shared" si="28"/>
        <v>يوليو 2026</v>
      </c>
      <c r="L238" s="19" t="str">
        <f t="shared" si="29"/>
        <v>✅ جاهز</v>
      </c>
      <c r="N238" s="11">
        <f t="shared" si="30"/>
        <v>202607</v>
      </c>
      <c r="O238" s="19" t="str">
        <f t="shared" si="31"/>
        <v>يوليو 2026</v>
      </c>
      <c r="P238" s="19" t="str">
        <f t="shared" si="32"/>
        <v>برميل بلاستيك</v>
      </c>
      <c r="Q238" s="55">
        <f t="shared" si="33"/>
        <v>-7</v>
      </c>
      <c r="R238" s="55">
        <f t="shared" si="34"/>
        <v>0</v>
      </c>
      <c r="S238" s="19" t="str">
        <f t="shared" si="35"/>
        <v>ليرة سورية</v>
      </c>
    </row>
    <row r="239" spans="1:19">
      <c r="A239" s="54" t="s">
        <v>198</v>
      </c>
      <c r="B239">
        <v>0</v>
      </c>
      <c r="C239">
        <v>0</v>
      </c>
      <c r="D239">
        <v>0</v>
      </c>
      <c r="E239">
        <v>0</v>
      </c>
      <c r="F239" s="54" t="s">
        <v>63</v>
      </c>
      <c r="G239" t="s">
        <v>111</v>
      </c>
      <c r="H239" s="54" t="s">
        <v>115</v>
      </c>
      <c r="I239">
        <v>3</v>
      </c>
      <c r="J239" s="11">
        <f t="shared" si="27"/>
        <v>202607</v>
      </c>
      <c r="K239" s="19" t="str">
        <f t="shared" si="28"/>
        <v>يوليو 2026</v>
      </c>
      <c r="L239" s="19" t="str">
        <f t="shared" si="29"/>
        <v>⚠️ كمية مفقودة/صفر</v>
      </c>
      <c r="N239" s="11">
        <f t="shared" si="30"/>
        <v>202607</v>
      </c>
      <c r="O239" s="19" t="str">
        <f t="shared" si="31"/>
        <v>يوليو 2026</v>
      </c>
      <c r="P239" s="19" t="str">
        <f t="shared" si="32"/>
        <v>ايمولجين</v>
      </c>
      <c r="Q239" s="55">
        <f t="shared" si="33"/>
        <v>0</v>
      </c>
      <c r="R239" s="55">
        <f t="shared" si="34"/>
        <v>3</v>
      </c>
      <c r="S239" s="19" t="str">
        <f t="shared" si="35"/>
        <v>دولار أمريكي</v>
      </c>
    </row>
    <row r="240" spans="1:19">
      <c r="A240" s="54" t="s">
        <v>199</v>
      </c>
      <c r="B240">
        <v>16.5</v>
      </c>
      <c r="C240">
        <v>0</v>
      </c>
      <c r="D240">
        <v>0</v>
      </c>
      <c r="E240">
        <v>0</v>
      </c>
      <c r="F240" s="54" t="s">
        <v>63</v>
      </c>
      <c r="G240" t="s">
        <v>111</v>
      </c>
      <c r="H240" s="54" t="s">
        <v>115</v>
      </c>
      <c r="I240">
        <v>3.335</v>
      </c>
      <c r="J240" s="11">
        <f t="shared" si="27"/>
        <v>202607</v>
      </c>
      <c r="K240" s="19" t="str">
        <f t="shared" si="28"/>
        <v>يوليو 2026</v>
      </c>
      <c r="L240" s="19" t="str">
        <f t="shared" si="29"/>
        <v>✅ جاهز</v>
      </c>
      <c r="N240" s="11">
        <f t="shared" si="30"/>
        <v>202607</v>
      </c>
      <c r="O240" s="19" t="str">
        <f t="shared" si="31"/>
        <v>يوليو 2026</v>
      </c>
      <c r="P240" s="19" t="str">
        <f t="shared" si="32"/>
        <v>ايديتا</v>
      </c>
      <c r="Q240" s="55">
        <f t="shared" si="33"/>
        <v>16.5</v>
      </c>
      <c r="R240" s="55">
        <f t="shared" si="34"/>
        <v>3.335</v>
      </c>
      <c r="S240" s="19" t="str">
        <f t="shared" si="35"/>
        <v>دولار أمريكي</v>
      </c>
    </row>
    <row r="241" spans="1:19">
      <c r="A241" s="54" t="s">
        <v>260</v>
      </c>
      <c r="B241">
        <v>230.4</v>
      </c>
      <c r="C241">
        <v>65000</v>
      </c>
      <c r="D241">
        <v>65000</v>
      </c>
      <c r="E241">
        <v>65000</v>
      </c>
      <c r="F241" s="54" t="s">
        <v>62</v>
      </c>
      <c r="G241" t="s">
        <v>111</v>
      </c>
      <c r="H241" s="54" t="s">
        <v>139</v>
      </c>
      <c r="I241">
        <v>55000</v>
      </c>
      <c r="J241" s="11">
        <f t="shared" si="27"/>
        <v>202607</v>
      </c>
      <c r="K241" s="19" t="str">
        <f t="shared" si="28"/>
        <v>يوليو 2026</v>
      </c>
      <c r="L241" s="19" t="str">
        <f t="shared" si="29"/>
        <v>✅ جاهز</v>
      </c>
      <c r="N241" s="11">
        <f t="shared" si="30"/>
        <v>202607</v>
      </c>
      <c r="O241" s="19" t="str">
        <f t="shared" si="31"/>
        <v>يوليو 2026</v>
      </c>
      <c r="P241" s="19" t="str">
        <f t="shared" si="32"/>
        <v xml:space="preserve">اقراص كلور </v>
      </c>
      <c r="Q241" s="55">
        <f t="shared" si="33"/>
        <v>230.4</v>
      </c>
      <c r="R241" s="55">
        <f t="shared" si="34"/>
        <v>55000</v>
      </c>
      <c r="S241" s="19" t="str">
        <f t="shared" si="35"/>
        <v>ليرة سورية</v>
      </c>
    </row>
    <row r="242" spans="1:19" ht="25.5" customHeight="1">
      <c r="A242" s="54" t="s">
        <v>364</v>
      </c>
      <c r="B242">
        <v>0</v>
      </c>
      <c r="C242">
        <v>45000</v>
      </c>
      <c r="D242">
        <v>45000</v>
      </c>
      <c r="E242">
        <v>45000</v>
      </c>
      <c r="F242" s="54" t="s">
        <v>62</v>
      </c>
      <c r="G242" t="s">
        <v>111</v>
      </c>
      <c r="H242" s="54" t="s">
        <v>139</v>
      </c>
      <c r="I242">
        <v>0</v>
      </c>
      <c r="J242" s="11">
        <f t="shared" si="27"/>
        <v>202607</v>
      </c>
      <c r="K242" s="19" t="str">
        <f t="shared" si="28"/>
        <v>يوليو 2026</v>
      </c>
      <c r="L242" s="19" t="str">
        <f t="shared" si="29"/>
        <v>⚠️ كمية مفقودة/صفر</v>
      </c>
      <c r="N242" s="11">
        <f t="shared" si="30"/>
        <v>202607</v>
      </c>
      <c r="O242" s="19" t="str">
        <f t="shared" si="31"/>
        <v>يوليو 2026</v>
      </c>
      <c r="P242" s="19" t="str">
        <f t="shared" si="32"/>
        <v>اسيد 3 لتر</v>
      </c>
      <c r="Q242" s="55">
        <f t="shared" si="33"/>
        <v>0</v>
      </c>
      <c r="R242" s="55">
        <f t="shared" si="34"/>
        <v>0</v>
      </c>
      <c r="S242" s="19" t="str">
        <f t="shared" si="35"/>
        <v>ليرة سورية</v>
      </c>
    </row>
    <row r="243" spans="1:19" ht="25.5" customHeight="1">
      <c r="A243" s="54" t="s">
        <v>306</v>
      </c>
      <c r="B243">
        <v>625</v>
      </c>
      <c r="C243">
        <v>0.5</v>
      </c>
      <c r="D243">
        <v>0.5</v>
      </c>
      <c r="E243">
        <v>0.5</v>
      </c>
      <c r="F243" s="54" t="s">
        <v>63</v>
      </c>
      <c r="G243" t="s">
        <v>111</v>
      </c>
      <c r="H243" s="54" t="s">
        <v>115</v>
      </c>
      <c r="I243">
        <v>0.21</v>
      </c>
      <c r="J243" s="11">
        <f t="shared" si="27"/>
        <v>202607</v>
      </c>
      <c r="K243" s="19" t="str">
        <f t="shared" si="28"/>
        <v>يوليو 2026</v>
      </c>
      <c r="L243" s="19" t="str">
        <f t="shared" si="29"/>
        <v>✅ جاهز</v>
      </c>
      <c r="N243" s="11">
        <f t="shared" si="30"/>
        <v>202607</v>
      </c>
      <c r="O243" s="19" t="str">
        <f t="shared" si="31"/>
        <v>يوليو 2026</v>
      </c>
      <c r="P243" s="19" t="str">
        <f t="shared" si="32"/>
        <v>اسيد - روح الملح - حمض كلور الماء</v>
      </c>
      <c r="Q243" s="55">
        <f t="shared" si="33"/>
        <v>625</v>
      </c>
      <c r="R243" s="55">
        <f t="shared" si="34"/>
        <v>0.21</v>
      </c>
      <c r="S243" s="19" t="str">
        <f t="shared" si="35"/>
        <v>دولار أمريكي</v>
      </c>
    </row>
    <row r="244" spans="1:19">
      <c r="A244" s="54" t="s">
        <v>200</v>
      </c>
      <c r="B244">
        <v>207.5</v>
      </c>
      <c r="C244">
        <v>0</v>
      </c>
      <c r="D244">
        <v>0</v>
      </c>
      <c r="E244">
        <v>0</v>
      </c>
      <c r="F244" s="54" t="s">
        <v>63</v>
      </c>
      <c r="G244" t="s">
        <v>111</v>
      </c>
      <c r="H244" s="54" t="s">
        <v>115</v>
      </c>
      <c r="I244">
        <v>0.65</v>
      </c>
      <c r="J244" s="11">
        <f t="shared" si="27"/>
        <v>202607</v>
      </c>
      <c r="K244" s="19" t="str">
        <f t="shared" si="28"/>
        <v>يوليو 2026</v>
      </c>
      <c r="L244" s="19" t="str">
        <f t="shared" si="29"/>
        <v>✅ جاهز</v>
      </c>
      <c r="N244" s="11">
        <f t="shared" si="30"/>
        <v>202607</v>
      </c>
      <c r="O244" s="19" t="str">
        <f t="shared" si="31"/>
        <v>يوليو 2026</v>
      </c>
      <c r="P244" s="19" t="str">
        <f t="shared" si="32"/>
        <v>اسيتون</v>
      </c>
      <c r="Q244" s="55">
        <f t="shared" si="33"/>
        <v>207.5</v>
      </c>
      <c r="R244" s="55">
        <f t="shared" si="34"/>
        <v>0.65</v>
      </c>
      <c r="S244" s="19" t="str">
        <f t="shared" si="35"/>
        <v>دولار أمريكي</v>
      </c>
    </row>
    <row r="245" spans="1:19" ht="15" customHeight="1">
      <c r="A245" s="54" t="s">
        <v>362</v>
      </c>
      <c r="B245">
        <v>0</v>
      </c>
      <c r="C245">
        <v>27000</v>
      </c>
      <c r="D245">
        <v>27000</v>
      </c>
      <c r="E245">
        <v>27000</v>
      </c>
      <c r="F245" s="54" t="s">
        <v>62</v>
      </c>
      <c r="G245" t="s">
        <v>111</v>
      </c>
      <c r="H245" s="54" t="s">
        <v>139</v>
      </c>
      <c r="I245">
        <v>10700</v>
      </c>
      <c r="J245" s="11">
        <f t="shared" si="27"/>
        <v>202607</v>
      </c>
      <c r="K245" s="19" t="str">
        <f t="shared" si="28"/>
        <v>يوليو 2026</v>
      </c>
      <c r="L245" s="19" t="str">
        <f t="shared" si="29"/>
        <v>⚠️ كمية مفقودة/صفر</v>
      </c>
      <c r="N245" s="11">
        <f t="shared" si="30"/>
        <v>202607</v>
      </c>
      <c r="O245" s="19" t="str">
        <f t="shared" si="31"/>
        <v>يوليو 2026</v>
      </c>
      <c r="P245" s="19" t="str">
        <f t="shared" si="32"/>
        <v>أسيد 3 لتر</v>
      </c>
      <c r="Q245" s="55">
        <f t="shared" si="33"/>
        <v>0</v>
      </c>
      <c r="R245" s="55">
        <f t="shared" si="34"/>
        <v>10700</v>
      </c>
      <c r="S245" s="19" t="str">
        <f t="shared" si="35"/>
        <v>ليرة سورية</v>
      </c>
    </row>
    <row r="246" spans="1:19" ht="25.5" customHeight="1">
      <c r="A246" s="19" t="s">
        <v>363</v>
      </c>
      <c r="B246" s="55">
        <v>0</v>
      </c>
      <c r="C246" s="56">
        <v>5500</v>
      </c>
      <c r="D246" s="56">
        <v>5500</v>
      </c>
      <c r="E246" s="56">
        <v>5500</v>
      </c>
      <c r="F246" s="19" t="s">
        <v>62</v>
      </c>
      <c r="G246" s="19" t="s">
        <v>111</v>
      </c>
      <c r="H246" s="19" t="s">
        <v>139</v>
      </c>
      <c r="I246" s="55">
        <v>3500</v>
      </c>
      <c r="J246" s="11">
        <f t="shared" si="27"/>
        <v>202607</v>
      </c>
      <c r="K246" s="19" t="str">
        <f t="shared" si="28"/>
        <v>يوليو 2026</v>
      </c>
      <c r="L246" s="19" t="str">
        <f t="shared" si="29"/>
        <v>⚠️ كمية مفقودة/صفر</v>
      </c>
      <c r="N246" s="11">
        <f t="shared" si="30"/>
        <v>202607</v>
      </c>
      <c r="O246" s="19" t="str">
        <f t="shared" si="31"/>
        <v>يوليو 2026</v>
      </c>
      <c r="P246" s="19" t="str">
        <f t="shared" si="32"/>
        <v>أسيد 1 لتر</v>
      </c>
      <c r="Q246" s="55">
        <f t="shared" si="33"/>
        <v>0</v>
      </c>
      <c r="R246" s="55">
        <f t="shared" si="34"/>
        <v>3500</v>
      </c>
      <c r="S246" s="19" t="str">
        <f t="shared" si="35"/>
        <v>ليرة سورية</v>
      </c>
    </row>
    <row r="247" spans="1:19" ht="25.5" customHeight="1">
      <c r="A247" s="19"/>
      <c r="B247" s="55"/>
      <c r="C247" s="56"/>
      <c r="D247" s="56"/>
      <c r="E247" s="56"/>
      <c r="F247" s="19"/>
      <c r="G247" s="19"/>
      <c r="H247" s="19"/>
      <c r="I247" s="55"/>
      <c r="J247" s="11">
        <f t="shared" si="27"/>
        <v>202607</v>
      </c>
      <c r="K247" s="19" t="str">
        <f t="shared" si="28"/>
        <v>يوليو 2026</v>
      </c>
      <c r="L247" s="19" t="str">
        <f t="shared" si="29"/>
        <v/>
      </c>
      <c r="N247" s="11">
        <f t="shared" si="30"/>
        <v>202607</v>
      </c>
      <c r="O247" s="19" t="str">
        <f t="shared" si="31"/>
        <v>يوليو 2026</v>
      </c>
      <c r="P247" s="19">
        <f t="shared" si="32"/>
        <v>0</v>
      </c>
      <c r="Q247" s="55">
        <f t="shared" si="33"/>
        <v>0</v>
      </c>
      <c r="R247" s="55">
        <f t="shared" si="34"/>
        <v>0</v>
      </c>
      <c r="S247" s="19">
        <f t="shared" si="35"/>
        <v>0</v>
      </c>
    </row>
    <row r="248" spans="1:19" ht="25.5" customHeight="1">
      <c r="A248" s="19"/>
      <c r="B248" s="55"/>
      <c r="C248" s="56"/>
      <c r="D248" s="56"/>
      <c r="E248" s="56"/>
      <c r="F248" s="19"/>
      <c r="G248" s="19"/>
      <c r="H248" s="19"/>
      <c r="I248" s="55"/>
      <c r="J248" s="11">
        <f t="shared" si="27"/>
        <v>202607</v>
      </c>
      <c r="K248" s="19" t="str">
        <f t="shared" si="28"/>
        <v>يوليو 2026</v>
      </c>
      <c r="L248" s="19" t="str">
        <f t="shared" si="29"/>
        <v/>
      </c>
      <c r="N248" s="11">
        <f t="shared" si="30"/>
        <v>202607</v>
      </c>
      <c r="O248" s="19" t="str">
        <f t="shared" si="31"/>
        <v>يوليو 2026</v>
      </c>
      <c r="P248" s="19">
        <f t="shared" si="32"/>
        <v>0</v>
      </c>
      <c r="Q248" s="55">
        <f t="shared" si="33"/>
        <v>0</v>
      </c>
      <c r="R248" s="55">
        <f t="shared" si="34"/>
        <v>0</v>
      </c>
      <c r="S248" s="19">
        <f t="shared" si="35"/>
        <v>0</v>
      </c>
    </row>
    <row r="249" spans="1:19" ht="25.5" customHeight="1">
      <c r="A249" s="19"/>
      <c r="B249" s="55"/>
      <c r="C249" s="56"/>
      <c r="D249" s="56"/>
      <c r="E249" s="56"/>
      <c r="F249" s="19"/>
      <c r="G249" s="19"/>
      <c r="H249" s="19"/>
      <c r="I249" s="55"/>
      <c r="J249" s="11">
        <f t="shared" si="27"/>
        <v>202607</v>
      </c>
      <c r="K249" s="19" t="str">
        <f t="shared" si="28"/>
        <v>يوليو 2026</v>
      </c>
      <c r="L249" s="19" t="str">
        <f t="shared" si="29"/>
        <v/>
      </c>
      <c r="N249" s="11">
        <f t="shared" si="30"/>
        <v>202607</v>
      </c>
      <c r="O249" s="19" t="str">
        <f t="shared" si="31"/>
        <v>يوليو 2026</v>
      </c>
      <c r="P249" s="19">
        <f t="shared" si="32"/>
        <v>0</v>
      </c>
      <c r="Q249" s="55">
        <f t="shared" si="33"/>
        <v>0</v>
      </c>
      <c r="R249" s="55">
        <f t="shared" si="34"/>
        <v>0</v>
      </c>
      <c r="S249" s="19">
        <f t="shared" si="35"/>
        <v>0</v>
      </c>
    </row>
    <row r="250" spans="1:19" ht="25.5" customHeight="1">
      <c r="A250" s="19"/>
      <c r="B250" s="55"/>
      <c r="C250" s="56"/>
      <c r="D250" s="56"/>
      <c r="E250" s="56"/>
      <c r="F250" s="19"/>
      <c r="G250" s="19"/>
      <c r="H250" s="19"/>
      <c r="I250" s="55"/>
      <c r="J250" s="11">
        <f t="shared" si="27"/>
        <v>202607</v>
      </c>
      <c r="K250" s="19" t="str">
        <f t="shared" si="28"/>
        <v>يوليو 2026</v>
      </c>
      <c r="L250" s="19" t="str">
        <f t="shared" si="29"/>
        <v/>
      </c>
      <c r="N250" s="11">
        <f t="shared" si="30"/>
        <v>202607</v>
      </c>
      <c r="O250" s="19" t="str">
        <f t="shared" si="31"/>
        <v>يوليو 2026</v>
      </c>
      <c r="P250" s="19">
        <f t="shared" si="32"/>
        <v>0</v>
      </c>
      <c r="Q250" s="55">
        <f t="shared" si="33"/>
        <v>0</v>
      </c>
      <c r="R250" s="55">
        <f t="shared" si="34"/>
        <v>0</v>
      </c>
      <c r="S250" s="19">
        <f t="shared" si="35"/>
        <v>0</v>
      </c>
    </row>
    <row r="251" spans="1:19" ht="25.5" customHeight="1">
      <c r="A251" s="19"/>
      <c r="B251" s="55"/>
      <c r="C251" s="56"/>
      <c r="D251" s="56"/>
      <c r="E251" s="56"/>
      <c r="F251" s="19"/>
      <c r="G251" s="19"/>
      <c r="H251" s="19"/>
      <c r="I251" s="55"/>
      <c r="J251" s="11">
        <f t="shared" si="27"/>
        <v>202607</v>
      </c>
      <c r="K251" s="19" t="str">
        <f t="shared" si="28"/>
        <v>يوليو 2026</v>
      </c>
      <c r="L251" s="19" t="str">
        <f t="shared" si="29"/>
        <v/>
      </c>
      <c r="N251" s="11">
        <f t="shared" si="30"/>
        <v>202607</v>
      </c>
      <c r="O251" s="19" t="str">
        <f t="shared" si="31"/>
        <v>يوليو 2026</v>
      </c>
      <c r="P251" s="19">
        <f t="shared" si="32"/>
        <v>0</v>
      </c>
      <c r="Q251" s="55">
        <f t="shared" si="33"/>
        <v>0</v>
      </c>
      <c r="R251" s="55">
        <f t="shared" si="34"/>
        <v>0</v>
      </c>
      <c r="S251" s="19">
        <f t="shared" si="35"/>
        <v>0</v>
      </c>
    </row>
    <row r="252" spans="1:19" ht="25.5" customHeight="1">
      <c r="A252" s="19"/>
      <c r="B252" s="55"/>
      <c r="C252" s="56"/>
      <c r="D252" s="56"/>
      <c r="E252" s="56"/>
      <c r="F252" s="19"/>
      <c r="G252" s="19"/>
      <c r="H252" s="19"/>
      <c r="I252" s="55"/>
      <c r="J252" s="11">
        <f t="shared" si="27"/>
        <v>202607</v>
      </c>
      <c r="K252" s="19" t="str">
        <f t="shared" si="28"/>
        <v>يوليو 2026</v>
      </c>
      <c r="L252" s="19" t="str">
        <f t="shared" si="29"/>
        <v/>
      </c>
      <c r="N252" s="11">
        <f t="shared" si="30"/>
        <v>202607</v>
      </c>
      <c r="O252" s="19" t="str">
        <f t="shared" si="31"/>
        <v>يوليو 2026</v>
      </c>
      <c r="P252" s="19">
        <f t="shared" si="32"/>
        <v>0</v>
      </c>
      <c r="Q252" s="55">
        <f t="shared" si="33"/>
        <v>0</v>
      </c>
      <c r="R252" s="55">
        <f t="shared" si="34"/>
        <v>0</v>
      </c>
      <c r="S252" s="19">
        <f t="shared" si="35"/>
        <v>0</v>
      </c>
    </row>
    <row r="253" spans="1:19" ht="25.5" customHeight="1">
      <c r="A253" s="19"/>
      <c r="B253" s="55"/>
      <c r="C253" s="56"/>
      <c r="D253" s="56"/>
      <c r="E253" s="56"/>
      <c r="F253" s="19"/>
      <c r="G253" s="19"/>
      <c r="H253" s="19"/>
      <c r="I253" s="55"/>
      <c r="J253" s="11">
        <f t="shared" si="27"/>
        <v>202607</v>
      </c>
      <c r="K253" s="19" t="str">
        <f t="shared" si="28"/>
        <v>يوليو 2026</v>
      </c>
      <c r="L253" s="19" t="str">
        <f t="shared" si="29"/>
        <v/>
      </c>
      <c r="N253" s="11">
        <f t="shared" si="30"/>
        <v>202607</v>
      </c>
      <c r="O253" s="19" t="str">
        <f t="shared" si="31"/>
        <v>يوليو 2026</v>
      </c>
      <c r="P253" s="19">
        <f t="shared" si="32"/>
        <v>0</v>
      </c>
      <c r="Q253" s="55">
        <f t="shared" si="33"/>
        <v>0</v>
      </c>
      <c r="R253" s="55">
        <f t="shared" si="34"/>
        <v>0</v>
      </c>
      <c r="S253" s="19">
        <f t="shared" si="35"/>
        <v>0</v>
      </c>
    </row>
    <row r="254" spans="1:19" ht="25.5" customHeight="1">
      <c r="A254" s="19"/>
      <c r="B254" s="55"/>
      <c r="C254" s="56"/>
      <c r="D254" s="56"/>
      <c r="E254" s="56"/>
      <c r="F254" s="19"/>
      <c r="G254" s="19"/>
      <c r="H254" s="19"/>
      <c r="I254" s="55"/>
      <c r="J254" s="11">
        <f t="shared" si="27"/>
        <v>202607</v>
      </c>
      <c r="K254" s="19" t="str">
        <f t="shared" si="28"/>
        <v>يوليو 2026</v>
      </c>
      <c r="L254" s="19" t="str">
        <f t="shared" si="29"/>
        <v/>
      </c>
      <c r="N254" s="11">
        <f t="shared" si="30"/>
        <v>202607</v>
      </c>
      <c r="O254" s="19" t="str">
        <f t="shared" si="31"/>
        <v>يوليو 2026</v>
      </c>
      <c r="P254" s="19">
        <f t="shared" si="32"/>
        <v>0</v>
      </c>
      <c r="Q254" s="55">
        <f t="shared" si="33"/>
        <v>0</v>
      </c>
      <c r="R254" s="55">
        <f t="shared" si="34"/>
        <v>0</v>
      </c>
      <c r="S254" s="19">
        <f t="shared" si="35"/>
        <v>0</v>
      </c>
    </row>
    <row r="255" spans="1:19" ht="25.5" customHeight="1">
      <c r="A255" s="19"/>
      <c r="B255" s="55"/>
      <c r="C255" s="56"/>
      <c r="D255" s="56"/>
      <c r="E255" s="56"/>
      <c r="F255" s="19"/>
      <c r="G255" s="19"/>
      <c r="H255" s="19"/>
      <c r="I255" s="55"/>
      <c r="J255" s="11">
        <f t="shared" si="27"/>
        <v>202607</v>
      </c>
      <c r="K255" s="19" t="str">
        <f t="shared" si="28"/>
        <v>يوليو 2026</v>
      </c>
      <c r="L255" s="19" t="str">
        <f t="shared" si="29"/>
        <v/>
      </c>
      <c r="N255" s="11">
        <f t="shared" si="30"/>
        <v>202607</v>
      </c>
      <c r="O255" s="19" t="str">
        <f t="shared" si="31"/>
        <v>يوليو 2026</v>
      </c>
      <c r="P255" s="19">
        <f t="shared" si="32"/>
        <v>0</v>
      </c>
      <c r="Q255" s="55">
        <f t="shared" si="33"/>
        <v>0</v>
      </c>
      <c r="R255" s="55">
        <f t="shared" si="34"/>
        <v>0</v>
      </c>
      <c r="S255" s="19">
        <f t="shared" si="35"/>
        <v>0</v>
      </c>
    </row>
    <row r="256" spans="1:19" ht="25.5" customHeight="1">
      <c r="A256" s="19"/>
      <c r="B256" s="55"/>
      <c r="C256" s="56"/>
      <c r="D256" s="56"/>
      <c r="E256" s="56"/>
      <c r="F256" s="19"/>
      <c r="G256" s="19"/>
      <c r="H256" s="19"/>
      <c r="I256" s="55"/>
      <c r="J256" s="11">
        <f t="shared" si="27"/>
        <v>202607</v>
      </c>
      <c r="K256" s="19" t="str">
        <f t="shared" si="28"/>
        <v>يوليو 2026</v>
      </c>
      <c r="L256" s="19" t="str">
        <f t="shared" si="29"/>
        <v/>
      </c>
      <c r="N256" s="11">
        <f t="shared" si="30"/>
        <v>202607</v>
      </c>
      <c r="O256" s="19" t="str">
        <f t="shared" si="31"/>
        <v>يوليو 2026</v>
      </c>
      <c r="P256" s="19">
        <f t="shared" si="32"/>
        <v>0</v>
      </c>
      <c r="Q256" s="55">
        <f t="shared" si="33"/>
        <v>0</v>
      </c>
      <c r="R256" s="55">
        <f t="shared" si="34"/>
        <v>0</v>
      </c>
      <c r="S256" s="19">
        <f t="shared" si="35"/>
        <v>0</v>
      </c>
    </row>
    <row r="257" spans="1:19" ht="25.5" customHeight="1">
      <c r="A257" s="19"/>
      <c r="B257" s="55"/>
      <c r="C257" s="56"/>
      <c r="D257" s="56"/>
      <c r="E257" s="56"/>
      <c r="F257" s="19"/>
      <c r="G257" s="19"/>
      <c r="H257" s="19"/>
      <c r="I257" s="55"/>
      <c r="J257" s="11">
        <f t="shared" si="27"/>
        <v>202607</v>
      </c>
      <c r="K257" s="19" t="str">
        <f t="shared" si="28"/>
        <v>يوليو 2026</v>
      </c>
      <c r="L257" s="19" t="str">
        <f t="shared" si="29"/>
        <v/>
      </c>
      <c r="N257" s="11">
        <f t="shared" si="30"/>
        <v>202607</v>
      </c>
      <c r="O257" s="19" t="str">
        <f t="shared" si="31"/>
        <v>يوليو 2026</v>
      </c>
      <c r="P257" s="19">
        <f t="shared" si="32"/>
        <v>0</v>
      </c>
      <c r="Q257" s="55">
        <f t="shared" si="33"/>
        <v>0</v>
      </c>
      <c r="R257" s="55">
        <f t="shared" si="34"/>
        <v>0</v>
      </c>
      <c r="S257" s="19">
        <f t="shared" si="35"/>
        <v>0</v>
      </c>
    </row>
    <row r="258" spans="1:19" ht="25.5" customHeight="1">
      <c r="A258" s="19"/>
      <c r="B258" s="55"/>
      <c r="C258" s="56"/>
      <c r="D258" s="56"/>
      <c r="E258" s="56"/>
      <c r="F258" s="19"/>
      <c r="G258" s="19"/>
      <c r="H258" s="19"/>
      <c r="I258" s="55"/>
      <c r="J258" s="11">
        <f t="shared" si="27"/>
        <v>202607</v>
      </c>
      <c r="K258" s="19" t="str">
        <f t="shared" si="28"/>
        <v>يوليو 2026</v>
      </c>
      <c r="L258" s="19" t="str">
        <f t="shared" si="29"/>
        <v/>
      </c>
      <c r="N258" s="11">
        <f t="shared" si="30"/>
        <v>202607</v>
      </c>
      <c r="O258" s="19" t="str">
        <f t="shared" si="31"/>
        <v>يوليو 2026</v>
      </c>
      <c r="P258" s="19">
        <f t="shared" si="32"/>
        <v>0</v>
      </c>
      <c r="Q258" s="55">
        <f t="shared" si="33"/>
        <v>0</v>
      </c>
      <c r="R258" s="55">
        <f t="shared" si="34"/>
        <v>0</v>
      </c>
      <c r="S258" s="19">
        <f t="shared" si="35"/>
        <v>0</v>
      </c>
    </row>
    <row r="259" spans="1:19" ht="25.5" customHeight="1">
      <c r="A259" s="19"/>
      <c r="B259" s="55"/>
      <c r="C259" s="56"/>
      <c r="D259" s="56"/>
      <c r="E259" s="56"/>
      <c r="F259" s="19"/>
      <c r="G259" s="19"/>
      <c r="H259" s="19"/>
      <c r="I259" s="55"/>
      <c r="J259" s="11">
        <f t="shared" si="27"/>
        <v>202607</v>
      </c>
      <c r="K259" s="19" t="str">
        <f t="shared" si="28"/>
        <v>يوليو 2026</v>
      </c>
      <c r="L259" s="19" t="str">
        <f t="shared" si="29"/>
        <v/>
      </c>
      <c r="N259" s="11">
        <f t="shared" si="30"/>
        <v>202607</v>
      </c>
      <c r="O259" s="19" t="str">
        <f t="shared" si="31"/>
        <v>يوليو 2026</v>
      </c>
      <c r="P259" s="19">
        <f t="shared" si="32"/>
        <v>0</v>
      </c>
      <c r="Q259" s="55">
        <f t="shared" si="33"/>
        <v>0</v>
      </c>
      <c r="R259" s="55">
        <f t="shared" si="34"/>
        <v>0</v>
      </c>
      <c r="S259" s="19">
        <f t="shared" si="35"/>
        <v>0</v>
      </c>
    </row>
    <row r="260" spans="1:19" ht="25.5" customHeight="1">
      <c r="A260" s="19"/>
      <c r="B260" s="55"/>
      <c r="C260" s="56"/>
      <c r="D260" s="56"/>
      <c r="E260" s="56"/>
      <c r="F260" s="19"/>
      <c r="G260" s="19"/>
      <c r="H260" s="19"/>
      <c r="I260" s="55"/>
      <c r="J260" s="11">
        <f t="shared" si="27"/>
        <v>202607</v>
      </c>
      <c r="K260" s="19" t="str">
        <f t="shared" si="28"/>
        <v>يوليو 2026</v>
      </c>
      <c r="L260" s="19" t="str">
        <f t="shared" si="29"/>
        <v/>
      </c>
      <c r="N260" s="11">
        <f t="shared" si="30"/>
        <v>202607</v>
      </c>
      <c r="O260" s="19" t="str">
        <f t="shared" si="31"/>
        <v>يوليو 2026</v>
      </c>
      <c r="P260" s="19">
        <f t="shared" si="32"/>
        <v>0</v>
      </c>
      <c r="Q260" s="55">
        <f t="shared" si="33"/>
        <v>0</v>
      </c>
      <c r="R260" s="55">
        <f t="shared" si="34"/>
        <v>0</v>
      </c>
      <c r="S260" s="19">
        <f t="shared" si="35"/>
        <v>0</v>
      </c>
    </row>
    <row r="261" spans="1:19" ht="25.5" customHeight="1">
      <c r="A261" s="19"/>
      <c r="B261" s="55"/>
      <c r="C261" s="56"/>
      <c r="D261" s="56"/>
      <c r="E261" s="56"/>
      <c r="F261" s="19"/>
      <c r="G261" s="19"/>
      <c r="H261" s="19"/>
      <c r="I261" s="55"/>
      <c r="J261" s="11">
        <f t="shared" si="27"/>
        <v>202607</v>
      </c>
      <c r="K261" s="19" t="str">
        <f t="shared" si="28"/>
        <v>يوليو 2026</v>
      </c>
      <c r="L261" s="19" t="str">
        <f t="shared" si="29"/>
        <v/>
      </c>
      <c r="N261" s="11">
        <f t="shared" si="30"/>
        <v>202607</v>
      </c>
      <c r="O261" s="19" t="str">
        <f t="shared" si="31"/>
        <v>يوليو 2026</v>
      </c>
      <c r="P261" s="19">
        <f t="shared" si="32"/>
        <v>0</v>
      </c>
      <c r="Q261" s="55">
        <f t="shared" si="33"/>
        <v>0</v>
      </c>
      <c r="R261" s="55">
        <f t="shared" si="34"/>
        <v>0</v>
      </c>
      <c r="S261" s="19">
        <f t="shared" si="35"/>
        <v>0</v>
      </c>
    </row>
    <row r="262" spans="1:19" ht="25.5" customHeight="1">
      <c r="A262" s="19"/>
      <c r="B262" s="55"/>
      <c r="C262" s="56"/>
      <c r="D262" s="56"/>
      <c r="E262" s="56"/>
      <c r="F262" s="19"/>
      <c r="G262" s="19"/>
      <c r="H262" s="19"/>
      <c r="I262" s="55"/>
      <c r="J262" s="11">
        <f t="shared" si="27"/>
        <v>202607</v>
      </c>
      <c r="K262" s="19" t="str">
        <f t="shared" si="28"/>
        <v>يوليو 2026</v>
      </c>
      <c r="L262" s="19" t="str">
        <f t="shared" si="29"/>
        <v/>
      </c>
      <c r="N262" s="11">
        <f t="shared" si="30"/>
        <v>202607</v>
      </c>
      <c r="O262" s="19" t="str">
        <f t="shared" si="31"/>
        <v>يوليو 2026</v>
      </c>
      <c r="P262" s="19">
        <f t="shared" si="32"/>
        <v>0</v>
      </c>
      <c r="Q262" s="55">
        <f t="shared" si="33"/>
        <v>0</v>
      </c>
      <c r="R262" s="55">
        <f t="shared" si="34"/>
        <v>0</v>
      </c>
      <c r="S262" s="19">
        <f t="shared" si="35"/>
        <v>0</v>
      </c>
    </row>
    <row r="263" spans="1:19" ht="25.5" customHeight="1">
      <c r="A263" s="19"/>
      <c r="B263" s="55"/>
      <c r="C263" s="56"/>
      <c r="D263" s="56"/>
      <c r="E263" s="56"/>
      <c r="F263" s="19"/>
      <c r="G263" s="19"/>
      <c r="H263" s="19"/>
      <c r="I263" s="55"/>
      <c r="J263" s="11">
        <f t="shared" ref="J263:J326" si="36">IF($B$3="","",$B$3)</f>
        <v>202607</v>
      </c>
      <c r="K263" s="19" t="str">
        <f t="shared" ref="K263:K326" si="37">IF($B$4="","",$B$4)</f>
        <v>يوليو 2026</v>
      </c>
      <c r="L263" s="19" t="str">
        <f t="shared" ref="L263:L326" si="38">IF(A263="","",IF(OR(B263="",B263=0),"⚠️ كمية مفقودة/صفر",IF(I263="","⚠️ سعر شراء مفقود",IF(F263="","⚠️ عملة مفقودة",IF(COUNTIF($A$7:$A$505,A263)&gt;1,"⚠️ مادة مكررة بالقائمة","✅ جاهز")))))</f>
        <v/>
      </c>
      <c r="N263" s="11">
        <f t="shared" ref="N263:N326" si="39">J263</f>
        <v>202607</v>
      </c>
      <c r="O263" s="19" t="str">
        <f t="shared" ref="O263:O326" si="40">K263</f>
        <v>يوليو 2026</v>
      </c>
      <c r="P263" s="19">
        <f t="shared" ref="P263:P326" si="41">A263</f>
        <v>0</v>
      </c>
      <c r="Q263" s="55">
        <f t="shared" ref="Q263:Q326" si="42">B263</f>
        <v>0</v>
      </c>
      <c r="R263" s="55">
        <f t="shared" ref="R263:R326" si="43">I263</f>
        <v>0</v>
      </c>
      <c r="S263" s="19">
        <f t="shared" ref="S263:S326" si="44">F263</f>
        <v>0</v>
      </c>
    </row>
    <row r="264" spans="1:19" ht="25.5" customHeight="1">
      <c r="A264" s="19"/>
      <c r="B264" s="55"/>
      <c r="C264" s="56"/>
      <c r="D264" s="56"/>
      <c r="E264" s="56"/>
      <c r="F264" s="19"/>
      <c r="G264" s="19"/>
      <c r="H264" s="19"/>
      <c r="I264" s="55"/>
      <c r="J264" s="11">
        <f t="shared" si="36"/>
        <v>202607</v>
      </c>
      <c r="K264" s="19" t="str">
        <f t="shared" si="37"/>
        <v>يوليو 2026</v>
      </c>
      <c r="L264" s="19" t="str">
        <f t="shared" si="38"/>
        <v/>
      </c>
      <c r="N264" s="11">
        <f t="shared" si="39"/>
        <v>202607</v>
      </c>
      <c r="O264" s="19" t="str">
        <f t="shared" si="40"/>
        <v>يوليو 2026</v>
      </c>
      <c r="P264" s="19">
        <f t="shared" si="41"/>
        <v>0</v>
      </c>
      <c r="Q264" s="55">
        <f t="shared" si="42"/>
        <v>0</v>
      </c>
      <c r="R264" s="55">
        <f t="shared" si="43"/>
        <v>0</v>
      </c>
      <c r="S264" s="19">
        <f t="shared" si="44"/>
        <v>0</v>
      </c>
    </row>
    <row r="265" spans="1:19" ht="25.5" customHeight="1">
      <c r="A265" s="19"/>
      <c r="B265" s="55"/>
      <c r="C265" s="56"/>
      <c r="D265" s="56"/>
      <c r="E265" s="56"/>
      <c r="F265" s="19"/>
      <c r="G265" s="19"/>
      <c r="H265" s="19"/>
      <c r="I265" s="55"/>
      <c r="J265" s="11">
        <f t="shared" si="36"/>
        <v>202607</v>
      </c>
      <c r="K265" s="19" t="str">
        <f t="shared" si="37"/>
        <v>يوليو 2026</v>
      </c>
      <c r="L265" s="19" t="str">
        <f t="shared" si="38"/>
        <v/>
      </c>
      <c r="N265" s="11">
        <f t="shared" si="39"/>
        <v>202607</v>
      </c>
      <c r="O265" s="19" t="str">
        <f t="shared" si="40"/>
        <v>يوليو 2026</v>
      </c>
      <c r="P265" s="19">
        <f t="shared" si="41"/>
        <v>0</v>
      </c>
      <c r="Q265" s="55">
        <f t="shared" si="42"/>
        <v>0</v>
      </c>
      <c r="R265" s="55">
        <f t="shared" si="43"/>
        <v>0</v>
      </c>
      <c r="S265" s="19">
        <f t="shared" si="44"/>
        <v>0</v>
      </c>
    </row>
    <row r="266" spans="1:19" ht="25.5" customHeight="1">
      <c r="A266" s="19"/>
      <c r="B266" s="55"/>
      <c r="C266" s="56"/>
      <c r="D266" s="56"/>
      <c r="E266" s="56"/>
      <c r="F266" s="19"/>
      <c r="G266" s="19"/>
      <c r="H266" s="19"/>
      <c r="I266" s="55"/>
      <c r="J266" s="11">
        <f t="shared" si="36"/>
        <v>202607</v>
      </c>
      <c r="K266" s="19" t="str">
        <f t="shared" si="37"/>
        <v>يوليو 2026</v>
      </c>
      <c r="L266" s="19" t="str">
        <f t="shared" si="38"/>
        <v/>
      </c>
      <c r="N266" s="11">
        <f t="shared" si="39"/>
        <v>202607</v>
      </c>
      <c r="O266" s="19" t="str">
        <f t="shared" si="40"/>
        <v>يوليو 2026</v>
      </c>
      <c r="P266" s="19">
        <f t="shared" si="41"/>
        <v>0</v>
      </c>
      <c r="Q266" s="55">
        <f t="shared" si="42"/>
        <v>0</v>
      </c>
      <c r="R266" s="55">
        <f t="shared" si="43"/>
        <v>0</v>
      </c>
      <c r="S266" s="19">
        <f t="shared" si="44"/>
        <v>0</v>
      </c>
    </row>
    <row r="267" spans="1:19" ht="25.5" customHeight="1">
      <c r="A267" s="19"/>
      <c r="B267" s="55"/>
      <c r="C267" s="56"/>
      <c r="D267" s="56"/>
      <c r="E267" s="56"/>
      <c r="F267" s="19"/>
      <c r="G267" s="19"/>
      <c r="H267" s="19"/>
      <c r="I267" s="55"/>
      <c r="J267" s="11">
        <f t="shared" si="36"/>
        <v>202607</v>
      </c>
      <c r="K267" s="19" t="str">
        <f t="shared" si="37"/>
        <v>يوليو 2026</v>
      </c>
      <c r="L267" s="19" t="str">
        <f t="shared" si="38"/>
        <v/>
      </c>
      <c r="N267" s="11">
        <f t="shared" si="39"/>
        <v>202607</v>
      </c>
      <c r="O267" s="19" t="str">
        <f t="shared" si="40"/>
        <v>يوليو 2026</v>
      </c>
      <c r="P267" s="19">
        <f t="shared" si="41"/>
        <v>0</v>
      </c>
      <c r="Q267" s="55">
        <f t="shared" si="42"/>
        <v>0</v>
      </c>
      <c r="R267" s="55">
        <f t="shared" si="43"/>
        <v>0</v>
      </c>
      <c r="S267" s="19">
        <f t="shared" si="44"/>
        <v>0</v>
      </c>
    </row>
    <row r="268" spans="1:19" ht="25.5" customHeight="1">
      <c r="A268" s="19"/>
      <c r="B268" s="55"/>
      <c r="C268" s="56"/>
      <c r="D268" s="56"/>
      <c r="E268" s="56"/>
      <c r="F268" s="19"/>
      <c r="G268" s="19"/>
      <c r="H268" s="19"/>
      <c r="I268" s="55"/>
      <c r="J268" s="11">
        <f t="shared" si="36"/>
        <v>202607</v>
      </c>
      <c r="K268" s="19" t="str">
        <f t="shared" si="37"/>
        <v>يوليو 2026</v>
      </c>
      <c r="L268" s="19" t="str">
        <f t="shared" si="38"/>
        <v/>
      </c>
      <c r="N268" s="11">
        <f t="shared" si="39"/>
        <v>202607</v>
      </c>
      <c r="O268" s="19" t="str">
        <f t="shared" si="40"/>
        <v>يوليو 2026</v>
      </c>
      <c r="P268" s="19">
        <f t="shared" si="41"/>
        <v>0</v>
      </c>
      <c r="Q268" s="55">
        <f t="shared" si="42"/>
        <v>0</v>
      </c>
      <c r="R268" s="55">
        <f t="shared" si="43"/>
        <v>0</v>
      </c>
      <c r="S268" s="19">
        <f t="shared" si="44"/>
        <v>0</v>
      </c>
    </row>
    <row r="269" spans="1:19" ht="25.5" customHeight="1">
      <c r="A269" s="19"/>
      <c r="B269" s="55"/>
      <c r="C269" s="56"/>
      <c r="D269" s="56"/>
      <c r="E269" s="56"/>
      <c r="F269" s="19"/>
      <c r="G269" s="19"/>
      <c r="H269" s="19"/>
      <c r="I269" s="55"/>
      <c r="J269" s="11">
        <f t="shared" si="36"/>
        <v>202607</v>
      </c>
      <c r="K269" s="19" t="str">
        <f t="shared" si="37"/>
        <v>يوليو 2026</v>
      </c>
      <c r="L269" s="19" t="str">
        <f t="shared" si="38"/>
        <v/>
      </c>
      <c r="N269" s="11">
        <f t="shared" si="39"/>
        <v>202607</v>
      </c>
      <c r="O269" s="19" t="str">
        <f t="shared" si="40"/>
        <v>يوليو 2026</v>
      </c>
      <c r="P269" s="19">
        <f t="shared" si="41"/>
        <v>0</v>
      </c>
      <c r="Q269" s="55">
        <f t="shared" si="42"/>
        <v>0</v>
      </c>
      <c r="R269" s="55">
        <f t="shared" si="43"/>
        <v>0</v>
      </c>
      <c r="S269" s="19">
        <f t="shared" si="44"/>
        <v>0</v>
      </c>
    </row>
    <row r="270" spans="1:19" ht="25.5" customHeight="1">
      <c r="A270" s="19"/>
      <c r="B270" s="55"/>
      <c r="C270" s="56"/>
      <c r="D270" s="56"/>
      <c r="E270" s="56"/>
      <c r="F270" s="19"/>
      <c r="G270" s="19"/>
      <c r="H270" s="19"/>
      <c r="I270" s="55"/>
      <c r="J270" s="11">
        <f t="shared" si="36"/>
        <v>202607</v>
      </c>
      <c r="K270" s="19" t="str">
        <f t="shared" si="37"/>
        <v>يوليو 2026</v>
      </c>
      <c r="L270" s="19" t="str">
        <f t="shared" si="38"/>
        <v/>
      </c>
      <c r="N270" s="11">
        <f t="shared" si="39"/>
        <v>202607</v>
      </c>
      <c r="O270" s="19" t="str">
        <f t="shared" si="40"/>
        <v>يوليو 2026</v>
      </c>
      <c r="P270" s="19">
        <f t="shared" si="41"/>
        <v>0</v>
      </c>
      <c r="Q270" s="55">
        <f t="shared" si="42"/>
        <v>0</v>
      </c>
      <c r="R270" s="55">
        <f t="shared" si="43"/>
        <v>0</v>
      </c>
      <c r="S270" s="19">
        <f t="shared" si="44"/>
        <v>0</v>
      </c>
    </row>
    <row r="271" spans="1:19" ht="25.5" customHeight="1">
      <c r="A271" s="19"/>
      <c r="B271" s="55"/>
      <c r="C271" s="56"/>
      <c r="D271" s="56"/>
      <c r="E271" s="56"/>
      <c r="F271" s="19"/>
      <c r="G271" s="19"/>
      <c r="H271" s="19"/>
      <c r="I271" s="55"/>
      <c r="J271" s="11">
        <f t="shared" si="36"/>
        <v>202607</v>
      </c>
      <c r="K271" s="19" t="str">
        <f t="shared" si="37"/>
        <v>يوليو 2026</v>
      </c>
      <c r="L271" s="19" t="str">
        <f t="shared" si="38"/>
        <v/>
      </c>
      <c r="N271" s="11">
        <f t="shared" si="39"/>
        <v>202607</v>
      </c>
      <c r="O271" s="19" t="str">
        <f t="shared" si="40"/>
        <v>يوليو 2026</v>
      </c>
      <c r="P271" s="19">
        <f t="shared" si="41"/>
        <v>0</v>
      </c>
      <c r="Q271" s="55">
        <f t="shared" si="42"/>
        <v>0</v>
      </c>
      <c r="R271" s="55">
        <f t="shared" si="43"/>
        <v>0</v>
      </c>
      <c r="S271" s="19">
        <f t="shared" si="44"/>
        <v>0</v>
      </c>
    </row>
    <row r="272" spans="1:19" ht="25.5" customHeight="1">
      <c r="A272" s="19"/>
      <c r="B272" s="55"/>
      <c r="C272" s="56"/>
      <c r="D272" s="56"/>
      <c r="E272" s="56"/>
      <c r="F272" s="19"/>
      <c r="G272" s="19"/>
      <c r="H272" s="19"/>
      <c r="I272" s="55"/>
      <c r="J272" s="11">
        <f t="shared" si="36"/>
        <v>202607</v>
      </c>
      <c r="K272" s="19" t="str">
        <f t="shared" si="37"/>
        <v>يوليو 2026</v>
      </c>
      <c r="L272" s="19" t="str">
        <f t="shared" si="38"/>
        <v/>
      </c>
      <c r="N272" s="11">
        <f t="shared" si="39"/>
        <v>202607</v>
      </c>
      <c r="O272" s="19" t="str">
        <f t="shared" si="40"/>
        <v>يوليو 2026</v>
      </c>
      <c r="P272" s="19">
        <f t="shared" si="41"/>
        <v>0</v>
      </c>
      <c r="Q272" s="55">
        <f t="shared" si="42"/>
        <v>0</v>
      </c>
      <c r="R272" s="55">
        <f t="shared" si="43"/>
        <v>0</v>
      </c>
      <c r="S272" s="19">
        <f t="shared" si="44"/>
        <v>0</v>
      </c>
    </row>
    <row r="273" spans="1:19" ht="25.5" customHeight="1">
      <c r="A273" s="19"/>
      <c r="B273" s="55"/>
      <c r="C273" s="56"/>
      <c r="D273" s="56"/>
      <c r="E273" s="56"/>
      <c r="F273" s="19"/>
      <c r="G273" s="19"/>
      <c r="H273" s="19"/>
      <c r="I273" s="55"/>
      <c r="J273" s="11">
        <f t="shared" si="36"/>
        <v>202607</v>
      </c>
      <c r="K273" s="19" t="str">
        <f t="shared" si="37"/>
        <v>يوليو 2026</v>
      </c>
      <c r="L273" s="19" t="str">
        <f t="shared" si="38"/>
        <v/>
      </c>
      <c r="N273" s="11">
        <f t="shared" si="39"/>
        <v>202607</v>
      </c>
      <c r="O273" s="19" t="str">
        <f t="shared" si="40"/>
        <v>يوليو 2026</v>
      </c>
      <c r="P273" s="19">
        <f t="shared" si="41"/>
        <v>0</v>
      </c>
      <c r="Q273" s="55">
        <f t="shared" si="42"/>
        <v>0</v>
      </c>
      <c r="R273" s="55">
        <f t="shared" si="43"/>
        <v>0</v>
      </c>
      <c r="S273" s="19">
        <f t="shared" si="44"/>
        <v>0</v>
      </c>
    </row>
    <row r="274" spans="1:19" ht="25.5" customHeight="1">
      <c r="A274" s="19"/>
      <c r="B274" s="55"/>
      <c r="C274" s="56"/>
      <c r="D274" s="56"/>
      <c r="E274" s="56"/>
      <c r="F274" s="19"/>
      <c r="G274" s="19"/>
      <c r="H274" s="19"/>
      <c r="I274" s="55"/>
      <c r="J274" s="11">
        <f t="shared" si="36"/>
        <v>202607</v>
      </c>
      <c r="K274" s="19" t="str">
        <f t="shared" si="37"/>
        <v>يوليو 2026</v>
      </c>
      <c r="L274" s="19" t="str">
        <f t="shared" si="38"/>
        <v/>
      </c>
      <c r="N274" s="11">
        <f t="shared" si="39"/>
        <v>202607</v>
      </c>
      <c r="O274" s="19" t="str">
        <f t="shared" si="40"/>
        <v>يوليو 2026</v>
      </c>
      <c r="P274" s="19">
        <f t="shared" si="41"/>
        <v>0</v>
      </c>
      <c r="Q274" s="55">
        <f t="shared" si="42"/>
        <v>0</v>
      </c>
      <c r="R274" s="55">
        <f t="shared" si="43"/>
        <v>0</v>
      </c>
      <c r="S274" s="19">
        <f t="shared" si="44"/>
        <v>0</v>
      </c>
    </row>
    <row r="275" spans="1:19" ht="25.5" customHeight="1">
      <c r="A275" s="19"/>
      <c r="B275" s="55"/>
      <c r="C275" s="56"/>
      <c r="D275" s="56"/>
      <c r="E275" s="56"/>
      <c r="F275" s="19"/>
      <c r="G275" s="19"/>
      <c r="H275" s="19"/>
      <c r="I275" s="55"/>
      <c r="J275" s="11">
        <f t="shared" si="36"/>
        <v>202607</v>
      </c>
      <c r="K275" s="19" t="str">
        <f t="shared" si="37"/>
        <v>يوليو 2026</v>
      </c>
      <c r="L275" s="19" t="str">
        <f t="shared" si="38"/>
        <v/>
      </c>
      <c r="N275" s="11">
        <f t="shared" si="39"/>
        <v>202607</v>
      </c>
      <c r="O275" s="19" t="str">
        <f t="shared" si="40"/>
        <v>يوليو 2026</v>
      </c>
      <c r="P275" s="19">
        <f t="shared" si="41"/>
        <v>0</v>
      </c>
      <c r="Q275" s="55">
        <f t="shared" si="42"/>
        <v>0</v>
      </c>
      <c r="R275" s="55">
        <f t="shared" si="43"/>
        <v>0</v>
      </c>
      <c r="S275" s="19">
        <f t="shared" si="44"/>
        <v>0</v>
      </c>
    </row>
    <row r="276" spans="1:19" ht="25.5" customHeight="1">
      <c r="A276" s="19"/>
      <c r="B276" s="55"/>
      <c r="C276" s="56"/>
      <c r="D276" s="56"/>
      <c r="E276" s="56"/>
      <c r="F276" s="19"/>
      <c r="G276" s="19"/>
      <c r="H276" s="19"/>
      <c r="I276" s="55"/>
      <c r="J276" s="11">
        <f t="shared" si="36"/>
        <v>202607</v>
      </c>
      <c r="K276" s="19" t="str">
        <f t="shared" si="37"/>
        <v>يوليو 2026</v>
      </c>
      <c r="L276" s="19" t="str">
        <f t="shared" si="38"/>
        <v/>
      </c>
      <c r="N276" s="11">
        <f t="shared" si="39"/>
        <v>202607</v>
      </c>
      <c r="O276" s="19" t="str">
        <f t="shared" si="40"/>
        <v>يوليو 2026</v>
      </c>
      <c r="P276" s="19">
        <f t="shared" si="41"/>
        <v>0</v>
      </c>
      <c r="Q276" s="55">
        <f t="shared" si="42"/>
        <v>0</v>
      </c>
      <c r="R276" s="55">
        <f t="shared" si="43"/>
        <v>0</v>
      </c>
      <c r="S276" s="19">
        <f t="shared" si="44"/>
        <v>0</v>
      </c>
    </row>
    <row r="277" spans="1:19" ht="25.5" customHeight="1">
      <c r="A277" s="19"/>
      <c r="B277" s="55"/>
      <c r="C277" s="56"/>
      <c r="D277" s="56"/>
      <c r="E277" s="56"/>
      <c r="F277" s="19"/>
      <c r="G277" s="19"/>
      <c r="H277" s="19"/>
      <c r="I277" s="55"/>
      <c r="J277" s="11">
        <f t="shared" si="36"/>
        <v>202607</v>
      </c>
      <c r="K277" s="19" t="str">
        <f t="shared" si="37"/>
        <v>يوليو 2026</v>
      </c>
      <c r="L277" s="19" t="str">
        <f t="shared" si="38"/>
        <v/>
      </c>
      <c r="N277" s="11">
        <f t="shared" si="39"/>
        <v>202607</v>
      </c>
      <c r="O277" s="19" t="str">
        <f t="shared" si="40"/>
        <v>يوليو 2026</v>
      </c>
      <c r="P277" s="19">
        <f t="shared" si="41"/>
        <v>0</v>
      </c>
      <c r="Q277" s="55">
        <f t="shared" si="42"/>
        <v>0</v>
      </c>
      <c r="R277" s="55">
        <f t="shared" si="43"/>
        <v>0</v>
      </c>
      <c r="S277" s="19">
        <f t="shared" si="44"/>
        <v>0</v>
      </c>
    </row>
    <row r="278" spans="1:19" ht="25.5" customHeight="1">
      <c r="A278" s="19"/>
      <c r="B278" s="55"/>
      <c r="C278" s="56"/>
      <c r="D278" s="56"/>
      <c r="E278" s="56"/>
      <c r="F278" s="19"/>
      <c r="G278" s="19"/>
      <c r="H278" s="19"/>
      <c r="I278" s="55"/>
      <c r="J278" s="11">
        <f t="shared" si="36"/>
        <v>202607</v>
      </c>
      <c r="K278" s="19" t="str">
        <f t="shared" si="37"/>
        <v>يوليو 2026</v>
      </c>
      <c r="L278" s="19" t="str">
        <f t="shared" si="38"/>
        <v/>
      </c>
      <c r="N278" s="11">
        <f t="shared" si="39"/>
        <v>202607</v>
      </c>
      <c r="O278" s="19" t="str">
        <f t="shared" si="40"/>
        <v>يوليو 2026</v>
      </c>
      <c r="P278" s="19">
        <f t="shared" si="41"/>
        <v>0</v>
      </c>
      <c r="Q278" s="55">
        <f t="shared" si="42"/>
        <v>0</v>
      </c>
      <c r="R278" s="55">
        <f t="shared" si="43"/>
        <v>0</v>
      </c>
      <c r="S278" s="19">
        <f t="shared" si="44"/>
        <v>0</v>
      </c>
    </row>
    <row r="279" spans="1:19" ht="25.5" customHeight="1">
      <c r="A279" s="19"/>
      <c r="B279" s="55"/>
      <c r="C279" s="56"/>
      <c r="D279" s="56"/>
      <c r="E279" s="56"/>
      <c r="F279" s="19"/>
      <c r="G279" s="19"/>
      <c r="H279" s="19"/>
      <c r="I279" s="55"/>
      <c r="J279" s="11">
        <f t="shared" si="36"/>
        <v>202607</v>
      </c>
      <c r="K279" s="19" t="str">
        <f t="shared" si="37"/>
        <v>يوليو 2026</v>
      </c>
      <c r="L279" s="19" t="str">
        <f t="shared" si="38"/>
        <v/>
      </c>
      <c r="N279" s="11">
        <f t="shared" si="39"/>
        <v>202607</v>
      </c>
      <c r="O279" s="19" t="str">
        <f t="shared" si="40"/>
        <v>يوليو 2026</v>
      </c>
      <c r="P279" s="19">
        <f t="shared" si="41"/>
        <v>0</v>
      </c>
      <c r="Q279" s="55">
        <f t="shared" si="42"/>
        <v>0</v>
      </c>
      <c r="R279" s="55">
        <f t="shared" si="43"/>
        <v>0</v>
      </c>
      <c r="S279" s="19">
        <f t="shared" si="44"/>
        <v>0</v>
      </c>
    </row>
    <row r="280" spans="1:19" ht="25.5" customHeight="1">
      <c r="A280" s="19"/>
      <c r="B280" s="55"/>
      <c r="C280" s="56"/>
      <c r="D280" s="56"/>
      <c r="E280" s="56"/>
      <c r="F280" s="19"/>
      <c r="G280" s="19"/>
      <c r="H280" s="19"/>
      <c r="I280" s="55"/>
      <c r="J280" s="11">
        <f t="shared" si="36"/>
        <v>202607</v>
      </c>
      <c r="K280" s="19" t="str">
        <f t="shared" si="37"/>
        <v>يوليو 2026</v>
      </c>
      <c r="L280" s="19" t="str">
        <f t="shared" si="38"/>
        <v/>
      </c>
      <c r="N280" s="11">
        <f t="shared" si="39"/>
        <v>202607</v>
      </c>
      <c r="O280" s="19" t="str">
        <f t="shared" si="40"/>
        <v>يوليو 2026</v>
      </c>
      <c r="P280" s="19">
        <f t="shared" si="41"/>
        <v>0</v>
      </c>
      <c r="Q280" s="55">
        <f t="shared" si="42"/>
        <v>0</v>
      </c>
      <c r="R280" s="55">
        <f t="shared" si="43"/>
        <v>0</v>
      </c>
      <c r="S280" s="19">
        <f t="shared" si="44"/>
        <v>0</v>
      </c>
    </row>
    <row r="281" spans="1:19" ht="25.5" customHeight="1">
      <c r="A281" s="19"/>
      <c r="B281" s="55"/>
      <c r="C281" s="56"/>
      <c r="D281" s="56"/>
      <c r="E281" s="56"/>
      <c r="F281" s="19"/>
      <c r="G281" s="19"/>
      <c r="H281" s="19"/>
      <c r="I281" s="55"/>
      <c r="J281" s="11">
        <f t="shared" si="36"/>
        <v>202607</v>
      </c>
      <c r="K281" s="19" t="str">
        <f t="shared" si="37"/>
        <v>يوليو 2026</v>
      </c>
      <c r="L281" s="19" t="str">
        <f t="shared" si="38"/>
        <v/>
      </c>
      <c r="N281" s="11">
        <f t="shared" si="39"/>
        <v>202607</v>
      </c>
      <c r="O281" s="19" t="str">
        <f t="shared" si="40"/>
        <v>يوليو 2026</v>
      </c>
      <c r="P281" s="19">
        <f t="shared" si="41"/>
        <v>0</v>
      </c>
      <c r="Q281" s="55">
        <f t="shared" si="42"/>
        <v>0</v>
      </c>
      <c r="R281" s="55">
        <f t="shared" si="43"/>
        <v>0</v>
      </c>
      <c r="S281" s="19">
        <f t="shared" si="44"/>
        <v>0</v>
      </c>
    </row>
    <row r="282" spans="1:19" ht="25.5" customHeight="1">
      <c r="A282" s="19"/>
      <c r="B282" s="55"/>
      <c r="C282" s="56"/>
      <c r="D282" s="56"/>
      <c r="E282" s="56"/>
      <c r="F282" s="19"/>
      <c r="G282" s="19"/>
      <c r="H282" s="19"/>
      <c r="I282" s="55"/>
      <c r="J282" s="11">
        <f t="shared" si="36"/>
        <v>202607</v>
      </c>
      <c r="K282" s="19" t="str">
        <f t="shared" si="37"/>
        <v>يوليو 2026</v>
      </c>
      <c r="L282" s="19" t="str">
        <f t="shared" si="38"/>
        <v/>
      </c>
      <c r="N282" s="11">
        <f t="shared" si="39"/>
        <v>202607</v>
      </c>
      <c r="O282" s="19" t="str">
        <f t="shared" si="40"/>
        <v>يوليو 2026</v>
      </c>
      <c r="P282" s="19">
        <f t="shared" si="41"/>
        <v>0</v>
      </c>
      <c r="Q282" s="55">
        <f t="shared" si="42"/>
        <v>0</v>
      </c>
      <c r="R282" s="55">
        <f t="shared" si="43"/>
        <v>0</v>
      </c>
      <c r="S282" s="19">
        <f t="shared" si="44"/>
        <v>0</v>
      </c>
    </row>
    <row r="283" spans="1:19" ht="25.5" customHeight="1">
      <c r="A283" s="19"/>
      <c r="B283" s="55"/>
      <c r="C283" s="56"/>
      <c r="D283" s="56"/>
      <c r="E283" s="56"/>
      <c r="F283" s="19"/>
      <c r="G283" s="19"/>
      <c r="H283" s="19"/>
      <c r="I283" s="55"/>
      <c r="J283" s="11">
        <f t="shared" si="36"/>
        <v>202607</v>
      </c>
      <c r="K283" s="19" t="str">
        <f t="shared" si="37"/>
        <v>يوليو 2026</v>
      </c>
      <c r="L283" s="19" t="str">
        <f t="shared" si="38"/>
        <v/>
      </c>
      <c r="N283" s="11">
        <f t="shared" si="39"/>
        <v>202607</v>
      </c>
      <c r="O283" s="19" t="str">
        <f t="shared" si="40"/>
        <v>يوليو 2026</v>
      </c>
      <c r="P283" s="19">
        <f t="shared" si="41"/>
        <v>0</v>
      </c>
      <c r="Q283" s="55">
        <f t="shared" si="42"/>
        <v>0</v>
      </c>
      <c r="R283" s="55">
        <f t="shared" si="43"/>
        <v>0</v>
      </c>
      <c r="S283" s="19">
        <f t="shared" si="44"/>
        <v>0</v>
      </c>
    </row>
    <row r="284" spans="1:19" ht="25.5" customHeight="1">
      <c r="A284" s="19"/>
      <c r="B284" s="55"/>
      <c r="C284" s="56"/>
      <c r="D284" s="56"/>
      <c r="E284" s="56"/>
      <c r="F284" s="19"/>
      <c r="G284" s="19"/>
      <c r="H284" s="19"/>
      <c r="I284" s="55"/>
      <c r="J284" s="11">
        <f t="shared" si="36"/>
        <v>202607</v>
      </c>
      <c r="K284" s="19" t="str">
        <f t="shared" si="37"/>
        <v>يوليو 2026</v>
      </c>
      <c r="L284" s="19" t="str">
        <f t="shared" si="38"/>
        <v/>
      </c>
      <c r="N284" s="11">
        <f t="shared" si="39"/>
        <v>202607</v>
      </c>
      <c r="O284" s="19" t="str">
        <f t="shared" si="40"/>
        <v>يوليو 2026</v>
      </c>
      <c r="P284" s="19">
        <f t="shared" si="41"/>
        <v>0</v>
      </c>
      <c r="Q284" s="55">
        <f t="shared" si="42"/>
        <v>0</v>
      </c>
      <c r="R284" s="55">
        <f t="shared" si="43"/>
        <v>0</v>
      </c>
      <c r="S284" s="19">
        <f t="shared" si="44"/>
        <v>0</v>
      </c>
    </row>
    <row r="285" spans="1:19" ht="25.5" customHeight="1">
      <c r="A285" s="19"/>
      <c r="B285" s="55"/>
      <c r="C285" s="56"/>
      <c r="D285" s="56"/>
      <c r="E285" s="56"/>
      <c r="F285" s="19"/>
      <c r="G285" s="19"/>
      <c r="H285" s="19"/>
      <c r="I285" s="55"/>
      <c r="J285" s="11">
        <f t="shared" si="36"/>
        <v>202607</v>
      </c>
      <c r="K285" s="19" t="str">
        <f t="shared" si="37"/>
        <v>يوليو 2026</v>
      </c>
      <c r="L285" s="19" t="str">
        <f t="shared" si="38"/>
        <v/>
      </c>
      <c r="N285" s="11">
        <f t="shared" si="39"/>
        <v>202607</v>
      </c>
      <c r="O285" s="19" t="str">
        <f t="shared" si="40"/>
        <v>يوليو 2026</v>
      </c>
      <c r="P285" s="19">
        <f t="shared" si="41"/>
        <v>0</v>
      </c>
      <c r="Q285" s="55">
        <f t="shared" si="42"/>
        <v>0</v>
      </c>
      <c r="R285" s="55">
        <f t="shared" si="43"/>
        <v>0</v>
      </c>
      <c r="S285" s="19">
        <f t="shared" si="44"/>
        <v>0</v>
      </c>
    </row>
    <row r="286" spans="1:19" ht="25.5" customHeight="1">
      <c r="A286" s="19"/>
      <c r="B286" s="55"/>
      <c r="C286" s="56"/>
      <c r="D286" s="56"/>
      <c r="E286" s="56"/>
      <c r="F286" s="19"/>
      <c r="G286" s="19"/>
      <c r="H286" s="19"/>
      <c r="I286" s="55"/>
      <c r="J286" s="11">
        <f t="shared" si="36"/>
        <v>202607</v>
      </c>
      <c r="K286" s="19" t="str">
        <f t="shared" si="37"/>
        <v>يوليو 2026</v>
      </c>
      <c r="L286" s="19" t="str">
        <f t="shared" si="38"/>
        <v/>
      </c>
      <c r="N286" s="11">
        <f t="shared" si="39"/>
        <v>202607</v>
      </c>
      <c r="O286" s="19" t="str">
        <f t="shared" si="40"/>
        <v>يوليو 2026</v>
      </c>
      <c r="P286" s="19">
        <f t="shared" si="41"/>
        <v>0</v>
      </c>
      <c r="Q286" s="55">
        <f t="shared" si="42"/>
        <v>0</v>
      </c>
      <c r="R286" s="55">
        <f t="shared" si="43"/>
        <v>0</v>
      </c>
      <c r="S286" s="19">
        <f t="shared" si="44"/>
        <v>0</v>
      </c>
    </row>
    <row r="287" spans="1:19" ht="25.5" customHeight="1">
      <c r="A287" s="19"/>
      <c r="B287" s="55"/>
      <c r="C287" s="56"/>
      <c r="D287" s="56"/>
      <c r="E287" s="56"/>
      <c r="F287" s="19"/>
      <c r="G287" s="19"/>
      <c r="H287" s="19"/>
      <c r="I287" s="55"/>
      <c r="J287" s="11">
        <f t="shared" si="36"/>
        <v>202607</v>
      </c>
      <c r="K287" s="19" t="str">
        <f t="shared" si="37"/>
        <v>يوليو 2026</v>
      </c>
      <c r="L287" s="19" t="str">
        <f t="shared" si="38"/>
        <v/>
      </c>
      <c r="N287" s="11">
        <f t="shared" si="39"/>
        <v>202607</v>
      </c>
      <c r="O287" s="19" t="str">
        <f t="shared" si="40"/>
        <v>يوليو 2026</v>
      </c>
      <c r="P287" s="19">
        <f t="shared" si="41"/>
        <v>0</v>
      </c>
      <c r="Q287" s="55">
        <f t="shared" si="42"/>
        <v>0</v>
      </c>
      <c r="R287" s="55">
        <f t="shared" si="43"/>
        <v>0</v>
      </c>
      <c r="S287" s="19">
        <f t="shared" si="44"/>
        <v>0</v>
      </c>
    </row>
    <row r="288" spans="1:19" ht="25.5" customHeight="1">
      <c r="A288" s="19"/>
      <c r="B288" s="55"/>
      <c r="C288" s="56"/>
      <c r="D288" s="56"/>
      <c r="E288" s="56"/>
      <c r="F288" s="19"/>
      <c r="G288" s="19"/>
      <c r="H288" s="19"/>
      <c r="I288" s="55"/>
      <c r="J288" s="11">
        <f t="shared" si="36"/>
        <v>202607</v>
      </c>
      <c r="K288" s="19" t="str">
        <f t="shared" si="37"/>
        <v>يوليو 2026</v>
      </c>
      <c r="L288" s="19" t="str">
        <f t="shared" si="38"/>
        <v/>
      </c>
      <c r="N288" s="11">
        <f t="shared" si="39"/>
        <v>202607</v>
      </c>
      <c r="O288" s="19" t="str">
        <f t="shared" si="40"/>
        <v>يوليو 2026</v>
      </c>
      <c r="P288" s="19">
        <f t="shared" si="41"/>
        <v>0</v>
      </c>
      <c r="Q288" s="55">
        <f t="shared" si="42"/>
        <v>0</v>
      </c>
      <c r="R288" s="55">
        <f t="shared" si="43"/>
        <v>0</v>
      </c>
      <c r="S288" s="19">
        <f t="shared" si="44"/>
        <v>0</v>
      </c>
    </row>
    <row r="289" spans="1:19" ht="25.5" customHeight="1">
      <c r="A289" s="19"/>
      <c r="B289" s="55"/>
      <c r="C289" s="56"/>
      <c r="D289" s="56"/>
      <c r="E289" s="56"/>
      <c r="F289" s="19"/>
      <c r="G289" s="19"/>
      <c r="H289" s="19"/>
      <c r="I289" s="55"/>
      <c r="J289" s="11">
        <f t="shared" si="36"/>
        <v>202607</v>
      </c>
      <c r="K289" s="19" t="str">
        <f t="shared" si="37"/>
        <v>يوليو 2026</v>
      </c>
      <c r="L289" s="19" t="str">
        <f t="shared" si="38"/>
        <v/>
      </c>
      <c r="N289" s="11">
        <f t="shared" si="39"/>
        <v>202607</v>
      </c>
      <c r="O289" s="19" t="str">
        <f t="shared" si="40"/>
        <v>يوليو 2026</v>
      </c>
      <c r="P289" s="19">
        <f t="shared" si="41"/>
        <v>0</v>
      </c>
      <c r="Q289" s="55">
        <f t="shared" si="42"/>
        <v>0</v>
      </c>
      <c r="R289" s="55">
        <f t="shared" si="43"/>
        <v>0</v>
      </c>
      <c r="S289" s="19">
        <f t="shared" si="44"/>
        <v>0</v>
      </c>
    </row>
    <row r="290" spans="1:19" ht="25.5" customHeight="1">
      <c r="A290" s="19"/>
      <c r="B290" s="55"/>
      <c r="C290" s="56"/>
      <c r="D290" s="56"/>
      <c r="E290" s="56"/>
      <c r="F290" s="19"/>
      <c r="G290" s="19"/>
      <c r="H290" s="19"/>
      <c r="I290" s="55"/>
      <c r="J290" s="11">
        <f t="shared" si="36"/>
        <v>202607</v>
      </c>
      <c r="K290" s="19" t="str">
        <f t="shared" si="37"/>
        <v>يوليو 2026</v>
      </c>
      <c r="L290" s="19" t="str">
        <f t="shared" si="38"/>
        <v/>
      </c>
      <c r="N290" s="11">
        <f t="shared" si="39"/>
        <v>202607</v>
      </c>
      <c r="O290" s="19" t="str">
        <f t="shared" si="40"/>
        <v>يوليو 2026</v>
      </c>
      <c r="P290" s="19">
        <f t="shared" si="41"/>
        <v>0</v>
      </c>
      <c r="Q290" s="55">
        <f t="shared" si="42"/>
        <v>0</v>
      </c>
      <c r="R290" s="55">
        <f t="shared" si="43"/>
        <v>0</v>
      </c>
      <c r="S290" s="19">
        <f t="shared" si="44"/>
        <v>0</v>
      </c>
    </row>
    <row r="291" spans="1:19" ht="25.5" customHeight="1">
      <c r="A291" s="19"/>
      <c r="B291" s="55"/>
      <c r="C291" s="56"/>
      <c r="D291" s="56"/>
      <c r="E291" s="56"/>
      <c r="F291" s="19"/>
      <c r="G291" s="19"/>
      <c r="H291" s="19"/>
      <c r="I291" s="55"/>
      <c r="J291" s="11">
        <f t="shared" si="36"/>
        <v>202607</v>
      </c>
      <c r="K291" s="19" t="str">
        <f t="shared" si="37"/>
        <v>يوليو 2026</v>
      </c>
      <c r="L291" s="19" t="str">
        <f t="shared" si="38"/>
        <v/>
      </c>
      <c r="N291" s="11">
        <f t="shared" si="39"/>
        <v>202607</v>
      </c>
      <c r="O291" s="19" t="str">
        <f t="shared" si="40"/>
        <v>يوليو 2026</v>
      </c>
      <c r="P291" s="19">
        <f t="shared" si="41"/>
        <v>0</v>
      </c>
      <c r="Q291" s="55">
        <f t="shared" si="42"/>
        <v>0</v>
      </c>
      <c r="R291" s="55">
        <f t="shared" si="43"/>
        <v>0</v>
      </c>
      <c r="S291" s="19">
        <f t="shared" si="44"/>
        <v>0</v>
      </c>
    </row>
    <row r="292" spans="1:19" ht="25.5" customHeight="1">
      <c r="A292" s="19"/>
      <c r="B292" s="55"/>
      <c r="C292" s="56"/>
      <c r="D292" s="56"/>
      <c r="E292" s="56"/>
      <c r="F292" s="19"/>
      <c r="G292" s="19"/>
      <c r="H292" s="19"/>
      <c r="I292" s="55"/>
      <c r="J292" s="11">
        <f t="shared" si="36"/>
        <v>202607</v>
      </c>
      <c r="K292" s="19" t="str">
        <f t="shared" si="37"/>
        <v>يوليو 2026</v>
      </c>
      <c r="L292" s="19" t="str">
        <f t="shared" si="38"/>
        <v/>
      </c>
      <c r="N292" s="11">
        <f t="shared" si="39"/>
        <v>202607</v>
      </c>
      <c r="O292" s="19" t="str">
        <f t="shared" si="40"/>
        <v>يوليو 2026</v>
      </c>
      <c r="P292" s="19">
        <f t="shared" si="41"/>
        <v>0</v>
      </c>
      <c r="Q292" s="55">
        <f t="shared" si="42"/>
        <v>0</v>
      </c>
      <c r="R292" s="55">
        <f t="shared" si="43"/>
        <v>0</v>
      </c>
      <c r="S292" s="19">
        <f t="shared" si="44"/>
        <v>0</v>
      </c>
    </row>
    <row r="293" spans="1:19" ht="25.5" customHeight="1">
      <c r="A293" s="19"/>
      <c r="B293" s="55"/>
      <c r="C293" s="56"/>
      <c r="D293" s="56"/>
      <c r="E293" s="56"/>
      <c r="F293" s="19"/>
      <c r="G293" s="19"/>
      <c r="H293" s="19"/>
      <c r="I293" s="55"/>
      <c r="J293" s="11">
        <f t="shared" si="36"/>
        <v>202607</v>
      </c>
      <c r="K293" s="19" t="str">
        <f t="shared" si="37"/>
        <v>يوليو 2026</v>
      </c>
      <c r="L293" s="19" t="str">
        <f t="shared" si="38"/>
        <v/>
      </c>
      <c r="N293" s="11">
        <f t="shared" si="39"/>
        <v>202607</v>
      </c>
      <c r="O293" s="19" t="str">
        <f t="shared" si="40"/>
        <v>يوليو 2026</v>
      </c>
      <c r="P293" s="19">
        <f t="shared" si="41"/>
        <v>0</v>
      </c>
      <c r="Q293" s="55">
        <f t="shared" si="42"/>
        <v>0</v>
      </c>
      <c r="R293" s="55">
        <f t="shared" si="43"/>
        <v>0</v>
      </c>
      <c r="S293" s="19">
        <f t="shared" si="44"/>
        <v>0</v>
      </c>
    </row>
    <row r="294" spans="1:19" ht="25.5" customHeight="1">
      <c r="A294" s="19"/>
      <c r="B294" s="55"/>
      <c r="C294" s="56"/>
      <c r="D294" s="56"/>
      <c r="E294" s="56"/>
      <c r="F294" s="19"/>
      <c r="G294" s="19"/>
      <c r="H294" s="19"/>
      <c r="I294" s="55"/>
      <c r="J294" s="11">
        <f t="shared" si="36"/>
        <v>202607</v>
      </c>
      <c r="K294" s="19" t="str">
        <f t="shared" si="37"/>
        <v>يوليو 2026</v>
      </c>
      <c r="L294" s="19" t="str">
        <f t="shared" si="38"/>
        <v/>
      </c>
      <c r="N294" s="11">
        <f t="shared" si="39"/>
        <v>202607</v>
      </c>
      <c r="O294" s="19" t="str">
        <f t="shared" si="40"/>
        <v>يوليو 2026</v>
      </c>
      <c r="P294" s="19">
        <f t="shared" si="41"/>
        <v>0</v>
      </c>
      <c r="Q294" s="55">
        <f t="shared" si="42"/>
        <v>0</v>
      </c>
      <c r="R294" s="55">
        <f t="shared" si="43"/>
        <v>0</v>
      </c>
      <c r="S294" s="19">
        <f t="shared" si="44"/>
        <v>0</v>
      </c>
    </row>
    <row r="295" spans="1:19" ht="25.5" customHeight="1">
      <c r="A295" s="19"/>
      <c r="B295" s="55"/>
      <c r="C295" s="56"/>
      <c r="D295" s="56"/>
      <c r="E295" s="56"/>
      <c r="F295" s="19"/>
      <c r="G295" s="19"/>
      <c r="H295" s="19"/>
      <c r="I295" s="55"/>
      <c r="J295" s="11">
        <f t="shared" si="36"/>
        <v>202607</v>
      </c>
      <c r="K295" s="19" t="str">
        <f t="shared" si="37"/>
        <v>يوليو 2026</v>
      </c>
      <c r="L295" s="19" t="str">
        <f t="shared" si="38"/>
        <v/>
      </c>
      <c r="N295" s="11">
        <f t="shared" si="39"/>
        <v>202607</v>
      </c>
      <c r="O295" s="19" t="str">
        <f t="shared" si="40"/>
        <v>يوليو 2026</v>
      </c>
      <c r="P295" s="19">
        <f t="shared" si="41"/>
        <v>0</v>
      </c>
      <c r="Q295" s="55">
        <f t="shared" si="42"/>
        <v>0</v>
      </c>
      <c r="R295" s="55">
        <f t="shared" si="43"/>
        <v>0</v>
      </c>
      <c r="S295" s="19">
        <f t="shared" si="44"/>
        <v>0</v>
      </c>
    </row>
    <row r="296" spans="1:19" ht="25.5" customHeight="1">
      <c r="A296" s="19"/>
      <c r="B296" s="55"/>
      <c r="C296" s="56"/>
      <c r="D296" s="56"/>
      <c r="E296" s="56"/>
      <c r="F296" s="19"/>
      <c r="G296" s="19"/>
      <c r="H296" s="19"/>
      <c r="I296" s="55"/>
      <c r="J296" s="11">
        <f t="shared" si="36"/>
        <v>202607</v>
      </c>
      <c r="K296" s="19" t="str">
        <f t="shared" si="37"/>
        <v>يوليو 2026</v>
      </c>
      <c r="L296" s="19" t="str">
        <f t="shared" si="38"/>
        <v/>
      </c>
      <c r="N296" s="11">
        <f t="shared" si="39"/>
        <v>202607</v>
      </c>
      <c r="O296" s="19" t="str">
        <f t="shared" si="40"/>
        <v>يوليو 2026</v>
      </c>
      <c r="P296" s="19">
        <f t="shared" si="41"/>
        <v>0</v>
      </c>
      <c r="Q296" s="55">
        <f t="shared" si="42"/>
        <v>0</v>
      </c>
      <c r="R296" s="55">
        <f t="shared" si="43"/>
        <v>0</v>
      </c>
      <c r="S296" s="19">
        <f t="shared" si="44"/>
        <v>0</v>
      </c>
    </row>
    <row r="297" spans="1:19" ht="25.5" customHeight="1">
      <c r="A297" s="19"/>
      <c r="B297" s="55"/>
      <c r="C297" s="56"/>
      <c r="D297" s="56"/>
      <c r="E297" s="56"/>
      <c r="F297" s="19"/>
      <c r="G297" s="19"/>
      <c r="H297" s="19"/>
      <c r="I297" s="55"/>
      <c r="J297" s="11">
        <f t="shared" si="36"/>
        <v>202607</v>
      </c>
      <c r="K297" s="19" t="str">
        <f t="shared" si="37"/>
        <v>يوليو 2026</v>
      </c>
      <c r="L297" s="19" t="str">
        <f t="shared" si="38"/>
        <v/>
      </c>
      <c r="N297" s="11">
        <f t="shared" si="39"/>
        <v>202607</v>
      </c>
      <c r="O297" s="19" t="str">
        <f t="shared" si="40"/>
        <v>يوليو 2026</v>
      </c>
      <c r="P297" s="19">
        <f t="shared" si="41"/>
        <v>0</v>
      </c>
      <c r="Q297" s="55">
        <f t="shared" si="42"/>
        <v>0</v>
      </c>
      <c r="R297" s="55">
        <f t="shared" si="43"/>
        <v>0</v>
      </c>
      <c r="S297" s="19">
        <f t="shared" si="44"/>
        <v>0</v>
      </c>
    </row>
    <row r="298" spans="1:19" ht="25.5" customHeight="1">
      <c r="A298" s="19"/>
      <c r="B298" s="55"/>
      <c r="C298" s="56"/>
      <c r="D298" s="56"/>
      <c r="E298" s="56"/>
      <c r="F298" s="19"/>
      <c r="G298" s="19"/>
      <c r="H298" s="19"/>
      <c r="I298" s="55"/>
      <c r="J298" s="11">
        <f t="shared" si="36"/>
        <v>202607</v>
      </c>
      <c r="K298" s="19" t="str">
        <f t="shared" si="37"/>
        <v>يوليو 2026</v>
      </c>
      <c r="L298" s="19" t="str">
        <f t="shared" si="38"/>
        <v/>
      </c>
      <c r="N298" s="11">
        <f t="shared" si="39"/>
        <v>202607</v>
      </c>
      <c r="O298" s="19" t="str">
        <f t="shared" si="40"/>
        <v>يوليو 2026</v>
      </c>
      <c r="P298" s="19">
        <f t="shared" si="41"/>
        <v>0</v>
      </c>
      <c r="Q298" s="55">
        <f t="shared" si="42"/>
        <v>0</v>
      </c>
      <c r="R298" s="55">
        <f t="shared" si="43"/>
        <v>0</v>
      </c>
      <c r="S298" s="19">
        <f t="shared" si="44"/>
        <v>0</v>
      </c>
    </row>
    <row r="299" spans="1:19" ht="25.5" customHeight="1">
      <c r="A299" s="19"/>
      <c r="B299" s="55"/>
      <c r="C299" s="56"/>
      <c r="D299" s="56"/>
      <c r="E299" s="56"/>
      <c r="F299" s="19"/>
      <c r="G299" s="19"/>
      <c r="H299" s="19"/>
      <c r="I299" s="55"/>
      <c r="J299" s="11">
        <f t="shared" si="36"/>
        <v>202607</v>
      </c>
      <c r="K299" s="19" t="str">
        <f t="shared" si="37"/>
        <v>يوليو 2026</v>
      </c>
      <c r="L299" s="19" t="str">
        <f t="shared" si="38"/>
        <v/>
      </c>
      <c r="N299" s="11">
        <f t="shared" si="39"/>
        <v>202607</v>
      </c>
      <c r="O299" s="19" t="str">
        <f t="shared" si="40"/>
        <v>يوليو 2026</v>
      </c>
      <c r="P299" s="19">
        <f t="shared" si="41"/>
        <v>0</v>
      </c>
      <c r="Q299" s="55">
        <f t="shared" si="42"/>
        <v>0</v>
      </c>
      <c r="R299" s="55">
        <f t="shared" si="43"/>
        <v>0</v>
      </c>
      <c r="S299" s="19">
        <f t="shared" si="44"/>
        <v>0</v>
      </c>
    </row>
    <row r="300" spans="1:19" ht="25.5" customHeight="1">
      <c r="A300" s="19"/>
      <c r="B300" s="55"/>
      <c r="C300" s="56"/>
      <c r="D300" s="56"/>
      <c r="E300" s="56"/>
      <c r="F300" s="19"/>
      <c r="G300" s="19"/>
      <c r="H300" s="19"/>
      <c r="I300" s="55"/>
      <c r="J300" s="11">
        <f t="shared" si="36"/>
        <v>202607</v>
      </c>
      <c r="K300" s="19" t="str">
        <f t="shared" si="37"/>
        <v>يوليو 2026</v>
      </c>
      <c r="L300" s="19" t="str">
        <f t="shared" si="38"/>
        <v/>
      </c>
      <c r="N300" s="11">
        <f t="shared" si="39"/>
        <v>202607</v>
      </c>
      <c r="O300" s="19" t="str">
        <f t="shared" si="40"/>
        <v>يوليو 2026</v>
      </c>
      <c r="P300" s="19">
        <f t="shared" si="41"/>
        <v>0</v>
      </c>
      <c r="Q300" s="55">
        <f t="shared" si="42"/>
        <v>0</v>
      </c>
      <c r="R300" s="55">
        <f t="shared" si="43"/>
        <v>0</v>
      </c>
      <c r="S300" s="19">
        <f t="shared" si="44"/>
        <v>0</v>
      </c>
    </row>
    <row r="301" spans="1:19" ht="25.5" customHeight="1">
      <c r="A301" s="19"/>
      <c r="B301" s="55"/>
      <c r="C301" s="56"/>
      <c r="D301" s="56"/>
      <c r="E301" s="56"/>
      <c r="F301" s="19"/>
      <c r="G301" s="19"/>
      <c r="H301" s="19"/>
      <c r="I301" s="55"/>
      <c r="J301" s="11">
        <f t="shared" si="36"/>
        <v>202607</v>
      </c>
      <c r="K301" s="19" t="str">
        <f t="shared" si="37"/>
        <v>يوليو 2026</v>
      </c>
      <c r="L301" s="19" t="str">
        <f t="shared" si="38"/>
        <v/>
      </c>
      <c r="N301" s="11">
        <f t="shared" si="39"/>
        <v>202607</v>
      </c>
      <c r="O301" s="19" t="str">
        <f t="shared" si="40"/>
        <v>يوليو 2026</v>
      </c>
      <c r="P301" s="19">
        <f t="shared" si="41"/>
        <v>0</v>
      </c>
      <c r="Q301" s="55">
        <f t="shared" si="42"/>
        <v>0</v>
      </c>
      <c r="R301" s="55">
        <f t="shared" si="43"/>
        <v>0</v>
      </c>
      <c r="S301" s="19">
        <f t="shared" si="44"/>
        <v>0</v>
      </c>
    </row>
    <row r="302" spans="1:19" ht="25.5" customHeight="1">
      <c r="A302" s="19"/>
      <c r="B302" s="55"/>
      <c r="C302" s="56"/>
      <c r="D302" s="56"/>
      <c r="E302" s="56"/>
      <c r="F302" s="19"/>
      <c r="G302" s="19"/>
      <c r="H302" s="19"/>
      <c r="I302" s="55"/>
      <c r="J302" s="11">
        <f t="shared" si="36"/>
        <v>202607</v>
      </c>
      <c r="K302" s="19" t="str">
        <f t="shared" si="37"/>
        <v>يوليو 2026</v>
      </c>
      <c r="L302" s="19" t="str">
        <f t="shared" si="38"/>
        <v/>
      </c>
      <c r="N302" s="11">
        <f t="shared" si="39"/>
        <v>202607</v>
      </c>
      <c r="O302" s="19" t="str">
        <f t="shared" si="40"/>
        <v>يوليو 2026</v>
      </c>
      <c r="P302" s="19">
        <f t="shared" si="41"/>
        <v>0</v>
      </c>
      <c r="Q302" s="55">
        <f t="shared" si="42"/>
        <v>0</v>
      </c>
      <c r="R302" s="55">
        <f t="shared" si="43"/>
        <v>0</v>
      </c>
      <c r="S302" s="19">
        <f t="shared" si="44"/>
        <v>0</v>
      </c>
    </row>
    <row r="303" spans="1:19" ht="25.5" customHeight="1">
      <c r="A303" s="19"/>
      <c r="B303" s="55"/>
      <c r="C303" s="56"/>
      <c r="D303" s="56"/>
      <c r="E303" s="56"/>
      <c r="F303" s="19"/>
      <c r="G303" s="19"/>
      <c r="H303" s="19"/>
      <c r="I303" s="55"/>
      <c r="J303" s="11">
        <f t="shared" si="36"/>
        <v>202607</v>
      </c>
      <c r="K303" s="19" t="str">
        <f t="shared" si="37"/>
        <v>يوليو 2026</v>
      </c>
      <c r="L303" s="19" t="str">
        <f t="shared" si="38"/>
        <v/>
      </c>
      <c r="N303" s="11">
        <f t="shared" si="39"/>
        <v>202607</v>
      </c>
      <c r="O303" s="19" t="str">
        <f t="shared" si="40"/>
        <v>يوليو 2026</v>
      </c>
      <c r="P303" s="19">
        <f t="shared" si="41"/>
        <v>0</v>
      </c>
      <c r="Q303" s="55">
        <f t="shared" si="42"/>
        <v>0</v>
      </c>
      <c r="R303" s="55">
        <f t="shared" si="43"/>
        <v>0</v>
      </c>
      <c r="S303" s="19">
        <f t="shared" si="44"/>
        <v>0</v>
      </c>
    </row>
    <row r="304" spans="1:19" ht="25.5" customHeight="1">
      <c r="A304" s="19"/>
      <c r="B304" s="55"/>
      <c r="C304" s="56"/>
      <c r="D304" s="56"/>
      <c r="E304" s="56"/>
      <c r="F304" s="19"/>
      <c r="G304" s="19"/>
      <c r="H304" s="19"/>
      <c r="I304" s="55"/>
      <c r="J304" s="11">
        <f t="shared" si="36"/>
        <v>202607</v>
      </c>
      <c r="K304" s="19" t="str">
        <f t="shared" si="37"/>
        <v>يوليو 2026</v>
      </c>
      <c r="L304" s="19" t="str">
        <f t="shared" si="38"/>
        <v/>
      </c>
      <c r="N304" s="11">
        <f t="shared" si="39"/>
        <v>202607</v>
      </c>
      <c r="O304" s="19" t="str">
        <f t="shared" si="40"/>
        <v>يوليو 2026</v>
      </c>
      <c r="P304" s="19">
        <f t="shared" si="41"/>
        <v>0</v>
      </c>
      <c r="Q304" s="55">
        <f t="shared" si="42"/>
        <v>0</v>
      </c>
      <c r="R304" s="55">
        <f t="shared" si="43"/>
        <v>0</v>
      </c>
      <c r="S304" s="19">
        <f t="shared" si="44"/>
        <v>0</v>
      </c>
    </row>
    <row r="305" spans="1:19" ht="25.5" customHeight="1">
      <c r="A305" s="19"/>
      <c r="B305" s="55"/>
      <c r="C305" s="56"/>
      <c r="D305" s="56"/>
      <c r="E305" s="56"/>
      <c r="F305" s="19"/>
      <c r="G305" s="19"/>
      <c r="H305" s="19"/>
      <c r="I305" s="55"/>
      <c r="J305" s="11">
        <f t="shared" si="36"/>
        <v>202607</v>
      </c>
      <c r="K305" s="19" t="str">
        <f t="shared" si="37"/>
        <v>يوليو 2026</v>
      </c>
      <c r="L305" s="19" t="str">
        <f t="shared" si="38"/>
        <v/>
      </c>
      <c r="N305" s="11">
        <f t="shared" si="39"/>
        <v>202607</v>
      </c>
      <c r="O305" s="19" t="str">
        <f t="shared" si="40"/>
        <v>يوليو 2026</v>
      </c>
      <c r="P305" s="19">
        <f t="shared" si="41"/>
        <v>0</v>
      </c>
      <c r="Q305" s="55">
        <f t="shared" si="42"/>
        <v>0</v>
      </c>
      <c r="R305" s="55">
        <f t="shared" si="43"/>
        <v>0</v>
      </c>
      <c r="S305" s="19">
        <f t="shared" si="44"/>
        <v>0</v>
      </c>
    </row>
    <row r="306" spans="1:19" ht="25.5" customHeight="1">
      <c r="A306" s="19"/>
      <c r="B306" s="55"/>
      <c r="C306" s="56"/>
      <c r="D306" s="56"/>
      <c r="E306" s="56"/>
      <c r="F306" s="19"/>
      <c r="G306" s="19"/>
      <c r="H306" s="19"/>
      <c r="I306" s="55"/>
      <c r="J306" s="11">
        <f t="shared" si="36"/>
        <v>202607</v>
      </c>
      <c r="K306" s="19" t="str">
        <f t="shared" si="37"/>
        <v>يوليو 2026</v>
      </c>
      <c r="L306" s="19" t="str">
        <f t="shared" si="38"/>
        <v/>
      </c>
      <c r="N306" s="11">
        <f t="shared" si="39"/>
        <v>202607</v>
      </c>
      <c r="O306" s="19" t="str">
        <f t="shared" si="40"/>
        <v>يوليو 2026</v>
      </c>
      <c r="P306" s="19">
        <f t="shared" si="41"/>
        <v>0</v>
      </c>
      <c r="Q306" s="55">
        <f t="shared" si="42"/>
        <v>0</v>
      </c>
      <c r="R306" s="55">
        <f t="shared" si="43"/>
        <v>0</v>
      </c>
      <c r="S306" s="19">
        <f t="shared" si="44"/>
        <v>0</v>
      </c>
    </row>
    <row r="307" spans="1:19" ht="25.5" customHeight="1">
      <c r="A307" s="19"/>
      <c r="B307" s="55"/>
      <c r="C307" s="56"/>
      <c r="D307" s="56"/>
      <c r="E307" s="56"/>
      <c r="F307" s="19"/>
      <c r="G307" s="19"/>
      <c r="H307" s="19"/>
      <c r="I307" s="55"/>
      <c r="J307" s="11">
        <f t="shared" si="36"/>
        <v>202607</v>
      </c>
      <c r="K307" s="19" t="str">
        <f t="shared" si="37"/>
        <v>يوليو 2026</v>
      </c>
      <c r="L307" s="19" t="str">
        <f t="shared" si="38"/>
        <v/>
      </c>
      <c r="N307" s="11">
        <f t="shared" si="39"/>
        <v>202607</v>
      </c>
      <c r="O307" s="19" t="str">
        <f t="shared" si="40"/>
        <v>يوليو 2026</v>
      </c>
      <c r="P307" s="19">
        <f t="shared" si="41"/>
        <v>0</v>
      </c>
      <c r="Q307" s="55">
        <f t="shared" si="42"/>
        <v>0</v>
      </c>
      <c r="R307" s="55">
        <f t="shared" si="43"/>
        <v>0</v>
      </c>
      <c r="S307" s="19">
        <f t="shared" si="44"/>
        <v>0</v>
      </c>
    </row>
    <row r="308" spans="1:19" ht="25.5" customHeight="1">
      <c r="A308" s="19"/>
      <c r="B308" s="55"/>
      <c r="C308" s="56"/>
      <c r="D308" s="56"/>
      <c r="E308" s="56"/>
      <c r="F308" s="19"/>
      <c r="G308" s="19"/>
      <c r="H308" s="19"/>
      <c r="I308" s="55"/>
      <c r="J308" s="11">
        <f t="shared" si="36"/>
        <v>202607</v>
      </c>
      <c r="K308" s="19" t="str">
        <f t="shared" si="37"/>
        <v>يوليو 2026</v>
      </c>
      <c r="L308" s="19" t="str">
        <f t="shared" si="38"/>
        <v/>
      </c>
      <c r="N308" s="11">
        <f t="shared" si="39"/>
        <v>202607</v>
      </c>
      <c r="O308" s="19" t="str">
        <f t="shared" si="40"/>
        <v>يوليو 2026</v>
      </c>
      <c r="P308" s="19">
        <f t="shared" si="41"/>
        <v>0</v>
      </c>
      <c r="Q308" s="55">
        <f t="shared" si="42"/>
        <v>0</v>
      </c>
      <c r="R308" s="55">
        <f t="shared" si="43"/>
        <v>0</v>
      </c>
      <c r="S308" s="19">
        <f t="shared" si="44"/>
        <v>0</v>
      </c>
    </row>
    <row r="309" spans="1:19" ht="25.5" customHeight="1">
      <c r="A309" s="19"/>
      <c r="B309" s="55"/>
      <c r="C309" s="56"/>
      <c r="D309" s="56"/>
      <c r="E309" s="56"/>
      <c r="F309" s="19"/>
      <c r="G309" s="19"/>
      <c r="H309" s="19"/>
      <c r="I309" s="55"/>
      <c r="J309" s="11">
        <f t="shared" si="36"/>
        <v>202607</v>
      </c>
      <c r="K309" s="19" t="str">
        <f t="shared" si="37"/>
        <v>يوليو 2026</v>
      </c>
      <c r="L309" s="19" t="str">
        <f t="shared" si="38"/>
        <v/>
      </c>
      <c r="N309" s="11">
        <f t="shared" si="39"/>
        <v>202607</v>
      </c>
      <c r="O309" s="19" t="str">
        <f t="shared" si="40"/>
        <v>يوليو 2026</v>
      </c>
      <c r="P309" s="19">
        <f t="shared" si="41"/>
        <v>0</v>
      </c>
      <c r="Q309" s="55">
        <f t="shared" si="42"/>
        <v>0</v>
      </c>
      <c r="R309" s="55">
        <f t="shared" si="43"/>
        <v>0</v>
      </c>
      <c r="S309" s="19">
        <f t="shared" si="44"/>
        <v>0</v>
      </c>
    </row>
    <row r="310" spans="1:19" ht="25.5" customHeight="1">
      <c r="A310" s="19"/>
      <c r="B310" s="55"/>
      <c r="C310" s="56"/>
      <c r="D310" s="56"/>
      <c r="E310" s="56"/>
      <c r="F310" s="19"/>
      <c r="G310" s="19"/>
      <c r="H310" s="19"/>
      <c r="I310" s="55"/>
      <c r="J310" s="11">
        <f t="shared" si="36"/>
        <v>202607</v>
      </c>
      <c r="K310" s="19" t="str">
        <f t="shared" si="37"/>
        <v>يوليو 2026</v>
      </c>
      <c r="L310" s="19" t="str">
        <f t="shared" si="38"/>
        <v/>
      </c>
      <c r="N310" s="11">
        <f t="shared" si="39"/>
        <v>202607</v>
      </c>
      <c r="O310" s="19" t="str">
        <f t="shared" si="40"/>
        <v>يوليو 2026</v>
      </c>
      <c r="P310" s="19">
        <f t="shared" si="41"/>
        <v>0</v>
      </c>
      <c r="Q310" s="55">
        <f t="shared" si="42"/>
        <v>0</v>
      </c>
      <c r="R310" s="55">
        <f t="shared" si="43"/>
        <v>0</v>
      </c>
      <c r="S310" s="19">
        <f t="shared" si="44"/>
        <v>0</v>
      </c>
    </row>
    <row r="311" spans="1:19" ht="25.5" customHeight="1">
      <c r="A311" s="19"/>
      <c r="B311" s="55"/>
      <c r="C311" s="56"/>
      <c r="D311" s="56"/>
      <c r="E311" s="56"/>
      <c r="F311" s="19"/>
      <c r="G311" s="19"/>
      <c r="H311" s="19"/>
      <c r="I311" s="55"/>
      <c r="J311" s="11">
        <f t="shared" si="36"/>
        <v>202607</v>
      </c>
      <c r="K311" s="19" t="str">
        <f t="shared" si="37"/>
        <v>يوليو 2026</v>
      </c>
      <c r="L311" s="19" t="str">
        <f t="shared" si="38"/>
        <v/>
      </c>
      <c r="N311" s="11">
        <f t="shared" si="39"/>
        <v>202607</v>
      </c>
      <c r="O311" s="19" t="str">
        <f t="shared" si="40"/>
        <v>يوليو 2026</v>
      </c>
      <c r="P311" s="19">
        <f t="shared" si="41"/>
        <v>0</v>
      </c>
      <c r="Q311" s="55">
        <f t="shared" si="42"/>
        <v>0</v>
      </c>
      <c r="R311" s="55">
        <f t="shared" si="43"/>
        <v>0</v>
      </c>
      <c r="S311" s="19">
        <f t="shared" si="44"/>
        <v>0</v>
      </c>
    </row>
    <row r="312" spans="1:19" ht="25.5" customHeight="1">
      <c r="A312" s="19"/>
      <c r="B312" s="55"/>
      <c r="C312" s="56"/>
      <c r="D312" s="56"/>
      <c r="E312" s="56"/>
      <c r="F312" s="19"/>
      <c r="G312" s="19"/>
      <c r="H312" s="19"/>
      <c r="I312" s="55"/>
      <c r="J312" s="11">
        <f t="shared" si="36"/>
        <v>202607</v>
      </c>
      <c r="K312" s="19" t="str">
        <f t="shared" si="37"/>
        <v>يوليو 2026</v>
      </c>
      <c r="L312" s="19" t="str">
        <f t="shared" si="38"/>
        <v/>
      </c>
      <c r="N312" s="11">
        <f t="shared" si="39"/>
        <v>202607</v>
      </c>
      <c r="O312" s="19" t="str">
        <f t="shared" si="40"/>
        <v>يوليو 2026</v>
      </c>
      <c r="P312" s="19">
        <f t="shared" si="41"/>
        <v>0</v>
      </c>
      <c r="Q312" s="55">
        <f t="shared" si="42"/>
        <v>0</v>
      </c>
      <c r="R312" s="55">
        <f t="shared" si="43"/>
        <v>0</v>
      </c>
      <c r="S312" s="19">
        <f t="shared" si="44"/>
        <v>0</v>
      </c>
    </row>
    <row r="313" spans="1:19" ht="25.5" customHeight="1">
      <c r="A313" s="19"/>
      <c r="B313" s="55"/>
      <c r="C313" s="56"/>
      <c r="D313" s="56"/>
      <c r="E313" s="56"/>
      <c r="F313" s="19"/>
      <c r="G313" s="19"/>
      <c r="H313" s="19"/>
      <c r="I313" s="55"/>
      <c r="J313" s="11">
        <f t="shared" si="36"/>
        <v>202607</v>
      </c>
      <c r="K313" s="19" t="str">
        <f t="shared" si="37"/>
        <v>يوليو 2026</v>
      </c>
      <c r="L313" s="19" t="str">
        <f t="shared" si="38"/>
        <v/>
      </c>
      <c r="N313" s="11">
        <f t="shared" si="39"/>
        <v>202607</v>
      </c>
      <c r="O313" s="19" t="str">
        <f t="shared" si="40"/>
        <v>يوليو 2026</v>
      </c>
      <c r="P313" s="19">
        <f t="shared" si="41"/>
        <v>0</v>
      </c>
      <c r="Q313" s="55">
        <f t="shared" si="42"/>
        <v>0</v>
      </c>
      <c r="R313" s="55">
        <f t="shared" si="43"/>
        <v>0</v>
      </c>
      <c r="S313" s="19">
        <f t="shared" si="44"/>
        <v>0</v>
      </c>
    </row>
    <row r="314" spans="1:19" ht="25.5" customHeight="1">
      <c r="A314" s="19"/>
      <c r="B314" s="55"/>
      <c r="C314" s="56"/>
      <c r="D314" s="56"/>
      <c r="E314" s="56"/>
      <c r="F314" s="19"/>
      <c r="G314" s="19"/>
      <c r="H314" s="19"/>
      <c r="I314" s="55"/>
      <c r="J314" s="11">
        <f t="shared" si="36"/>
        <v>202607</v>
      </c>
      <c r="K314" s="19" t="str">
        <f t="shared" si="37"/>
        <v>يوليو 2026</v>
      </c>
      <c r="L314" s="19" t="str">
        <f t="shared" si="38"/>
        <v/>
      </c>
      <c r="N314" s="11">
        <f t="shared" si="39"/>
        <v>202607</v>
      </c>
      <c r="O314" s="19" t="str">
        <f t="shared" si="40"/>
        <v>يوليو 2026</v>
      </c>
      <c r="P314" s="19">
        <f t="shared" si="41"/>
        <v>0</v>
      </c>
      <c r="Q314" s="55">
        <f t="shared" si="42"/>
        <v>0</v>
      </c>
      <c r="R314" s="55">
        <f t="shared" si="43"/>
        <v>0</v>
      </c>
      <c r="S314" s="19">
        <f t="shared" si="44"/>
        <v>0</v>
      </c>
    </row>
    <row r="315" spans="1:19" ht="25.5" customHeight="1">
      <c r="A315" s="19"/>
      <c r="B315" s="55"/>
      <c r="C315" s="56"/>
      <c r="D315" s="56"/>
      <c r="E315" s="56"/>
      <c r="F315" s="19"/>
      <c r="G315" s="19"/>
      <c r="H315" s="19"/>
      <c r="I315" s="55"/>
      <c r="J315" s="11">
        <f t="shared" si="36"/>
        <v>202607</v>
      </c>
      <c r="K315" s="19" t="str">
        <f t="shared" si="37"/>
        <v>يوليو 2026</v>
      </c>
      <c r="L315" s="19" t="str">
        <f t="shared" si="38"/>
        <v/>
      </c>
      <c r="N315" s="11">
        <f t="shared" si="39"/>
        <v>202607</v>
      </c>
      <c r="O315" s="19" t="str">
        <f t="shared" si="40"/>
        <v>يوليو 2026</v>
      </c>
      <c r="P315" s="19">
        <f t="shared" si="41"/>
        <v>0</v>
      </c>
      <c r="Q315" s="55">
        <f t="shared" si="42"/>
        <v>0</v>
      </c>
      <c r="R315" s="55">
        <f t="shared" si="43"/>
        <v>0</v>
      </c>
      <c r="S315" s="19">
        <f t="shared" si="44"/>
        <v>0</v>
      </c>
    </row>
    <row r="316" spans="1:19" ht="25.5" customHeight="1">
      <c r="A316" s="19"/>
      <c r="B316" s="55"/>
      <c r="C316" s="56"/>
      <c r="D316" s="56"/>
      <c r="E316" s="56"/>
      <c r="F316" s="19"/>
      <c r="G316" s="19"/>
      <c r="H316" s="19"/>
      <c r="I316" s="55"/>
      <c r="J316" s="11">
        <f t="shared" si="36"/>
        <v>202607</v>
      </c>
      <c r="K316" s="19" t="str">
        <f t="shared" si="37"/>
        <v>يوليو 2026</v>
      </c>
      <c r="L316" s="19" t="str">
        <f t="shared" si="38"/>
        <v/>
      </c>
      <c r="N316" s="11">
        <f t="shared" si="39"/>
        <v>202607</v>
      </c>
      <c r="O316" s="19" t="str">
        <f t="shared" si="40"/>
        <v>يوليو 2026</v>
      </c>
      <c r="P316" s="19">
        <f t="shared" si="41"/>
        <v>0</v>
      </c>
      <c r="Q316" s="55">
        <f t="shared" si="42"/>
        <v>0</v>
      </c>
      <c r="R316" s="55">
        <f t="shared" si="43"/>
        <v>0</v>
      </c>
      <c r="S316" s="19">
        <f t="shared" si="44"/>
        <v>0</v>
      </c>
    </row>
    <row r="317" spans="1:19" ht="25.5" customHeight="1">
      <c r="A317" s="19"/>
      <c r="B317" s="55"/>
      <c r="C317" s="56"/>
      <c r="D317" s="56"/>
      <c r="E317" s="56"/>
      <c r="F317" s="19"/>
      <c r="G317" s="19"/>
      <c r="H317" s="19"/>
      <c r="I317" s="55"/>
      <c r="J317" s="11">
        <f t="shared" si="36"/>
        <v>202607</v>
      </c>
      <c r="K317" s="19" t="str">
        <f t="shared" si="37"/>
        <v>يوليو 2026</v>
      </c>
      <c r="L317" s="19" t="str">
        <f t="shared" si="38"/>
        <v/>
      </c>
      <c r="N317" s="11">
        <f t="shared" si="39"/>
        <v>202607</v>
      </c>
      <c r="O317" s="19" t="str">
        <f t="shared" si="40"/>
        <v>يوليو 2026</v>
      </c>
      <c r="P317" s="19">
        <f t="shared" si="41"/>
        <v>0</v>
      </c>
      <c r="Q317" s="55">
        <f t="shared" si="42"/>
        <v>0</v>
      </c>
      <c r="R317" s="55">
        <f t="shared" si="43"/>
        <v>0</v>
      </c>
      <c r="S317" s="19">
        <f t="shared" si="44"/>
        <v>0</v>
      </c>
    </row>
    <row r="318" spans="1:19" ht="25.5" customHeight="1">
      <c r="A318" s="19"/>
      <c r="B318" s="55"/>
      <c r="C318" s="56"/>
      <c r="D318" s="56"/>
      <c r="E318" s="56"/>
      <c r="F318" s="19"/>
      <c r="G318" s="19"/>
      <c r="H318" s="19"/>
      <c r="I318" s="55"/>
      <c r="J318" s="11">
        <f t="shared" si="36"/>
        <v>202607</v>
      </c>
      <c r="K318" s="19" t="str">
        <f t="shared" si="37"/>
        <v>يوليو 2026</v>
      </c>
      <c r="L318" s="19" t="str">
        <f t="shared" si="38"/>
        <v/>
      </c>
      <c r="N318" s="11">
        <f t="shared" si="39"/>
        <v>202607</v>
      </c>
      <c r="O318" s="19" t="str">
        <f t="shared" si="40"/>
        <v>يوليو 2026</v>
      </c>
      <c r="P318" s="19">
        <f t="shared" si="41"/>
        <v>0</v>
      </c>
      <c r="Q318" s="55">
        <f t="shared" si="42"/>
        <v>0</v>
      </c>
      <c r="R318" s="55">
        <f t="shared" si="43"/>
        <v>0</v>
      </c>
      <c r="S318" s="19">
        <f t="shared" si="44"/>
        <v>0</v>
      </c>
    </row>
    <row r="319" spans="1:19" ht="25.5" customHeight="1">
      <c r="A319" s="19"/>
      <c r="B319" s="55"/>
      <c r="C319" s="56"/>
      <c r="D319" s="56"/>
      <c r="E319" s="56"/>
      <c r="F319" s="19"/>
      <c r="G319" s="19"/>
      <c r="H319" s="19"/>
      <c r="I319" s="55"/>
      <c r="J319" s="11">
        <f t="shared" si="36"/>
        <v>202607</v>
      </c>
      <c r="K319" s="19" t="str">
        <f t="shared" si="37"/>
        <v>يوليو 2026</v>
      </c>
      <c r="L319" s="19" t="str">
        <f t="shared" si="38"/>
        <v/>
      </c>
      <c r="N319" s="11">
        <f t="shared" si="39"/>
        <v>202607</v>
      </c>
      <c r="O319" s="19" t="str">
        <f t="shared" si="40"/>
        <v>يوليو 2026</v>
      </c>
      <c r="P319" s="19">
        <f t="shared" si="41"/>
        <v>0</v>
      </c>
      <c r="Q319" s="55">
        <f t="shared" si="42"/>
        <v>0</v>
      </c>
      <c r="R319" s="55">
        <f t="shared" si="43"/>
        <v>0</v>
      </c>
      <c r="S319" s="19">
        <f t="shared" si="44"/>
        <v>0</v>
      </c>
    </row>
    <row r="320" spans="1:19" ht="25.5" customHeight="1">
      <c r="A320" s="19"/>
      <c r="B320" s="55"/>
      <c r="C320" s="56"/>
      <c r="D320" s="56"/>
      <c r="E320" s="56"/>
      <c r="F320" s="19"/>
      <c r="G320" s="19"/>
      <c r="H320" s="19"/>
      <c r="I320" s="55"/>
      <c r="J320" s="11">
        <f t="shared" si="36"/>
        <v>202607</v>
      </c>
      <c r="K320" s="19" t="str">
        <f t="shared" si="37"/>
        <v>يوليو 2026</v>
      </c>
      <c r="L320" s="19" t="str">
        <f t="shared" si="38"/>
        <v/>
      </c>
      <c r="N320" s="11">
        <f t="shared" si="39"/>
        <v>202607</v>
      </c>
      <c r="O320" s="19" t="str">
        <f t="shared" si="40"/>
        <v>يوليو 2026</v>
      </c>
      <c r="P320" s="19">
        <f t="shared" si="41"/>
        <v>0</v>
      </c>
      <c r="Q320" s="55">
        <f t="shared" si="42"/>
        <v>0</v>
      </c>
      <c r="R320" s="55">
        <f t="shared" si="43"/>
        <v>0</v>
      </c>
      <c r="S320" s="19">
        <f t="shared" si="44"/>
        <v>0</v>
      </c>
    </row>
    <row r="321" spans="1:19" ht="25.5" customHeight="1">
      <c r="A321" s="19"/>
      <c r="B321" s="55"/>
      <c r="C321" s="56"/>
      <c r="D321" s="56"/>
      <c r="E321" s="56"/>
      <c r="F321" s="19"/>
      <c r="G321" s="19"/>
      <c r="H321" s="19"/>
      <c r="I321" s="55"/>
      <c r="J321" s="11">
        <f t="shared" si="36"/>
        <v>202607</v>
      </c>
      <c r="K321" s="19" t="str">
        <f t="shared" si="37"/>
        <v>يوليو 2026</v>
      </c>
      <c r="L321" s="19" t="str">
        <f t="shared" si="38"/>
        <v/>
      </c>
      <c r="N321" s="11">
        <f t="shared" si="39"/>
        <v>202607</v>
      </c>
      <c r="O321" s="19" t="str">
        <f t="shared" si="40"/>
        <v>يوليو 2026</v>
      </c>
      <c r="P321" s="19">
        <f t="shared" si="41"/>
        <v>0</v>
      </c>
      <c r="Q321" s="55">
        <f t="shared" si="42"/>
        <v>0</v>
      </c>
      <c r="R321" s="55">
        <f t="shared" si="43"/>
        <v>0</v>
      </c>
      <c r="S321" s="19">
        <f t="shared" si="44"/>
        <v>0</v>
      </c>
    </row>
    <row r="322" spans="1:19" ht="25.5" customHeight="1">
      <c r="A322" s="19"/>
      <c r="B322" s="55"/>
      <c r="C322" s="56"/>
      <c r="D322" s="56"/>
      <c r="E322" s="56"/>
      <c r="F322" s="19"/>
      <c r="G322" s="19"/>
      <c r="H322" s="19"/>
      <c r="I322" s="55"/>
      <c r="J322" s="11">
        <f t="shared" si="36"/>
        <v>202607</v>
      </c>
      <c r="K322" s="19" t="str">
        <f t="shared" si="37"/>
        <v>يوليو 2026</v>
      </c>
      <c r="L322" s="19" t="str">
        <f t="shared" si="38"/>
        <v/>
      </c>
      <c r="N322" s="11">
        <f t="shared" si="39"/>
        <v>202607</v>
      </c>
      <c r="O322" s="19" t="str">
        <f t="shared" si="40"/>
        <v>يوليو 2026</v>
      </c>
      <c r="P322" s="19">
        <f t="shared" si="41"/>
        <v>0</v>
      </c>
      <c r="Q322" s="55">
        <f t="shared" si="42"/>
        <v>0</v>
      </c>
      <c r="R322" s="55">
        <f t="shared" si="43"/>
        <v>0</v>
      </c>
      <c r="S322" s="19">
        <f t="shared" si="44"/>
        <v>0</v>
      </c>
    </row>
    <row r="323" spans="1:19" ht="25.5" customHeight="1">
      <c r="A323" s="19"/>
      <c r="B323" s="55"/>
      <c r="C323" s="56"/>
      <c r="D323" s="56"/>
      <c r="E323" s="56"/>
      <c r="F323" s="19"/>
      <c r="G323" s="19"/>
      <c r="H323" s="19"/>
      <c r="I323" s="55"/>
      <c r="J323" s="11">
        <f t="shared" si="36"/>
        <v>202607</v>
      </c>
      <c r="K323" s="19" t="str">
        <f t="shared" si="37"/>
        <v>يوليو 2026</v>
      </c>
      <c r="L323" s="19" t="str">
        <f t="shared" si="38"/>
        <v/>
      </c>
      <c r="N323" s="11">
        <f t="shared" si="39"/>
        <v>202607</v>
      </c>
      <c r="O323" s="19" t="str">
        <f t="shared" si="40"/>
        <v>يوليو 2026</v>
      </c>
      <c r="P323" s="19">
        <f t="shared" si="41"/>
        <v>0</v>
      </c>
      <c r="Q323" s="55">
        <f t="shared" si="42"/>
        <v>0</v>
      </c>
      <c r="R323" s="55">
        <f t="shared" si="43"/>
        <v>0</v>
      </c>
      <c r="S323" s="19">
        <f t="shared" si="44"/>
        <v>0</v>
      </c>
    </row>
    <row r="324" spans="1:19" ht="25.5" customHeight="1">
      <c r="A324" s="19"/>
      <c r="B324" s="55"/>
      <c r="C324" s="56"/>
      <c r="D324" s="56"/>
      <c r="E324" s="56"/>
      <c r="F324" s="19"/>
      <c r="G324" s="19"/>
      <c r="H324" s="19"/>
      <c r="I324" s="55"/>
      <c r="J324" s="11">
        <f t="shared" si="36"/>
        <v>202607</v>
      </c>
      <c r="K324" s="19" t="str">
        <f t="shared" si="37"/>
        <v>يوليو 2026</v>
      </c>
      <c r="L324" s="19" t="str">
        <f t="shared" si="38"/>
        <v/>
      </c>
      <c r="N324" s="11">
        <f t="shared" si="39"/>
        <v>202607</v>
      </c>
      <c r="O324" s="19" t="str">
        <f t="shared" si="40"/>
        <v>يوليو 2026</v>
      </c>
      <c r="P324" s="19">
        <f t="shared" si="41"/>
        <v>0</v>
      </c>
      <c r="Q324" s="55">
        <f t="shared" si="42"/>
        <v>0</v>
      </c>
      <c r="R324" s="55">
        <f t="shared" si="43"/>
        <v>0</v>
      </c>
      <c r="S324" s="19">
        <f t="shared" si="44"/>
        <v>0</v>
      </c>
    </row>
    <row r="325" spans="1:19" ht="25.5" customHeight="1">
      <c r="A325" s="19"/>
      <c r="B325" s="55"/>
      <c r="C325" s="56"/>
      <c r="D325" s="56"/>
      <c r="E325" s="56"/>
      <c r="F325" s="19"/>
      <c r="G325" s="19"/>
      <c r="H325" s="19"/>
      <c r="I325" s="55"/>
      <c r="J325" s="11">
        <f t="shared" si="36"/>
        <v>202607</v>
      </c>
      <c r="K325" s="19" t="str">
        <f t="shared" si="37"/>
        <v>يوليو 2026</v>
      </c>
      <c r="L325" s="19" t="str">
        <f t="shared" si="38"/>
        <v/>
      </c>
      <c r="N325" s="11">
        <f t="shared" si="39"/>
        <v>202607</v>
      </c>
      <c r="O325" s="19" t="str">
        <f t="shared" si="40"/>
        <v>يوليو 2026</v>
      </c>
      <c r="P325" s="19">
        <f t="shared" si="41"/>
        <v>0</v>
      </c>
      <c r="Q325" s="55">
        <f t="shared" si="42"/>
        <v>0</v>
      </c>
      <c r="R325" s="55">
        <f t="shared" si="43"/>
        <v>0</v>
      </c>
      <c r="S325" s="19">
        <f t="shared" si="44"/>
        <v>0</v>
      </c>
    </row>
    <row r="326" spans="1:19" ht="25.5" customHeight="1">
      <c r="A326" s="19"/>
      <c r="B326" s="55"/>
      <c r="C326" s="56"/>
      <c r="D326" s="56"/>
      <c r="E326" s="56"/>
      <c r="F326" s="19"/>
      <c r="G326" s="19"/>
      <c r="H326" s="19"/>
      <c r="I326" s="55"/>
      <c r="J326" s="11">
        <f t="shared" si="36"/>
        <v>202607</v>
      </c>
      <c r="K326" s="19" t="str">
        <f t="shared" si="37"/>
        <v>يوليو 2026</v>
      </c>
      <c r="L326" s="19" t="str">
        <f t="shared" si="38"/>
        <v/>
      </c>
      <c r="N326" s="11">
        <f t="shared" si="39"/>
        <v>202607</v>
      </c>
      <c r="O326" s="19" t="str">
        <f t="shared" si="40"/>
        <v>يوليو 2026</v>
      </c>
      <c r="P326" s="19">
        <f t="shared" si="41"/>
        <v>0</v>
      </c>
      <c r="Q326" s="55">
        <f t="shared" si="42"/>
        <v>0</v>
      </c>
      <c r="R326" s="55">
        <f t="shared" si="43"/>
        <v>0</v>
      </c>
      <c r="S326" s="19">
        <f t="shared" si="44"/>
        <v>0</v>
      </c>
    </row>
    <row r="327" spans="1:19" ht="25.5" customHeight="1">
      <c r="A327" s="19"/>
      <c r="B327" s="55"/>
      <c r="C327" s="56"/>
      <c r="D327" s="56"/>
      <c r="E327" s="56"/>
      <c r="F327" s="19"/>
      <c r="G327" s="19"/>
      <c r="H327" s="19"/>
      <c r="I327" s="55"/>
      <c r="J327" s="11">
        <f t="shared" ref="J327:J390" si="45">IF($B$3="","",$B$3)</f>
        <v>202607</v>
      </c>
      <c r="K327" s="19" t="str">
        <f t="shared" ref="K327:K390" si="46">IF($B$4="","",$B$4)</f>
        <v>يوليو 2026</v>
      </c>
      <c r="L327" s="19" t="str">
        <f t="shared" ref="L327:L390" si="47">IF(A327="","",IF(OR(B327="",B327=0),"⚠️ كمية مفقودة/صفر",IF(I327="","⚠️ سعر شراء مفقود",IF(F327="","⚠️ عملة مفقودة",IF(COUNTIF($A$7:$A$505,A327)&gt;1,"⚠️ مادة مكررة بالقائمة","✅ جاهز")))))</f>
        <v/>
      </c>
      <c r="N327" s="11">
        <f t="shared" ref="N327:N390" si="48">J327</f>
        <v>202607</v>
      </c>
      <c r="O327" s="19" t="str">
        <f t="shared" ref="O327:O390" si="49">K327</f>
        <v>يوليو 2026</v>
      </c>
      <c r="P327" s="19">
        <f t="shared" ref="P327:P390" si="50">A327</f>
        <v>0</v>
      </c>
      <c r="Q327" s="55">
        <f t="shared" ref="Q327:Q390" si="51">B327</f>
        <v>0</v>
      </c>
      <c r="R327" s="55">
        <f t="shared" ref="R327:R390" si="52">I327</f>
        <v>0</v>
      </c>
      <c r="S327" s="19">
        <f t="shared" ref="S327:S390" si="53">F327</f>
        <v>0</v>
      </c>
    </row>
    <row r="328" spans="1:19" ht="25.5" customHeight="1">
      <c r="A328" s="19"/>
      <c r="B328" s="55"/>
      <c r="C328" s="56"/>
      <c r="D328" s="56"/>
      <c r="E328" s="56"/>
      <c r="F328" s="19"/>
      <c r="G328" s="19"/>
      <c r="H328" s="19"/>
      <c r="I328" s="55"/>
      <c r="J328" s="11">
        <f t="shared" si="45"/>
        <v>202607</v>
      </c>
      <c r="K328" s="19" t="str">
        <f t="shared" si="46"/>
        <v>يوليو 2026</v>
      </c>
      <c r="L328" s="19" t="str">
        <f t="shared" si="47"/>
        <v/>
      </c>
      <c r="N328" s="11">
        <f t="shared" si="48"/>
        <v>202607</v>
      </c>
      <c r="O328" s="19" t="str">
        <f t="shared" si="49"/>
        <v>يوليو 2026</v>
      </c>
      <c r="P328" s="19">
        <f t="shared" si="50"/>
        <v>0</v>
      </c>
      <c r="Q328" s="55">
        <f t="shared" si="51"/>
        <v>0</v>
      </c>
      <c r="R328" s="55">
        <f t="shared" si="52"/>
        <v>0</v>
      </c>
      <c r="S328" s="19">
        <f t="shared" si="53"/>
        <v>0</v>
      </c>
    </row>
    <row r="329" spans="1:19" ht="25.5" customHeight="1">
      <c r="A329" s="19"/>
      <c r="B329" s="55"/>
      <c r="C329" s="56"/>
      <c r="D329" s="56"/>
      <c r="E329" s="56"/>
      <c r="F329" s="19"/>
      <c r="G329" s="19"/>
      <c r="H329" s="19"/>
      <c r="I329" s="55"/>
      <c r="J329" s="11">
        <f t="shared" si="45"/>
        <v>202607</v>
      </c>
      <c r="K329" s="19" t="str">
        <f t="shared" si="46"/>
        <v>يوليو 2026</v>
      </c>
      <c r="L329" s="19" t="str">
        <f t="shared" si="47"/>
        <v/>
      </c>
      <c r="N329" s="11">
        <f t="shared" si="48"/>
        <v>202607</v>
      </c>
      <c r="O329" s="19" t="str">
        <f t="shared" si="49"/>
        <v>يوليو 2026</v>
      </c>
      <c r="P329" s="19">
        <f t="shared" si="50"/>
        <v>0</v>
      </c>
      <c r="Q329" s="55">
        <f t="shared" si="51"/>
        <v>0</v>
      </c>
      <c r="R329" s="55">
        <f t="shared" si="52"/>
        <v>0</v>
      </c>
      <c r="S329" s="19">
        <f t="shared" si="53"/>
        <v>0</v>
      </c>
    </row>
    <row r="330" spans="1:19" ht="25.5" customHeight="1">
      <c r="A330" s="19"/>
      <c r="B330" s="55"/>
      <c r="C330" s="56"/>
      <c r="D330" s="56"/>
      <c r="E330" s="56"/>
      <c r="F330" s="19"/>
      <c r="G330" s="19"/>
      <c r="H330" s="19"/>
      <c r="I330" s="55"/>
      <c r="J330" s="11">
        <f t="shared" si="45"/>
        <v>202607</v>
      </c>
      <c r="K330" s="19" t="str">
        <f t="shared" si="46"/>
        <v>يوليو 2026</v>
      </c>
      <c r="L330" s="19" t="str">
        <f t="shared" si="47"/>
        <v/>
      </c>
      <c r="N330" s="11">
        <f t="shared" si="48"/>
        <v>202607</v>
      </c>
      <c r="O330" s="19" t="str">
        <f t="shared" si="49"/>
        <v>يوليو 2026</v>
      </c>
      <c r="P330" s="19">
        <f t="shared" si="50"/>
        <v>0</v>
      </c>
      <c r="Q330" s="55">
        <f t="shared" si="51"/>
        <v>0</v>
      </c>
      <c r="R330" s="55">
        <f t="shared" si="52"/>
        <v>0</v>
      </c>
      <c r="S330" s="19">
        <f t="shared" si="53"/>
        <v>0</v>
      </c>
    </row>
    <row r="331" spans="1:19" ht="25.5" customHeight="1">
      <c r="A331" s="19"/>
      <c r="B331" s="55"/>
      <c r="C331" s="56"/>
      <c r="D331" s="56"/>
      <c r="E331" s="56"/>
      <c r="F331" s="19"/>
      <c r="G331" s="19"/>
      <c r="H331" s="19"/>
      <c r="I331" s="55"/>
      <c r="J331" s="11">
        <f t="shared" si="45"/>
        <v>202607</v>
      </c>
      <c r="K331" s="19" t="str">
        <f t="shared" si="46"/>
        <v>يوليو 2026</v>
      </c>
      <c r="L331" s="19" t="str">
        <f t="shared" si="47"/>
        <v/>
      </c>
      <c r="N331" s="11">
        <f t="shared" si="48"/>
        <v>202607</v>
      </c>
      <c r="O331" s="19" t="str">
        <f t="shared" si="49"/>
        <v>يوليو 2026</v>
      </c>
      <c r="P331" s="19">
        <f t="shared" si="50"/>
        <v>0</v>
      </c>
      <c r="Q331" s="55">
        <f t="shared" si="51"/>
        <v>0</v>
      </c>
      <c r="R331" s="55">
        <f t="shared" si="52"/>
        <v>0</v>
      </c>
      <c r="S331" s="19">
        <f t="shared" si="53"/>
        <v>0</v>
      </c>
    </row>
    <row r="332" spans="1:19" ht="25.5" customHeight="1">
      <c r="A332" s="19"/>
      <c r="B332" s="55"/>
      <c r="C332" s="56"/>
      <c r="D332" s="56"/>
      <c r="E332" s="56"/>
      <c r="F332" s="19"/>
      <c r="G332" s="19"/>
      <c r="H332" s="19"/>
      <c r="I332" s="55"/>
      <c r="J332" s="11">
        <f t="shared" si="45"/>
        <v>202607</v>
      </c>
      <c r="K332" s="19" t="str">
        <f t="shared" si="46"/>
        <v>يوليو 2026</v>
      </c>
      <c r="L332" s="19" t="str">
        <f t="shared" si="47"/>
        <v/>
      </c>
      <c r="N332" s="11">
        <f t="shared" si="48"/>
        <v>202607</v>
      </c>
      <c r="O332" s="19" t="str">
        <f t="shared" si="49"/>
        <v>يوليو 2026</v>
      </c>
      <c r="P332" s="19">
        <f t="shared" si="50"/>
        <v>0</v>
      </c>
      <c r="Q332" s="55">
        <f t="shared" si="51"/>
        <v>0</v>
      </c>
      <c r="R332" s="55">
        <f t="shared" si="52"/>
        <v>0</v>
      </c>
      <c r="S332" s="19">
        <f t="shared" si="53"/>
        <v>0</v>
      </c>
    </row>
    <row r="333" spans="1:19" ht="25.5" customHeight="1">
      <c r="A333" s="19"/>
      <c r="B333" s="55"/>
      <c r="C333" s="56"/>
      <c r="D333" s="56"/>
      <c r="E333" s="56"/>
      <c r="F333" s="19"/>
      <c r="G333" s="19"/>
      <c r="H333" s="19"/>
      <c r="I333" s="55"/>
      <c r="J333" s="11">
        <f t="shared" si="45"/>
        <v>202607</v>
      </c>
      <c r="K333" s="19" t="str">
        <f t="shared" si="46"/>
        <v>يوليو 2026</v>
      </c>
      <c r="L333" s="19" t="str">
        <f t="shared" si="47"/>
        <v/>
      </c>
      <c r="N333" s="11">
        <f t="shared" si="48"/>
        <v>202607</v>
      </c>
      <c r="O333" s="19" t="str">
        <f t="shared" si="49"/>
        <v>يوليو 2026</v>
      </c>
      <c r="P333" s="19">
        <f t="shared" si="50"/>
        <v>0</v>
      </c>
      <c r="Q333" s="55">
        <f t="shared" si="51"/>
        <v>0</v>
      </c>
      <c r="R333" s="55">
        <f t="shared" si="52"/>
        <v>0</v>
      </c>
      <c r="S333" s="19">
        <f t="shared" si="53"/>
        <v>0</v>
      </c>
    </row>
    <row r="334" spans="1:19" ht="25.5" customHeight="1">
      <c r="A334" s="19"/>
      <c r="B334" s="55"/>
      <c r="C334" s="56"/>
      <c r="D334" s="56"/>
      <c r="E334" s="56"/>
      <c r="F334" s="19"/>
      <c r="G334" s="19"/>
      <c r="H334" s="19"/>
      <c r="I334" s="55"/>
      <c r="J334" s="11">
        <f t="shared" si="45"/>
        <v>202607</v>
      </c>
      <c r="K334" s="19" t="str">
        <f t="shared" si="46"/>
        <v>يوليو 2026</v>
      </c>
      <c r="L334" s="19" t="str">
        <f t="shared" si="47"/>
        <v/>
      </c>
      <c r="N334" s="11">
        <f t="shared" si="48"/>
        <v>202607</v>
      </c>
      <c r="O334" s="19" t="str">
        <f t="shared" si="49"/>
        <v>يوليو 2026</v>
      </c>
      <c r="P334" s="19">
        <f t="shared" si="50"/>
        <v>0</v>
      </c>
      <c r="Q334" s="55">
        <f t="shared" si="51"/>
        <v>0</v>
      </c>
      <c r="R334" s="55">
        <f t="shared" si="52"/>
        <v>0</v>
      </c>
      <c r="S334" s="19">
        <f t="shared" si="53"/>
        <v>0</v>
      </c>
    </row>
    <row r="335" spans="1:19" ht="25.5" customHeight="1">
      <c r="A335" s="19"/>
      <c r="B335" s="55"/>
      <c r="C335" s="56"/>
      <c r="D335" s="56"/>
      <c r="E335" s="56"/>
      <c r="F335" s="19"/>
      <c r="G335" s="19"/>
      <c r="H335" s="19"/>
      <c r="I335" s="55"/>
      <c r="J335" s="11">
        <f t="shared" si="45"/>
        <v>202607</v>
      </c>
      <c r="K335" s="19" t="str">
        <f t="shared" si="46"/>
        <v>يوليو 2026</v>
      </c>
      <c r="L335" s="19" t="str">
        <f t="shared" si="47"/>
        <v/>
      </c>
      <c r="N335" s="11">
        <f t="shared" si="48"/>
        <v>202607</v>
      </c>
      <c r="O335" s="19" t="str">
        <f t="shared" si="49"/>
        <v>يوليو 2026</v>
      </c>
      <c r="P335" s="19">
        <f t="shared" si="50"/>
        <v>0</v>
      </c>
      <c r="Q335" s="55">
        <f t="shared" si="51"/>
        <v>0</v>
      </c>
      <c r="R335" s="55">
        <f t="shared" si="52"/>
        <v>0</v>
      </c>
      <c r="S335" s="19">
        <f t="shared" si="53"/>
        <v>0</v>
      </c>
    </row>
    <row r="336" spans="1:19" ht="25.5" customHeight="1">
      <c r="A336" s="19"/>
      <c r="B336" s="55"/>
      <c r="C336" s="56"/>
      <c r="D336" s="56"/>
      <c r="E336" s="56"/>
      <c r="F336" s="19"/>
      <c r="G336" s="19"/>
      <c r="H336" s="19"/>
      <c r="I336" s="55"/>
      <c r="J336" s="11">
        <f t="shared" si="45"/>
        <v>202607</v>
      </c>
      <c r="K336" s="19" t="str">
        <f t="shared" si="46"/>
        <v>يوليو 2026</v>
      </c>
      <c r="L336" s="19" t="str">
        <f t="shared" si="47"/>
        <v/>
      </c>
      <c r="N336" s="11">
        <f t="shared" si="48"/>
        <v>202607</v>
      </c>
      <c r="O336" s="19" t="str">
        <f t="shared" si="49"/>
        <v>يوليو 2026</v>
      </c>
      <c r="P336" s="19">
        <f t="shared" si="50"/>
        <v>0</v>
      </c>
      <c r="Q336" s="55">
        <f t="shared" si="51"/>
        <v>0</v>
      </c>
      <c r="R336" s="55">
        <f t="shared" si="52"/>
        <v>0</v>
      </c>
      <c r="S336" s="19">
        <f t="shared" si="53"/>
        <v>0</v>
      </c>
    </row>
    <row r="337" spans="1:19" ht="25.5" customHeight="1">
      <c r="A337" s="19"/>
      <c r="B337" s="55"/>
      <c r="C337" s="56"/>
      <c r="D337" s="56"/>
      <c r="E337" s="56"/>
      <c r="F337" s="19"/>
      <c r="G337" s="19"/>
      <c r="H337" s="19"/>
      <c r="I337" s="55"/>
      <c r="J337" s="11">
        <f t="shared" si="45"/>
        <v>202607</v>
      </c>
      <c r="K337" s="19" t="str">
        <f t="shared" si="46"/>
        <v>يوليو 2026</v>
      </c>
      <c r="L337" s="19" t="str">
        <f t="shared" si="47"/>
        <v/>
      </c>
      <c r="N337" s="11">
        <f t="shared" si="48"/>
        <v>202607</v>
      </c>
      <c r="O337" s="19" t="str">
        <f t="shared" si="49"/>
        <v>يوليو 2026</v>
      </c>
      <c r="P337" s="19">
        <f t="shared" si="50"/>
        <v>0</v>
      </c>
      <c r="Q337" s="55">
        <f t="shared" si="51"/>
        <v>0</v>
      </c>
      <c r="R337" s="55">
        <f t="shared" si="52"/>
        <v>0</v>
      </c>
      <c r="S337" s="19">
        <f t="shared" si="53"/>
        <v>0</v>
      </c>
    </row>
    <row r="338" spans="1:19" ht="25.5" customHeight="1">
      <c r="A338" s="19"/>
      <c r="B338" s="55"/>
      <c r="C338" s="56"/>
      <c r="D338" s="56"/>
      <c r="E338" s="56"/>
      <c r="F338" s="19"/>
      <c r="G338" s="19"/>
      <c r="H338" s="19"/>
      <c r="I338" s="55"/>
      <c r="J338" s="11">
        <f t="shared" si="45"/>
        <v>202607</v>
      </c>
      <c r="K338" s="19" t="str">
        <f t="shared" si="46"/>
        <v>يوليو 2026</v>
      </c>
      <c r="L338" s="19" t="str">
        <f t="shared" si="47"/>
        <v/>
      </c>
      <c r="N338" s="11">
        <f t="shared" si="48"/>
        <v>202607</v>
      </c>
      <c r="O338" s="19" t="str">
        <f t="shared" si="49"/>
        <v>يوليو 2026</v>
      </c>
      <c r="P338" s="19">
        <f t="shared" si="50"/>
        <v>0</v>
      </c>
      <c r="Q338" s="55">
        <f t="shared" si="51"/>
        <v>0</v>
      </c>
      <c r="R338" s="55">
        <f t="shared" si="52"/>
        <v>0</v>
      </c>
      <c r="S338" s="19">
        <f t="shared" si="53"/>
        <v>0</v>
      </c>
    </row>
    <row r="339" spans="1:19" ht="25.5" customHeight="1">
      <c r="A339" s="19"/>
      <c r="B339" s="55"/>
      <c r="C339" s="56"/>
      <c r="D339" s="56"/>
      <c r="E339" s="56"/>
      <c r="F339" s="19"/>
      <c r="G339" s="19"/>
      <c r="H339" s="19"/>
      <c r="I339" s="55"/>
      <c r="J339" s="11">
        <f t="shared" si="45"/>
        <v>202607</v>
      </c>
      <c r="K339" s="19" t="str">
        <f t="shared" si="46"/>
        <v>يوليو 2026</v>
      </c>
      <c r="L339" s="19" t="str">
        <f t="shared" si="47"/>
        <v/>
      </c>
      <c r="N339" s="11">
        <f t="shared" si="48"/>
        <v>202607</v>
      </c>
      <c r="O339" s="19" t="str">
        <f t="shared" si="49"/>
        <v>يوليو 2026</v>
      </c>
      <c r="P339" s="19">
        <f t="shared" si="50"/>
        <v>0</v>
      </c>
      <c r="Q339" s="55">
        <f t="shared" si="51"/>
        <v>0</v>
      </c>
      <c r="R339" s="55">
        <f t="shared" si="52"/>
        <v>0</v>
      </c>
      <c r="S339" s="19">
        <f t="shared" si="53"/>
        <v>0</v>
      </c>
    </row>
    <row r="340" spans="1:19" ht="25.5" customHeight="1">
      <c r="A340" s="19"/>
      <c r="B340" s="55"/>
      <c r="C340" s="56"/>
      <c r="D340" s="56"/>
      <c r="E340" s="56"/>
      <c r="F340" s="19"/>
      <c r="G340" s="19"/>
      <c r="H340" s="19"/>
      <c r="I340" s="55"/>
      <c r="J340" s="11">
        <f t="shared" si="45"/>
        <v>202607</v>
      </c>
      <c r="K340" s="19" t="str">
        <f t="shared" si="46"/>
        <v>يوليو 2026</v>
      </c>
      <c r="L340" s="19" t="str">
        <f t="shared" si="47"/>
        <v/>
      </c>
      <c r="N340" s="11">
        <f t="shared" si="48"/>
        <v>202607</v>
      </c>
      <c r="O340" s="19" t="str">
        <f t="shared" si="49"/>
        <v>يوليو 2026</v>
      </c>
      <c r="P340" s="19">
        <f t="shared" si="50"/>
        <v>0</v>
      </c>
      <c r="Q340" s="55">
        <f t="shared" si="51"/>
        <v>0</v>
      </c>
      <c r="R340" s="55">
        <f t="shared" si="52"/>
        <v>0</v>
      </c>
      <c r="S340" s="19">
        <f t="shared" si="53"/>
        <v>0</v>
      </c>
    </row>
    <row r="341" spans="1:19" ht="25.5" customHeight="1">
      <c r="A341" s="19"/>
      <c r="B341" s="55"/>
      <c r="C341" s="56"/>
      <c r="D341" s="56"/>
      <c r="E341" s="56"/>
      <c r="F341" s="19"/>
      <c r="G341" s="19"/>
      <c r="H341" s="19"/>
      <c r="I341" s="55"/>
      <c r="J341" s="11">
        <f t="shared" si="45"/>
        <v>202607</v>
      </c>
      <c r="K341" s="19" t="str">
        <f t="shared" si="46"/>
        <v>يوليو 2026</v>
      </c>
      <c r="L341" s="19" t="str">
        <f t="shared" si="47"/>
        <v/>
      </c>
      <c r="N341" s="11">
        <f t="shared" si="48"/>
        <v>202607</v>
      </c>
      <c r="O341" s="19" t="str">
        <f t="shared" si="49"/>
        <v>يوليو 2026</v>
      </c>
      <c r="P341" s="19">
        <f t="shared" si="50"/>
        <v>0</v>
      </c>
      <c r="Q341" s="55">
        <f t="shared" si="51"/>
        <v>0</v>
      </c>
      <c r="R341" s="55">
        <f t="shared" si="52"/>
        <v>0</v>
      </c>
      <c r="S341" s="19">
        <f t="shared" si="53"/>
        <v>0</v>
      </c>
    </row>
    <row r="342" spans="1:19" ht="25.5" customHeight="1">
      <c r="A342" s="19"/>
      <c r="B342" s="55"/>
      <c r="C342" s="56"/>
      <c r="D342" s="56"/>
      <c r="E342" s="56"/>
      <c r="F342" s="19"/>
      <c r="G342" s="19"/>
      <c r="H342" s="19"/>
      <c r="I342" s="55"/>
      <c r="J342" s="11">
        <f t="shared" si="45"/>
        <v>202607</v>
      </c>
      <c r="K342" s="19" t="str">
        <f t="shared" si="46"/>
        <v>يوليو 2026</v>
      </c>
      <c r="L342" s="19" t="str">
        <f t="shared" si="47"/>
        <v/>
      </c>
      <c r="N342" s="11">
        <f t="shared" si="48"/>
        <v>202607</v>
      </c>
      <c r="O342" s="19" t="str">
        <f t="shared" si="49"/>
        <v>يوليو 2026</v>
      </c>
      <c r="P342" s="19">
        <f t="shared" si="50"/>
        <v>0</v>
      </c>
      <c r="Q342" s="55">
        <f t="shared" si="51"/>
        <v>0</v>
      </c>
      <c r="R342" s="55">
        <f t="shared" si="52"/>
        <v>0</v>
      </c>
      <c r="S342" s="19">
        <f t="shared" si="53"/>
        <v>0</v>
      </c>
    </row>
    <row r="343" spans="1:19" ht="25.5" customHeight="1">
      <c r="A343" s="19"/>
      <c r="B343" s="55"/>
      <c r="C343" s="56"/>
      <c r="D343" s="56"/>
      <c r="E343" s="56"/>
      <c r="F343" s="19"/>
      <c r="G343" s="19"/>
      <c r="H343" s="19"/>
      <c r="I343" s="55"/>
      <c r="J343" s="11">
        <f t="shared" si="45"/>
        <v>202607</v>
      </c>
      <c r="K343" s="19" t="str">
        <f t="shared" si="46"/>
        <v>يوليو 2026</v>
      </c>
      <c r="L343" s="19" t="str">
        <f t="shared" si="47"/>
        <v/>
      </c>
      <c r="N343" s="11">
        <f t="shared" si="48"/>
        <v>202607</v>
      </c>
      <c r="O343" s="19" t="str">
        <f t="shared" si="49"/>
        <v>يوليو 2026</v>
      </c>
      <c r="P343" s="19">
        <f t="shared" si="50"/>
        <v>0</v>
      </c>
      <c r="Q343" s="55">
        <f t="shared" si="51"/>
        <v>0</v>
      </c>
      <c r="R343" s="55">
        <f t="shared" si="52"/>
        <v>0</v>
      </c>
      <c r="S343" s="19">
        <f t="shared" si="53"/>
        <v>0</v>
      </c>
    </row>
    <row r="344" spans="1:19" ht="25.5" customHeight="1">
      <c r="A344" s="19"/>
      <c r="B344" s="55"/>
      <c r="C344" s="56"/>
      <c r="D344" s="56"/>
      <c r="E344" s="56"/>
      <c r="F344" s="19"/>
      <c r="G344" s="19"/>
      <c r="H344" s="19"/>
      <c r="I344" s="55"/>
      <c r="J344" s="11">
        <f t="shared" si="45"/>
        <v>202607</v>
      </c>
      <c r="K344" s="19" t="str">
        <f t="shared" si="46"/>
        <v>يوليو 2026</v>
      </c>
      <c r="L344" s="19" t="str">
        <f t="shared" si="47"/>
        <v/>
      </c>
      <c r="N344" s="11">
        <f t="shared" si="48"/>
        <v>202607</v>
      </c>
      <c r="O344" s="19" t="str">
        <f t="shared" si="49"/>
        <v>يوليو 2026</v>
      </c>
      <c r="P344" s="19">
        <f t="shared" si="50"/>
        <v>0</v>
      </c>
      <c r="Q344" s="55">
        <f t="shared" si="51"/>
        <v>0</v>
      </c>
      <c r="R344" s="55">
        <f t="shared" si="52"/>
        <v>0</v>
      </c>
      <c r="S344" s="19">
        <f t="shared" si="53"/>
        <v>0</v>
      </c>
    </row>
    <row r="345" spans="1:19" ht="25.5" customHeight="1">
      <c r="A345" s="19"/>
      <c r="B345" s="55"/>
      <c r="C345" s="56"/>
      <c r="D345" s="56"/>
      <c r="E345" s="56"/>
      <c r="F345" s="19"/>
      <c r="G345" s="19"/>
      <c r="H345" s="19"/>
      <c r="I345" s="55"/>
      <c r="J345" s="11">
        <f t="shared" si="45"/>
        <v>202607</v>
      </c>
      <c r="K345" s="19" t="str">
        <f t="shared" si="46"/>
        <v>يوليو 2026</v>
      </c>
      <c r="L345" s="19" t="str">
        <f t="shared" si="47"/>
        <v/>
      </c>
      <c r="N345" s="11">
        <f t="shared" si="48"/>
        <v>202607</v>
      </c>
      <c r="O345" s="19" t="str">
        <f t="shared" si="49"/>
        <v>يوليو 2026</v>
      </c>
      <c r="P345" s="19">
        <f t="shared" si="50"/>
        <v>0</v>
      </c>
      <c r="Q345" s="55">
        <f t="shared" si="51"/>
        <v>0</v>
      </c>
      <c r="R345" s="55">
        <f t="shared" si="52"/>
        <v>0</v>
      </c>
      <c r="S345" s="19">
        <f t="shared" si="53"/>
        <v>0</v>
      </c>
    </row>
    <row r="346" spans="1:19" ht="25.5" customHeight="1">
      <c r="A346" s="19"/>
      <c r="B346" s="55"/>
      <c r="C346" s="56"/>
      <c r="D346" s="56"/>
      <c r="E346" s="56"/>
      <c r="F346" s="19"/>
      <c r="G346" s="19"/>
      <c r="H346" s="19"/>
      <c r="I346" s="55"/>
      <c r="J346" s="11">
        <f t="shared" si="45"/>
        <v>202607</v>
      </c>
      <c r="K346" s="19" t="str">
        <f t="shared" si="46"/>
        <v>يوليو 2026</v>
      </c>
      <c r="L346" s="19" t="str">
        <f t="shared" si="47"/>
        <v/>
      </c>
      <c r="N346" s="11">
        <f t="shared" si="48"/>
        <v>202607</v>
      </c>
      <c r="O346" s="19" t="str">
        <f t="shared" si="49"/>
        <v>يوليو 2026</v>
      </c>
      <c r="P346" s="19">
        <f t="shared" si="50"/>
        <v>0</v>
      </c>
      <c r="Q346" s="55">
        <f t="shared" si="51"/>
        <v>0</v>
      </c>
      <c r="R346" s="55">
        <f t="shared" si="52"/>
        <v>0</v>
      </c>
      <c r="S346" s="19">
        <f t="shared" si="53"/>
        <v>0</v>
      </c>
    </row>
    <row r="347" spans="1:19" ht="25.5" customHeight="1">
      <c r="A347" s="19"/>
      <c r="B347" s="55"/>
      <c r="C347" s="56"/>
      <c r="D347" s="56"/>
      <c r="E347" s="56"/>
      <c r="F347" s="19"/>
      <c r="G347" s="19"/>
      <c r="H347" s="19"/>
      <c r="I347" s="55"/>
      <c r="J347" s="11">
        <f t="shared" si="45"/>
        <v>202607</v>
      </c>
      <c r="K347" s="19" t="str">
        <f t="shared" si="46"/>
        <v>يوليو 2026</v>
      </c>
      <c r="L347" s="19" t="str">
        <f t="shared" si="47"/>
        <v/>
      </c>
      <c r="N347" s="11">
        <f t="shared" si="48"/>
        <v>202607</v>
      </c>
      <c r="O347" s="19" t="str">
        <f t="shared" si="49"/>
        <v>يوليو 2026</v>
      </c>
      <c r="P347" s="19">
        <f t="shared" si="50"/>
        <v>0</v>
      </c>
      <c r="Q347" s="55">
        <f t="shared" si="51"/>
        <v>0</v>
      </c>
      <c r="R347" s="55">
        <f t="shared" si="52"/>
        <v>0</v>
      </c>
      <c r="S347" s="19">
        <f t="shared" si="53"/>
        <v>0</v>
      </c>
    </row>
    <row r="348" spans="1:19" ht="25.5" customHeight="1">
      <c r="A348" s="19"/>
      <c r="B348" s="55"/>
      <c r="C348" s="56"/>
      <c r="D348" s="56"/>
      <c r="E348" s="56"/>
      <c r="F348" s="19"/>
      <c r="G348" s="19"/>
      <c r="H348" s="19"/>
      <c r="I348" s="55"/>
      <c r="J348" s="11">
        <f t="shared" si="45"/>
        <v>202607</v>
      </c>
      <c r="K348" s="19" t="str">
        <f t="shared" si="46"/>
        <v>يوليو 2026</v>
      </c>
      <c r="L348" s="19" t="str">
        <f t="shared" si="47"/>
        <v/>
      </c>
      <c r="N348" s="11">
        <f t="shared" si="48"/>
        <v>202607</v>
      </c>
      <c r="O348" s="19" t="str">
        <f t="shared" si="49"/>
        <v>يوليو 2026</v>
      </c>
      <c r="P348" s="19">
        <f t="shared" si="50"/>
        <v>0</v>
      </c>
      <c r="Q348" s="55">
        <f t="shared" si="51"/>
        <v>0</v>
      </c>
      <c r="R348" s="55">
        <f t="shared" si="52"/>
        <v>0</v>
      </c>
      <c r="S348" s="19">
        <f t="shared" si="53"/>
        <v>0</v>
      </c>
    </row>
    <row r="349" spans="1:19" ht="25.5" customHeight="1">
      <c r="A349" s="19"/>
      <c r="B349" s="55"/>
      <c r="C349" s="56"/>
      <c r="D349" s="56"/>
      <c r="E349" s="56"/>
      <c r="F349" s="19"/>
      <c r="G349" s="19"/>
      <c r="H349" s="19"/>
      <c r="I349" s="55"/>
      <c r="J349" s="11">
        <f t="shared" si="45"/>
        <v>202607</v>
      </c>
      <c r="K349" s="19" t="str">
        <f t="shared" si="46"/>
        <v>يوليو 2026</v>
      </c>
      <c r="L349" s="19" t="str">
        <f t="shared" si="47"/>
        <v/>
      </c>
      <c r="N349" s="11">
        <f t="shared" si="48"/>
        <v>202607</v>
      </c>
      <c r="O349" s="19" t="str">
        <f t="shared" si="49"/>
        <v>يوليو 2026</v>
      </c>
      <c r="P349" s="19">
        <f t="shared" si="50"/>
        <v>0</v>
      </c>
      <c r="Q349" s="55">
        <f t="shared" si="51"/>
        <v>0</v>
      </c>
      <c r="R349" s="55">
        <f t="shared" si="52"/>
        <v>0</v>
      </c>
      <c r="S349" s="19">
        <f t="shared" si="53"/>
        <v>0</v>
      </c>
    </row>
    <row r="350" spans="1:19" ht="25.5" customHeight="1">
      <c r="A350" s="19"/>
      <c r="B350" s="55"/>
      <c r="C350" s="56"/>
      <c r="D350" s="56"/>
      <c r="E350" s="56"/>
      <c r="F350" s="19"/>
      <c r="G350" s="19"/>
      <c r="H350" s="19"/>
      <c r="I350" s="55"/>
      <c r="J350" s="11">
        <f t="shared" si="45"/>
        <v>202607</v>
      </c>
      <c r="K350" s="19" t="str">
        <f t="shared" si="46"/>
        <v>يوليو 2026</v>
      </c>
      <c r="L350" s="19" t="str">
        <f t="shared" si="47"/>
        <v/>
      </c>
      <c r="N350" s="11">
        <f t="shared" si="48"/>
        <v>202607</v>
      </c>
      <c r="O350" s="19" t="str">
        <f t="shared" si="49"/>
        <v>يوليو 2026</v>
      </c>
      <c r="P350" s="19">
        <f t="shared" si="50"/>
        <v>0</v>
      </c>
      <c r="Q350" s="55">
        <f t="shared" si="51"/>
        <v>0</v>
      </c>
      <c r="R350" s="55">
        <f t="shared" si="52"/>
        <v>0</v>
      </c>
      <c r="S350" s="19">
        <f t="shared" si="53"/>
        <v>0</v>
      </c>
    </row>
    <row r="351" spans="1:19" ht="25.5" customHeight="1">
      <c r="A351" s="19"/>
      <c r="B351" s="55"/>
      <c r="C351" s="56"/>
      <c r="D351" s="56"/>
      <c r="E351" s="56"/>
      <c r="F351" s="19"/>
      <c r="G351" s="19"/>
      <c r="H351" s="19"/>
      <c r="I351" s="55"/>
      <c r="J351" s="11">
        <f t="shared" si="45"/>
        <v>202607</v>
      </c>
      <c r="K351" s="19" t="str">
        <f t="shared" si="46"/>
        <v>يوليو 2026</v>
      </c>
      <c r="L351" s="19" t="str">
        <f t="shared" si="47"/>
        <v/>
      </c>
      <c r="N351" s="11">
        <f t="shared" si="48"/>
        <v>202607</v>
      </c>
      <c r="O351" s="19" t="str">
        <f t="shared" si="49"/>
        <v>يوليو 2026</v>
      </c>
      <c r="P351" s="19">
        <f t="shared" si="50"/>
        <v>0</v>
      </c>
      <c r="Q351" s="55">
        <f t="shared" si="51"/>
        <v>0</v>
      </c>
      <c r="R351" s="55">
        <f t="shared" si="52"/>
        <v>0</v>
      </c>
      <c r="S351" s="19">
        <f t="shared" si="53"/>
        <v>0</v>
      </c>
    </row>
    <row r="352" spans="1:19" ht="25.5" customHeight="1">
      <c r="A352" s="19"/>
      <c r="B352" s="55"/>
      <c r="C352" s="56"/>
      <c r="D352" s="56"/>
      <c r="E352" s="56"/>
      <c r="F352" s="19"/>
      <c r="G352" s="19"/>
      <c r="H352" s="19"/>
      <c r="I352" s="55"/>
      <c r="J352" s="11">
        <f t="shared" si="45"/>
        <v>202607</v>
      </c>
      <c r="K352" s="19" t="str">
        <f t="shared" si="46"/>
        <v>يوليو 2026</v>
      </c>
      <c r="L352" s="19" t="str">
        <f t="shared" si="47"/>
        <v/>
      </c>
      <c r="N352" s="11">
        <f t="shared" si="48"/>
        <v>202607</v>
      </c>
      <c r="O352" s="19" t="str">
        <f t="shared" si="49"/>
        <v>يوليو 2026</v>
      </c>
      <c r="P352" s="19">
        <f t="shared" si="50"/>
        <v>0</v>
      </c>
      <c r="Q352" s="55">
        <f t="shared" si="51"/>
        <v>0</v>
      </c>
      <c r="R352" s="55">
        <f t="shared" si="52"/>
        <v>0</v>
      </c>
      <c r="S352" s="19">
        <f t="shared" si="53"/>
        <v>0</v>
      </c>
    </row>
    <row r="353" spans="1:19" ht="25.5" customHeight="1">
      <c r="A353" s="19"/>
      <c r="B353" s="55"/>
      <c r="C353" s="56"/>
      <c r="D353" s="56"/>
      <c r="E353" s="56"/>
      <c r="F353" s="19"/>
      <c r="G353" s="19"/>
      <c r="H353" s="19"/>
      <c r="I353" s="55"/>
      <c r="J353" s="11">
        <f t="shared" si="45"/>
        <v>202607</v>
      </c>
      <c r="K353" s="19" t="str">
        <f t="shared" si="46"/>
        <v>يوليو 2026</v>
      </c>
      <c r="L353" s="19" t="str">
        <f t="shared" si="47"/>
        <v/>
      </c>
      <c r="N353" s="11">
        <f t="shared" si="48"/>
        <v>202607</v>
      </c>
      <c r="O353" s="19" t="str">
        <f t="shared" si="49"/>
        <v>يوليو 2026</v>
      </c>
      <c r="P353" s="19">
        <f t="shared" si="50"/>
        <v>0</v>
      </c>
      <c r="Q353" s="55">
        <f t="shared" si="51"/>
        <v>0</v>
      </c>
      <c r="R353" s="55">
        <f t="shared" si="52"/>
        <v>0</v>
      </c>
      <c r="S353" s="19">
        <f t="shared" si="53"/>
        <v>0</v>
      </c>
    </row>
    <row r="354" spans="1:19" ht="25.5" customHeight="1">
      <c r="A354" s="19"/>
      <c r="B354" s="55"/>
      <c r="C354" s="56"/>
      <c r="D354" s="56"/>
      <c r="E354" s="56"/>
      <c r="F354" s="19"/>
      <c r="G354" s="19"/>
      <c r="H354" s="19"/>
      <c r="I354" s="55"/>
      <c r="J354" s="11">
        <f t="shared" si="45"/>
        <v>202607</v>
      </c>
      <c r="K354" s="19" t="str">
        <f t="shared" si="46"/>
        <v>يوليو 2026</v>
      </c>
      <c r="L354" s="19" t="str">
        <f t="shared" si="47"/>
        <v/>
      </c>
      <c r="N354" s="11">
        <f t="shared" si="48"/>
        <v>202607</v>
      </c>
      <c r="O354" s="19" t="str">
        <f t="shared" si="49"/>
        <v>يوليو 2026</v>
      </c>
      <c r="P354" s="19">
        <f t="shared" si="50"/>
        <v>0</v>
      </c>
      <c r="Q354" s="55">
        <f t="shared" si="51"/>
        <v>0</v>
      </c>
      <c r="R354" s="55">
        <f t="shared" si="52"/>
        <v>0</v>
      </c>
      <c r="S354" s="19">
        <f t="shared" si="53"/>
        <v>0</v>
      </c>
    </row>
    <row r="355" spans="1:19" ht="25.5" customHeight="1">
      <c r="A355" s="19"/>
      <c r="B355" s="55"/>
      <c r="C355" s="56"/>
      <c r="D355" s="56"/>
      <c r="E355" s="56"/>
      <c r="F355" s="19"/>
      <c r="G355" s="19"/>
      <c r="H355" s="19"/>
      <c r="I355" s="55"/>
      <c r="J355" s="11">
        <f t="shared" si="45"/>
        <v>202607</v>
      </c>
      <c r="K355" s="19" t="str">
        <f t="shared" si="46"/>
        <v>يوليو 2026</v>
      </c>
      <c r="L355" s="19" t="str">
        <f t="shared" si="47"/>
        <v/>
      </c>
      <c r="N355" s="11">
        <f t="shared" si="48"/>
        <v>202607</v>
      </c>
      <c r="O355" s="19" t="str">
        <f t="shared" si="49"/>
        <v>يوليو 2026</v>
      </c>
      <c r="P355" s="19">
        <f t="shared" si="50"/>
        <v>0</v>
      </c>
      <c r="Q355" s="55">
        <f t="shared" si="51"/>
        <v>0</v>
      </c>
      <c r="R355" s="55">
        <f t="shared" si="52"/>
        <v>0</v>
      </c>
      <c r="S355" s="19">
        <f t="shared" si="53"/>
        <v>0</v>
      </c>
    </row>
    <row r="356" spans="1:19" ht="25.5" customHeight="1">
      <c r="A356" s="19"/>
      <c r="B356" s="55"/>
      <c r="C356" s="56"/>
      <c r="D356" s="56"/>
      <c r="E356" s="56"/>
      <c r="F356" s="19"/>
      <c r="G356" s="19"/>
      <c r="H356" s="19"/>
      <c r="I356" s="55"/>
      <c r="J356" s="11">
        <f t="shared" si="45"/>
        <v>202607</v>
      </c>
      <c r="K356" s="19" t="str">
        <f t="shared" si="46"/>
        <v>يوليو 2026</v>
      </c>
      <c r="L356" s="19" t="str">
        <f t="shared" si="47"/>
        <v/>
      </c>
      <c r="N356" s="11">
        <f t="shared" si="48"/>
        <v>202607</v>
      </c>
      <c r="O356" s="19" t="str">
        <f t="shared" si="49"/>
        <v>يوليو 2026</v>
      </c>
      <c r="P356" s="19">
        <f t="shared" si="50"/>
        <v>0</v>
      </c>
      <c r="Q356" s="55">
        <f t="shared" si="51"/>
        <v>0</v>
      </c>
      <c r="R356" s="55">
        <f t="shared" si="52"/>
        <v>0</v>
      </c>
      <c r="S356" s="19">
        <f t="shared" si="53"/>
        <v>0</v>
      </c>
    </row>
    <row r="357" spans="1:19" ht="25.5" customHeight="1">
      <c r="A357" s="19"/>
      <c r="B357" s="55"/>
      <c r="C357" s="56"/>
      <c r="D357" s="56"/>
      <c r="E357" s="56"/>
      <c r="F357" s="19"/>
      <c r="G357" s="19"/>
      <c r="H357" s="19"/>
      <c r="I357" s="55"/>
      <c r="J357" s="11">
        <f t="shared" si="45"/>
        <v>202607</v>
      </c>
      <c r="K357" s="19" t="str">
        <f t="shared" si="46"/>
        <v>يوليو 2026</v>
      </c>
      <c r="L357" s="19" t="str">
        <f t="shared" si="47"/>
        <v/>
      </c>
      <c r="N357" s="11">
        <f t="shared" si="48"/>
        <v>202607</v>
      </c>
      <c r="O357" s="19" t="str">
        <f t="shared" si="49"/>
        <v>يوليو 2026</v>
      </c>
      <c r="P357" s="19">
        <f t="shared" si="50"/>
        <v>0</v>
      </c>
      <c r="Q357" s="55">
        <f t="shared" si="51"/>
        <v>0</v>
      </c>
      <c r="R357" s="55">
        <f t="shared" si="52"/>
        <v>0</v>
      </c>
      <c r="S357" s="19">
        <f t="shared" si="53"/>
        <v>0</v>
      </c>
    </row>
    <row r="358" spans="1:19" ht="25.5" customHeight="1">
      <c r="A358" s="19"/>
      <c r="B358" s="55"/>
      <c r="C358" s="56"/>
      <c r="D358" s="56"/>
      <c r="E358" s="56"/>
      <c r="F358" s="19"/>
      <c r="G358" s="19"/>
      <c r="H358" s="19"/>
      <c r="I358" s="55"/>
      <c r="J358" s="11">
        <f t="shared" si="45"/>
        <v>202607</v>
      </c>
      <c r="K358" s="19" t="str">
        <f t="shared" si="46"/>
        <v>يوليو 2026</v>
      </c>
      <c r="L358" s="19" t="str">
        <f t="shared" si="47"/>
        <v/>
      </c>
      <c r="N358" s="11">
        <f t="shared" si="48"/>
        <v>202607</v>
      </c>
      <c r="O358" s="19" t="str">
        <f t="shared" si="49"/>
        <v>يوليو 2026</v>
      </c>
      <c r="P358" s="19">
        <f t="shared" si="50"/>
        <v>0</v>
      </c>
      <c r="Q358" s="55">
        <f t="shared" si="51"/>
        <v>0</v>
      </c>
      <c r="R358" s="55">
        <f t="shared" si="52"/>
        <v>0</v>
      </c>
      <c r="S358" s="19">
        <f t="shared" si="53"/>
        <v>0</v>
      </c>
    </row>
    <row r="359" spans="1:19" ht="25.5" customHeight="1">
      <c r="A359" s="19"/>
      <c r="B359" s="55"/>
      <c r="C359" s="56"/>
      <c r="D359" s="56"/>
      <c r="E359" s="56"/>
      <c r="F359" s="19"/>
      <c r="G359" s="19"/>
      <c r="H359" s="19"/>
      <c r="I359" s="55"/>
      <c r="J359" s="11">
        <f t="shared" si="45"/>
        <v>202607</v>
      </c>
      <c r="K359" s="19" t="str">
        <f t="shared" si="46"/>
        <v>يوليو 2026</v>
      </c>
      <c r="L359" s="19" t="str">
        <f t="shared" si="47"/>
        <v/>
      </c>
      <c r="N359" s="11">
        <f t="shared" si="48"/>
        <v>202607</v>
      </c>
      <c r="O359" s="19" t="str">
        <f t="shared" si="49"/>
        <v>يوليو 2026</v>
      </c>
      <c r="P359" s="19">
        <f t="shared" si="50"/>
        <v>0</v>
      </c>
      <c r="Q359" s="55">
        <f t="shared" si="51"/>
        <v>0</v>
      </c>
      <c r="R359" s="55">
        <f t="shared" si="52"/>
        <v>0</v>
      </c>
      <c r="S359" s="19">
        <f t="shared" si="53"/>
        <v>0</v>
      </c>
    </row>
    <row r="360" spans="1:19" ht="25.5" customHeight="1">
      <c r="A360" s="19"/>
      <c r="B360" s="55"/>
      <c r="C360" s="56"/>
      <c r="D360" s="56"/>
      <c r="E360" s="56"/>
      <c r="F360" s="19"/>
      <c r="G360" s="19"/>
      <c r="H360" s="19"/>
      <c r="I360" s="55"/>
      <c r="J360" s="11">
        <f t="shared" si="45"/>
        <v>202607</v>
      </c>
      <c r="K360" s="19" t="str">
        <f t="shared" si="46"/>
        <v>يوليو 2026</v>
      </c>
      <c r="L360" s="19" t="str">
        <f t="shared" si="47"/>
        <v/>
      </c>
      <c r="N360" s="11">
        <f t="shared" si="48"/>
        <v>202607</v>
      </c>
      <c r="O360" s="19" t="str">
        <f t="shared" si="49"/>
        <v>يوليو 2026</v>
      </c>
      <c r="P360" s="19">
        <f t="shared" si="50"/>
        <v>0</v>
      </c>
      <c r="Q360" s="55">
        <f t="shared" si="51"/>
        <v>0</v>
      </c>
      <c r="R360" s="55">
        <f t="shared" si="52"/>
        <v>0</v>
      </c>
      <c r="S360" s="19">
        <f t="shared" si="53"/>
        <v>0</v>
      </c>
    </row>
    <row r="361" spans="1:19" ht="25.5" customHeight="1">
      <c r="A361" s="19"/>
      <c r="B361" s="55"/>
      <c r="C361" s="56"/>
      <c r="D361" s="56"/>
      <c r="E361" s="56"/>
      <c r="F361" s="19"/>
      <c r="G361" s="19"/>
      <c r="H361" s="19"/>
      <c r="I361" s="55"/>
      <c r="J361" s="11">
        <f t="shared" si="45"/>
        <v>202607</v>
      </c>
      <c r="K361" s="19" t="str">
        <f t="shared" si="46"/>
        <v>يوليو 2026</v>
      </c>
      <c r="L361" s="19" t="str">
        <f t="shared" si="47"/>
        <v/>
      </c>
      <c r="N361" s="11">
        <f t="shared" si="48"/>
        <v>202607</v>
      </c>
      <c r="O361" s="19" t="str">
        <f t="shared" si="49"/>
        <v>يوليو 2026</v>
      </c>
      <c r="P361" s="19">
        <f t="shared" si="50"/>
        <v>0</v>
      </c>
      <c r="Q361" s="55">
        <f t="shared" si="51"/>
        <v>0</v>
      </c>
      <c r="R361" s="55">
        <f t="shared" si="52"/>
        <v>0</v>
      </c>
      <c r="S361" s="19">
        <f t="shared" si="53"/>
        <v>0</v>
      </c>
    </row>
    <row r="362" spans="1:19" ht="25.5" customHeight="1">
      <c r="A362" s="19"/>
      <c r="B362" s="55"/>
      <c r="C362" s="56"/>
      <c r="D362" s="56"/>
      <c r="E362" s="56"/>
      <c r="F362" s="19"/>
      <c r="G362" s="19"/>
      <c r="H362" s="19"/>
      <c r="I362" s="55"/>
      <c r="J362" s="11">
        <f t="shared" si="45"/>
        <v>202607</v>
      </c>
      <c r="K362" s="19" t="str">
        <f t="shared" si="46"/>
        <v>يوليو 2026</v>
      </c>
      <c r="L362" s="19" t="str">
        <f t="shared" si="47"/>
        <v/>
      </c>
      <c r="N362" s="11">
        <f t="shared" si="48"/>
        <v>202607</v>
      </c>
      <c r="O362" s="19" t="str">
        <f t="shared" si="49"/>
        <v>يوليو 2026</v>
      </c>
      <c r="P362" s="19">
        <f t="shared" si="50"/>
        <v>0</v>
      </c>
      <c r="Q362" s="55">
        <f t="shared" si="51"/>
        <v>0</v>
      </c>
      <c r="R362" s="55">
        <f t="shared" si="52"/>
        <v>0</v>
      </c>
      <c r="S362" s="19">
        <f t="shared" si="53"/>
        <v>0</v>
      </c>
    </row>
    <row r="363" spans="1:19" ht="25.5" customHeight="1">
      <c r="A363" s="19"/>
      <c r="B363" s="55"/>
      <c r="C363" s="56"/>
      <c r="D363" s="56"/>
      <c r="E363" s="56"/>
      <c r="F363" s="19"/>
      <c r="G363" s="19"/>
      <c r="H363" s="19"/>
      <c r="I363" s="55"/>
      <c r="J363" s="11">
        <f t="shared" si="45"/>
        <v>202607</v>
      </c>
      <c r="K363" s="19" t="str">
        <f t="shared" si="46"/>
        <v>يوليو 2026</v>
      </c>
      <c r="L363" s="19" t="str">
        <f t="shared" si="47"/>
        <v/>
      </c>
      <c r="N363" s="11">
        <f t="shared" si="48"/>
        <v>202607</v>
      </c>
      <c r="O363" s="19" t="str">
        <f t="shared" si="49"/>
        <v>يوليو 2026</v>
      </c>
      <c r="P363" s="19">
        <f t="shared" si="50"/>
        <v>0</v>
      </c>
      <c r="Q363" s="55">
        <f t="shared" si="51"/>
        <v>0</v>
      </c>
      <c r="R363" s="55">
        <f t="shared" si="52"/>
        <v>0</v>
      </c>
      <c r="S363" s="19">
        <f t="shared" si="53"/>
        <v>0</v>
      </c>
    </row>
    <row r="364" spans="1:19" ht="25.5" customHeight="1">
      <c r="A364" s="19"/>
      <c r="B364" s="55"/>
      <c r="C364" s="56"/>
      <c r="D364" s="56"/>
      <c r="E364" s="56"/>
      <c r="F364" s="19"/>
      <c r="G364" s="19"/>
      <c r="H364" s="19"/>
      <c r="I364" s="55"/>
      <c r="J364" s="11">
        <f t="shared" si="45"/>
        <v>202607</v>
      </c>
      <c r="K364" s="19" t="str">
        <f t="shared" si="46"/>
        <v>يوليو 2026</v>
      </c>
      <c r="L364" s="19" t="str">
        <f t="shared" si="47"/>
        <v/>
      </c>
      <c r="N364" s="11">
        <f t="shared" si="48"/>
        <v>202607</v>
      </c>
      <c r="O364" s="19" t="str">
        <f t="shared" si="49"/>
        <v>يوليو 2026</v>
      </c>
      <c r="P364" s="19">
        <f t="shared" si="50"/>
        <v>0</v>
      </c>
      <c r="Q364" s="55">
        <f t="shared" si="51"/>
        <v>0</v>
      </c>
      <c r="R364" s="55">
        <f t="shared" si="52"/>
        <v>0</v>
      </c>
      <c r="S364" s="19">
        <f t="shared" si="53"/>
        <v>0</v>
      </c>
    </row>
    <row r="365" spans="1:19" ht="25.5" customHeight="1">
      <c r="A365" s="19"/>
      <c r="B365" s="55"/>
      <c r="C365" s="56"/>
      <c r="D365" s="56"/>
      <c r="E365" s="56"/>
      <c r="F365" s="19"/>
      <c r="G365" s="19"/>
      <c r="H365" s="19"/>
      <c r="I365" s="55"/>
      <c r="J365" s="11">
        <f t="shared" si="45"/>
        <v>202607</v>
      </c>
      <c r="K365" s="19" t="str">
        <f t="shared" si="46"/>
        <v>يوليو 2026</v>
      </c>
      <c r="L365" s="19" t="str">
        <f t="shared" si="47"/>
        <v/>
      </c>
      <c r="N365" s="11">
        <f t="shared" si="48"/>
        <v>202607</v>
      </c>
      <c r="O365" s="19" t="str">
        <f t="shared" si="49"/>
        <v>يوليو 2026</v>
      </c>
      <c r="P365" s="19">
        <f t="shared" si="50"/>
        <v>0</v>
      </c>
      <c r="Q365" s="55">
        <f t="shared" si="51"/>
        <v>0</v>
      </c>
      <c r="R365" s="55">
        <f t="shared" si="52"/>
        <v>0</v>
      </c>
      <c r="S365" s="19">
        <f t="shared" si="53"/>
        <v>0</v>
      </c>
    </row>
    <row r="366" spans="1:19" ht="25.5" customHeight="1">
      <c r="A366" s="19"/>
      <c r="B366" s="55"/>
      <c r="C366" s="56"/>
      <c r="D366" s="56"/>
      <c r="E366" s="56"/>
      <c r="F366" s="19"/>
      <c r="G366" s="19"/>
      <c r="H366" s="19"/>
      <c r="I366" s="55"/>
      <c r="J366" s="11">
        <f t="shared" si="45"/>
        <v>202607</v>
      </c>
      <c r="K366" s="19" t="str">
        <f t="shared" si="46"/>
        <v>يوليو 2026</v>
      </c>
      <c r="L366" s="19" t="str">
        <f t="shared" si="47"/>
        <v/>
      </c>
      <c r="N366" s="11">
        <f t="shared" si="48"/>
        <v>202607</v>
      </c>
      <c r="O366" s="19" t="str">
        <f t="shared" si="49"/>
        <v>يوليو 2026</v>
      </c>
      <c r="P366" s="19">
        <f t="shared" si="50"/>
        <v>0</v>
      </c>
      <c r="Q366" s="55">
        <f t="shared" si="51"/>
        <v>0</v>
      </c>
      <c r="R366" s="55">
        <f t="shared" si="52"/>
        <v>0</v>
      </c>
      <c r="S366" s="19">
        <f t="shared" si="53"/>
        <v>0</v>
      </c>
    </row>
    <row r="367" spans="1:19" ht="25.5" customHeight="1">
      <c r="A367" s="19"/>
      <c r="B367" s="55"/>
      <c r="C367" s="56"/>
      <c r="D367" s="56"/>
      <c r="E367" s="56"/>
      <c r="F367" s="19"/>
      <c r="G367" s="19"/>
      <c r="H367" s="19"/>
      <c r="I367" s="55"/>
      <c r="J367" s="11">
        <f t="shared" si="45"/>
        <v>202607</v>
      </c>
      <c r="K367" s="19" t="str">
        <f t="shared" si="46"/>
        <v>يوليو 2026</v>
      </c>
      <c r="L367" s="19" t="str">
        <f t="shared" si="47"/>
        <v/>
      </c>
      <c r="N367" s="11">
        <f t="shared" si="48"/>
        <v>202607</v>
      </c>
      <c r="O367" s="19" t="str">
        <f t="shared" si="49"/>
        <v>يوليو 2026</v>
      </c>
      <c r="P367" s="19">
        <f t="shared" si="50"/>
        <v>0</v>
      </c>
      <c r="Q367" s="55">
        <f t="shared" si="51"/>
        <v>0</v>
      </c>
      <c r="R367" s="55">
        <f t="shared" si="52"/>
        <v>0</v>
      </c>
      <c r="S367" s="19">
        <f t="shared" si="53"/>
        <v>0</v>
      </c>
    </row>
    <row r="368" spans="1:19" ht="25.5" customHeight="1">
      <c r="A368" s="19"/>
      <c r="B368" s="55"/>
      <c r="C368" s="56"/>
      <c r="D368" s="56"/>
      <c r="E368" s="56"/>
      <c r="F368" s="19"/>
      <c r="G368" s="19"/>
      <c r="H368" s="19"/>
      <c r="I368" s="55"/>
      <c r="J368" s="11">
        <f t="shared" si="45"/>
        <v>202607</v>
      </c>
      <c r="K368" s="19" t="str">
        <f t="shared" si="46"/>
        <v>يوليو 2026</v>
      </c>
      <c r="L368" s="19" t="str">
        <f t="shared" si="47"/>
        <v/>
      </c>
      <c r="N368" s="11">
        <f t="shared" si="48"/>
        <v>202607</v>
      </c>
      <c r="O368" s="19" t="str">
        <f t="shared" si="49"/>
        <v>يوليو 2026</v>
      </c>
      <c r="P368" s="19">
        <f t="shared" si="50"/>
        <v>0</v>
      </c>
      <c r="Q368" s="55">
        <f t="shared" si="51"/>
        <v>0</v>
      </c>
      <c r="R368" s="55">
        <f t="shared" si="52"/>
        <v>0</v>
      </c>
      <c r="S368" s="19">
        <f t="shared" si="53"/>
        <v>0</v>
      </c>
    </row>
    <row r="369" spans="1:19" ht="25.5" customHeight="1">
      <c r="A369" s="19"/>
      <c r="B369" s="55"/>
      <c r="C369" s="56"/>
      <c r="D369" s="56"/>
      <c r="E369" s="56"/>
      <c r="F369" s="19"/>
      <c r="G369" s="19"/>
      <c r="H369" s="19"/>
      <c r="I369" s="55"/>
      <c r="J369" s="11">
        <f t="shared" si="45"/>
        <v>202607</v>
      </c>
      <c r="K369" s="19" t="str">
        <f t="shared" si="46"/>
        <v>يوليو 2026</v>
      </c>
      <c r="L369" s="19" t="str">
        <f t="shared" si="47"/>
        <v/>
      </c>
      <c r="N369" s="11">
        <f t="shared" si="48"/>
        <v>202607</v>
      </c>
      <c r="O369" s="19" t="str">
        <f t="shared" si="49"/>
        <v>يوليو 2026</v>
      </c>
      <c r="P369" s="19">
        <f t="shared" si="50"/>
        <v>0</v>
      </c>
      <c r="Q369" s="55">
        <f t="shared" si="51"/>
        <v>0</v>
      </c>
      <c r="R369" s="55">
        <f t="shared" si="52"/>
        <v>0</v>
      </c>
      <c r="S369" s="19">
        <f t="shared" si="53"/>
        <v>0</v>
      </c>
    </row>
    <row r="370" spans="1:19" ht="25.5" customHeight="1">
      <c r="A370" s="19"/>
      <c r="B370" s="55"/>
      <c r="C370" s="56"/>
      <c r="D370" s="56"/>
      <c r="E370" s="56"/>
      <c r="F370" s="19"/>
      <c r="G370" s="19"/>
      <c r="H370" s="19"/>
      <c r="I370" s="55"/>
      <c r="J370" s="11">
        <f t="shared" si="45"/>
        <v>202607</v>
      </c>
      <c r="K370" s="19" t="str">
        <f t="shared" si="46"/>
        <v>يوليو 2026</v>
      </c>
      <c r="L370" s="19" t="str">
        <f t="shared" si="47"/>
        <v/>
      </c>
      <c r="N370" s="11">
        <f t="shared" si="48"/>
        <v>202607</v>
      </c>
      <c r="O370" s="19" t="str">
        <f t="shared" si="49"/>
        <v>يوليو 2026</v>
      </c>
      <c r="P370" s="19">
        <f t="shared" si="50"/>
        <v>0</v>
      </c>
      <c r="Q370" s="55">
        <f t="shared" si="51"/>
        <v>0</v>
      </c>
      <c r="R370" s="55">
        <f t="shared" si="52"/>
        <v>0</v>
      </c>
      <c r="S370" s="19">
        <f t="shared" si="53"/>
        <v>0</v>
      </c>
    </row>
    <row r="371" spans="1:19" ht="25.5" customHeight="1">
      <c r="A371" s="19"/>
      <c r="B371" s="55"/>
      <c r="C371" s="56"/>
      <c r="D371" s="56"/>
      <c r="E371" s="56"/>
      <c r="F371" s="19"/>
      <c r="G371" s="19"/>
      <c r="H371" s="19"/>
      <c r="I371" s="55"/>
      <c r="J371" s="11">
        <f t="shared" si="45"/>
        <v>202607</v>
      </c>
      <c r="K371" s="19" t="str">
        <f t="shared" si="46"/>
        <v>يوليو 2026</v>
      </c>
      <c r="L371" s="19" t="str">
        <f t="shared" si="47"/>
        <v/>
      </c>
      <c r="N371" s="11">
        <f t="shared" si="48"/>
        <v>202607</v>
      </c>
      <c r="O371" s="19" t="str">
        <f t="shared" si="49"/>
        <v>يوليو 2026</v>
      </c>
      <c r="P371" s="19">
        <f t="shared" si="50"/>
        <v>0</v>
      </c>
      <c r="Q371" s="55">
        <f t="shared" si="51"/>
        <v>0</v>
      </c>
      <c r="R371" s="55">
        <f t="shared" si="52"/>
        <v>0</v>
      </c>
      <c r="S371" s="19">
        <f t="shared" si="53"/>
        <v>0</v>
      </c>
    </row>
    <row r="372" spans="1:19" ht="25.5" customHeight="1">
      <c r="A372" s="19"/>
      <c r="B372" s="55"/>
      <c r="C372" s="56"/>
      <c r="D372" s="56"/>
      <c r="E372" s="56"/>
      <c r="F372" s="19"/>
      <c r="G372" s="19"/>
      <c r="H372" s="19"/>
      <c r="I372" s="55"/>
      <c r="J372" s="11">
        <f t="shared" si="45"/>
        <v>202607</v>
      </c>
      <c r="K372" s="19" t="str">
        <f t="shared" si="46"/>
        <v>يوليو 2026</v>
      </c>
      <c r="L372" s="19" t="str">
        <f t="shared" si="47"/>
        <v/>
      </c>
      <c r="N372" s="11">
        <f t="shared" si="48"/>
        <v>202607</v>
      </c>
      <c r="O372" s="19" t="str">
        <f t="shared" si="49"/>
        <v>يوليو 2026</v>
      </c>
      <c r="P372" s="19">
        <f t="shared" si="50"/>
        <v>0</v>
      </c>
      <c r="Q372" s="55">
        <f t="shared" si="51"/>
        <v>0</v>
      </c>
      <c r="R372" s="55">
        <f t="shared" si="52"/>
        <v>0</v>
      </c>
      <c r="S372" s="19">
        <f t="shared" si="53"/>
        <v>0</v>
      </c>
    </row>
    <row r="373" spans="1:19" ht="25.5" customHeight="1">
      <c r="A373" s="19"/>
      <c r="B373" s="55"/>
      <c r="C373" s="56"/>
      <c r="D373" s="56"/>
      <c r="E373" s="56"/>
      <c r="F373" s="19"/>
      <c r="G373" s="19"/>
      <c r="H373" s="19"/>
      <c r="I373" s="55"/>
      <c r="J373" s="11">
        <f t="shared" si="45"/>
        <v>202607</v>
      </c>
      <c r="K373" s="19" t="str">
        <f t="shared" si="46"/>
        <v>يوليو 2026</v>
      </c>
      <c r="L373" s="19" t="str">
        <f t="shared" si="47"/>
        <v/>
      </c>
      <c r="N373" s="11">
        <f t="shared" si="48"/>
        <v>202607</v>
      </c>
      <c r="O373" s="19" t="str">
        <f t="shared" si="49"/>
        <v>يوليو 2026</v>
      </c>
      <c r="P373" s="19">
        <f t="shared" si="50"/>
        <v>0</v>
      </c>
      <c r="Q373" s="55">
        <f t="shared" si="51"/>
        <v>0</v>
      </c>
      <c r="R373" s="55">
        <f t="shared" si="52"/>
        <v>0</v>
      </c>
      <c r="S373" s="19">
        <f t="shared" si="53"/>
        <v>0</v>
      </c>
    </row>
    <row r="374" spans="1:19" ht="25.5" customHeight="1">
      <c r="A374" s="19"/>
      <c r="B374" s="55"/>
      <c r="C374" s="56"/>
      <c r="D374" s="56"/>
      <c r="E374" s="56"/>
      <c r="F374" s="19"/>
      <c r="G374" s="19"/>
      <c r="H374" s="19"/>
      <c r="I374" s="55"/>
      <c r="J374" s="11">
        <f t="shared" si="45"/>
        <v>202607</v>
      </c>
      <c r="K374" s="19" t="str">
        <f t="shared" si="46"/>
        <v>يوليو 2026</v>
      </c>
      <c r="L374" s="19" t="str">
        <f t="shared" si="47"/>
        <v/>
      </c>
      <c r="N374" s="11">
        <f t="shared" si="48"/>
        <v>202607</v>
      </c>
      <c r="O374" s="19" t="str">
        <f t="shared" si="49"/>
        <v>يوليو 2026</v>
      </c>
      <c r="P374" s="19">
        <f t="shared" si="50"/>
        <v>0</v>
      </c>
      <c r="Q374" s="55">
        <f t="shared" si="51"/>
        <v>0</v>
      </c>
      <c r="R374" s="55">
        <f t="shared" si="52"/>
        <v>0</v>
      </c>
      <c r="S374" s="19">
        <f t="shared" si="53"/>
        <v>0</v>
      </c>
    </row>
    <row r="375" spans="1:19" ht="25.5" customHeight="1">
      <c r="A375" s="19"/>
      <c r="B375" s="55"/>
      <c r="C375" s="56"/>
      <c r="D375" s="56"/>
      <c r="E375" s="56"/>
      <c r="F375" s="19"/>
      <c r="G375" s="19"/>
      <c r="H375" s="19"/>
      <c r="I375" s="55"/>
      <c r="J375" s="11">
        <f t="shared" si="45"/>
        <v>202607</v>
      </c>
      <c r="K375" s="19" t="str">
        <f t="shared" si="46"/>
        <v>يوليو 2026</v>
      </c>
      <c r="L375" s="19" t="str">
        <f t="shared" si="47"/>
        <v/>
      </c>
      <c r="N375" s="11">
        <f t="shared" si="48"/>
        <v>202607</v>
      </c>
      <c r="O375" s="19" t="str">
        <f t="shared" si="49"/>
        <v>يوليو 2026</v>
      </c>
      <c r="P375" s="19">
        <f t="shared" si="50"/>
        <v>0</v>
      </c>
      <c r="Q375" s="55">
        <f t="shared" si="51"/>
        <v>0</v>
      </c>
      <c r="R375" s="55">
        <f t="shared" si="52"/>
        <v>0</v>
      </c>
      <c r="S375" s="19">
        <f t="shared" si="53"/>
        <v>0</v>
      </c>
    </row>
    <row r="376" spans="1:19" ht="25.5" customHeight="1">
      <c r="A376" s="19"/>
      <c r="B376" s="55"/>
      <c r="C376" s="56"/>
      <c r="D376" s="56"/>
      <c r="E376" s="56"/>
      <c r="F376" s="19"/>
      <c r="G376" s="19"/>
      <c r="H376" s="19"/>
      <c r="I376" s="55"/>
      <c r="J376" s="11">
        <f t="shared" si="45"/>
        <v>202607</v>
      </c>
      <c r="K376" s="19" t="str">
        <f t="shared" si="46"/>
        <v>يوليو 2026</v>
      </c>
      <c r="L376" s="19" t="str">
        <f t="shared" si="47"/>
        <v/>
      </c>
      <c r="N376" s="11">
        <f t="shared" si="48"/>
        <v>202607</v>
      </c>
      <c r="O376" s="19" t="str">
        <f t="shared" si="49"/>
        <v>يوليو 2026</v>
      </c>
      <c r="P376" s="19">
        <f t="shared" si="50"/>
        <v>0</v>
      </c>
      <c r="Q376" s="55">
        <f t="shared" si="51"/>
        <v>0</v>
      </c>
      <c r="R376" s="55">
        <f t="shared" si="52"/>
        <v>0</v>
      </c>
      <c r="S376" s="19">
        <f t="shared" si="53"/>
        <v>0</v>
      </c>
    </row>
    <row r="377" spans="1:19" ht="25.5" customHeight="1">
      <c r="A377" s="19"/>
      <c r="B377" s="55"/>
      <c r="C377" s="56"/>
      <c r="D377" s="56"/>
      <c r="E377" s="56"/>
      <c r="F377" s="19"/>
      <c r="G377" s="19"/>
      <c r="H377" s="19"/>
      <c r="I377" s="55"/>
      <c r="J377" s="11">
        <f t="shared" si="45"/>
        <v>202607</v>
      </c>
      <c r="K377" s="19" t="str">
        <f t="shared" si="46"/>
        <v>يوليو 2026</v>
      </c>
      <c r="L377" s="19" t="str">
        <f t="shared" si="47"/>
        <v/>
      </c>
      <c r="N377" s="11">
        <f t="shared" si="48"/>
        <v>202607</v>
      </c>
      <c r="O377" s="19" t="str">
        <f t="shared" si="49"/>
        <v>يوليو 2026</v>
      </c>
      <c r="P377" s="19">
        <f t="shared" si="50"/>
        <v>0</v>
      </c>
      <c r="Q377" s="55">
        <f t="shared" si="51"/>
        <v>0</v>
      </c>
      <c r="R377" s="55">
        <f t="shared" si="52"/>
        <v>0</v>
      </c>
      <c r="S377" s="19">
        <f t="shared" si="53"/>
        <v>0</v>
      </c>
    </row>
    <row r="378" spans="1:19" ht="25.5" customHeight="1">
      <c r="A378" s="19"/>
      <c r="B378" s="55"/>
      <c r="C378" s="56"/>
      <c r="D378" s="56"/>
      <c r="E378" s="56"/>
      <c r="F378" s="19"/>
      <c r="G378" s="19"/>
      <c r="H378" s="19"/>
      <c r="I378" s="55"/>
      <c r="J378" s="11">
        <f t="shared" si="45"/>
        <v>202607</v>
      </c>
      <c r="K378" s="19" t="str">
        <f t="shared" si="46"/>
        <v>يوليو 2026</v>
      </c>
      <c r="L378" s="19" t="str">
        <f t="shared" si="47"/>
        <v/>
      </c>
      <c r="N378" s="11">
        <f t="shared" si="48"/>
        <v>202607</v>
      </c>
      <c r="O378" s="19" t="str">
        <f t="shared" si="49"/>
        <v>يوليو 2026</v>
      </c>
      <c r="P378" s="19">
        <f t="shared" si="50"/>
        <v>0</v>
      </c>
      <c r="Q378" s="55">
        <f t="shared" si="51"/>
        <v>0</v>
      </c>
      <c r="R378" s="55">
        <f t="shared" si="52"/>
        <v>0</v>
      </c>
      <c r="S378" s="19">
        <f t="shared" si="53"/>
        <v>0</v>
      </c>
    </row>
    <row r="379" spans="1:19" ht="25.5" customHeight="1">
      <c r="A379" s="19"/>
      <c r="B379" s="55"/>
      <c r="C379" s="56"/>
      <c r="D379" s="56"/>
      <c r="E379" s="56"/>
      <c r="F379" s="19"/>
      <c r="G379" s="19"/>
      <c r="H379" s="19"/>
      <c r="I379" s="55"/>
      <c r="J379" s="11">
        <f t="shared" si="45"/>
        <v>202607</v>
      </c>
      <c r="K379" s="19" t="str">
        <f t="shared" si="46"/>
        <v>يوليو 2026</v>
      </c>
      <c r="L379" s="19" t="str">
        <f t="shared" si="47"/>
        <v/>
      </c>
      <c r="N379" s="11">
        <f t="shared" si="48"/>
        <v>202607</v>
      </c>
      <c r="O379" s="19" t="str">
        <f t="shared" si="49"/>
        <v>يوليو 2026</v>
      </c>
      <c r="P379" s="19">
        <f t="shared" si="50"/>
        <v>0</v>
      </c>
      <c r="Q379" s="55">
        <f t="shared" si="51"/>
        <v>0</v>
      </c>
      <c r="R379" s="55">
        <f t="shared" si="52"/>
        <v>0</v>
      </c>
      <c r="S379" s="19">
        <f t="shared" si="53"/>
        <v>0</v>
      </c>
    </row>
    <row r="380" spans="1:19" ht="25.5" customHeight="1">
      <c r="A380" s="19"/>
      <c r="B380" s="55"/>
      <c r="C380" s="56"/>
      <c r="D380" s="56"/>
      <c r="E380" s="56"/>
      <c r="F380" s="19"/>
      <c r="G380" s="19"/>
      <c r="H380" s="19"/>
      <c r="I380" s="55"/>
      <c r="J380" s="11">
        <f t="shared" si="45"/>
        <v>202607</v>
      </c>
      <c r="K380" s="19" t="str">
        <f t="shared" si="46"/>
        <v>يوليو 2026</v>
      </c>
      <c r="L380" s="19" t="str">
        <f t="shared" si="47"/>
        <v/>
      </c>
      <c r="N380" s="11">
        <f t="shared" si="48"/>
        <v>202607</v>
      </c>
      <c r="O380" s="19" t="str">
        <f t="shared" si="49"/>
        <v>يوليو 2026</v>
      </c>
      <c r="P380" s="19">
        <f t="shared" si="50"/>
        <v>0</v>
      </c>
      <c r="Q380" s="55">
        <f t="shared" si="51"/>
        <v>0</v>
      </c>
      <c r="R380" s="55">
        <f t="shared" si="52"/>
        <v>0</v>
      </c>
      <c r="S380" s="19">
        <f t="shared" si="53"/>
        <v>0</v>
      </c>
    </row>
    <row r="381" spans="1:19" ht="25.5" customHeight="1">
      <c r="A381" s="19"/>
      <c r="B381" s="55"/>
      <c r="C381" s="56"/>
      <c r="D381" s="56"/>
      <c r="E381" s="56"/>
      <c r="F381" s="19"/>
      <c r="G381" s="19"/>
      <c r="H381" s="19"/>
      <c r="I381" s="55"/>
      <c r="J381" s="11">
        <f t="shared" si="45"/>
        <v>202607</v>
      </c>
      <c r="K381" s="19" t="str">
        <f t="shared" si="46"/>
        <v>يوليو 2026</v>
      </c>
      <c r="L381" s="19" t="str">
        <f t="shared" si="47"/>
        <v/>
      </c>
      <c r="N381" s="11">
        <f t="shared" si="48"/>
        <v>202607</v>
      </c>
      <c r="O381" s="19" t="str">
        <f t="shared" si="49"/>
        <v>يوليو 2026</v>
      </c>
      <c r="P381" s="19">
        <f t="shared" si="50"/>
        <v>0</v>
      </c>
      <c r="Q381" s="55">
        <f t="shared" si="51"/>
        <v>0</v>
      </c>
      <c r="R381" s="55">
        <f t="shared" si="52"/>
        <v>0</v>
      </c>
      <c r="S381" s="19">
        <f t="shared" si="53"/>
        <v>0</v>
      </c>
    </row>
    <row r="382" spans="1:19" ht="25.5" customHeight="1">
      <c r="A382" s="19"/>
      <c r="B382" s="55"/>
      <c r="C382" s="56"/>
      <c r="D382" s="56"/>
      <c r="E382" s="56"/>
      <c r="F382" s="19"/>
      <c r="G382" s="19"/>
      <c r="H382" s="19"/>
      <c r="I382" s="55"/>
      <c r="J382" s="11">
        <f t="shared" si="45"/>
        <v>202607</v>
      </c>
      <c r="K382" s="19" t="str">
        <f t="shared" si="46"/>
        <v>يوليو 2026</v>
      </c>
      <c r="L382" s="19" t="str">
        <f t="shared" si="47"/>
        <v/>
      </c>
      <c r="N382" s="11">
        <f t="shared" si="48"/>
        <v>202607</v>
      </c>
      <c r="O382" s="19" t="str">
        <f t="shared" si="49"/>
        <v>يوليو 2026</v>
      </c>
      <c r="P382" s="19">
        <f t="shared" si="50"/>
        <v>0</v>
      </c>
      <c r="Q382" s="55">
        <f t="shared" si="51"/>
        <v>0</v>
      </c>
      <c r="R382" s="55">
        <f t="shared" si="52"/>
        <v>0</v>
      </c>
      <c r="S382" s="19">
        <f t="shared" si="53"/>
        <v>0</v>
      </c>
    </row>
    <row r="383" spans="1:19" ht="25.5" customHeight="1">
      <c r="A383" s="19"/>
      <c r="B383" s="55"/>
      <c r="C383" s="56"/>
      <c r="D383" s="56"/>
      <c r="E383" s="56"/>
      <c r="F383" s="19"/>
      <c r="G383" s="19"/>
      <c r="H383" s="19"/>
      <c r="I383" s="55"/>
      <c r="J383" s="11">
        <f t="shared" si="45"/>
        <v>202607</v>
      </c>
      <c r="K383" s="19" t="str">
        <f t="shared" si="46"/>
        <v>يوليو 2026</v>
      </c>
      <c r="L383" s="19" t="str">
        <f t="shared" si="47"/>
        <v/>
      </c>
      <c r="N383" s="11">
        <f t="shared" si="48"/>
        <v>202607</v>
      </c>
      <c r="O383" s="19" t="str">
        <f t="shared" si="49"/>
        <v>يوليو 2026</v>
      </c>
      <c r="P383" s="19">
        <f t="shared" si="50"/>
        <v>0</v>
      </c>
      <c r="Q383" s="55">
        <f t="shared" si="51"/>
        <v>0</v>
      </c>
      <c r="R383" s="55">
        <f t="shared" si="52"/>
        <v>0</v>
      </c>
      <c r="S383" s="19">
        <f t="shared" si="53"/>
        <v>0</v>
      </c>
    </row>
    <row r="384" spans="1:19" ht="25.5" customHeight="1">
      <c r="A384" s="19"/>
      <c r="B384" s="55"/>
      <c r="C384" s="56"/>
      <c r="D384" s="56"/>
      <c r="E384" s="56"/>
      <c r="F384" s="19"/>
      <c r="G384" s="19"/>
      <c r="H384" s="19"/>
      <c r="I384" s="55"/>
      <c r="J384" s="11">
        <f t="shared" si="45"/>
        <v>202607</v>
      </c>
      <c r="K384" s="19" t="str">
        <f t="shared" si="46"/>
        <v>يوليو 2026</v>
      </c>
      <c r="L384" s="19" t="str">
        <f t="shared" si="47"/>
        <v/>
      </c>
      <c r="N384" s="11">
        <f t="shared" si="48"/>
        <v>202607</v>
      </c>
      <c r="O384" s="19" t="str">
        <f t="shared" si="49"/>
        <v>يوليو 2026</v>
      </c>
      <c r="P384" s="19">
        <f t="shared" si="50"/>
        <v>0</v>
      </c>
      <c r="Q384" s="55">
        <f t="shared" si="51"/>
        <v>0</v>
      </c>
      <c r="R384" s="55">
        <f t="shared" si="52"/>
        <v>0</v>
      </c>
      <c r="S384" s="19">
        <f t="shared" si="53"/>
        <v>0</v>
      </c>
    </row>
    <row r="385" spans="1:19" ht="25.5" customHeight="1">
      <c r="A385" s="19"/>
      <c r="B385" s="55"/>
      <c r="C385" s="56"/>
      <c r="D385" s="56"/>
      <c r="E385" s="56"/>
      <c r="F385" s="19"/>
      <c r="G385" s="19"/>
      <c r="H385" s="19"/>
      <c r="I385" s="55"/>
      <c r="J385" s="11">
        <f t="shared" si="45"/>
        <v>202607</v>
      </c>
      <c r="K385" s="19" t="str">
        <f t="shared" si="46"/>
        <v>يوليو 2026</v>
      </c>
      <c r="L385" s="19" t="str">
        <f t="shared" si="47"/>
        <v/>
      </c>
      <c r="N385" s="11">
        <f t="shared" si="48"/>
        <v>202607</v>
      </c>
      <c r="O385" s="19" t="str">
        <f t="shared" si="49"/>
        <v>يوليو 2026</v>
      </c>
      <c r="P385" s="19">
        <f t="shared" si="50"/>
        <v>0</v>
      </c>
      <c r="Q385" s="55">
        <f t="shared" si="51"/>
        <v>0</v>
      </c>
      <c r="R385" s="55">
        <f t="shared" si="52"/>
        <v>0</v>
      </c>
      <c r="S385" s="19">
        <f t="shared" si="53"/>
        <v>0</v>
      </c>
    </row>
    <row r="386" spans="1:19" ht="25.5" customHeight="1">
      <c r="A386" s="19"/>
      <c r="B386" s="55"/>
      <c r="C386" s="56"/>
      <c r="D386" s="56"/>
      <c r="E386" s="56"/>
      <c r="F386" s="19"/>
      <c r="G386" s="19"/>
      <c r="H386" s="19"/>
      <c r="I386" s="55"/>
      <c r="J386" s="11">
        <f t="shared" si="45"/>
        <v>202607</v>
      </c>
      <c r="K386" s="19" t="str">
        <f t="shared" si="46"/>
        <v>يوليو 2026</v>
      </c>
      <c r="L386" s="19" t="str">
        <f t="shared" si="47"/>
        <v/>
      </c>
      <c r="N386" s="11">
        <f t="shared" si="48"/>
        <v>202607</v>
      </c>
      <c r="O386" s="19" t="str">
        <f t="shared" si="49"/>
        <v>يوليو 2026</v>
      </c>
      <c r="P386" s="19">
        <f t="shared" si="50"/>
        <v>0</v>
      </c>
      <c r="Q386" s="55">
        <f t="shared" si="51"/>
        <v>0</v>
      </c>
      <c r="R386" s="55">
        <f t="shared" si="52"/>
        <v>0</v>
      </c>
      <c r="S386" s="19">
        <f t="shared" si="53"/>
        <v>0</v>
      </c>
    </row>
    <row r="387" spans="1:19" ht="25.5" customHeight="1">
      <c r="A387" s="19"/>
      <c r="B387" s="55"/>
      <c r="C387" s="56"/>
      <c r="D387" s="56"/>
      <c r="E387" s="56"/>
      <c r="F387" s="19"/>
      <c r="G387" s="19"/>
      <c r="H387" s="19"/>
      <c r="I387" s="55"/>
      <c r="J387" s="11">
        <f t="shared" si="45"/>
        <v>202607</v>
      </c>
      <c r="K387" s="19" t="str">
        <f t="shared" si="46"/>
        <v>يوليو 2026</v>
      </c>
      <c r="L387" s="19" t="str">
        <f t="shared" si="47"/>
        <v/>
      </c>
      <c r="N387" s="11">
        <f t="shared" si="48"/>
        <v>202607</v>
      </c>
      <c r="O387" s="19" t="str">
        <f t="shared" si="49"/>
        <v>يوليو 2026</v>
      </c>
      <c r="P387" s="19">
        <f t="shared" si="50"/>
        <v>0</v>
      </c>
      <c r="Q387" s="55">
        <f t="shared" si="51"/>
        <v>0</v>
      </c>
      <c r="R387" s="55">
        <f t="shared" si="52"/>
        <v>0</v>
      </c>
      <c r="S387" s="19">
        <f t="shared" si="53"/>
        <v>0</v>
      </c>
    </row>
    <row r="388" spans="1:19" ht="25.5" customHeight="1">
      <c r="A388" s="19"/>
      <c r="B388" s="55"/>
      <c r="C388" s="56"/>
      <c r="D388" s="56"/>
      <c r="E388" s="56"/>
      <c r="F388" s="19"/>
      <c r="G388" s="19"/>
      <c r="H388" s="19"/>
      <c r="I388" s="55"/>
      <c r="J388" s="11">
        <f t="shared" si="45"/>
        <v>202607</v>
      </c>
      <c r="K388" s="19" t="str">
        <f t="shared" si="46"/>
        <v>يوليو 2026</v>
      </c>
      <c r="L388" s="19" t="str">
        <f t="shared" si="47"/>
        <v/>
      </c>
      <c r="N388" s="11">
        <f t="shared" si="48"/>
        <v>202607</v>
      </c>
      <c r="O388" s="19" t="str">
        <f t="shared" si="49"/>
        <v>يوليو 2026</v>
      </c>
      <c r="P388" s="19">
        <f t="shared" si="50"/>
        <v>0</v>
      </c>
      <c r="Q388" s="55">
        <f t="shared" si="51"/>
        <v>0</v>
      </c>
      <c r="R388" s="55">
        <f t="shared" si="52"/>
        <v>0</v>
      </c>
      <c r="S388" s="19">
        <f t="shared" si="53"/>
        <v>0</v>
      </c>
    </row>
    <row r="389" spans="1:19" ht="25.5" customHeight="1">
      <c r="A389" s="19"/>
      <c r="B389" s="55"/>
      <c r="C389" s="56"/>
      <c r="D389" s="56"/>
      <c r="E389" s="56"/>
      <c r="F389" s="19"/>
      <c r="G389" s="19"/>
      <c r="H389" s="19"/>
      <c r="I389" s="55"/>
      <c r="J389" s="11">
        <f t="shared" si="45"/>
        <v>202607</v>
      </c>
      <c r="K389" s="19" t="str">
        <f t="shared" si="46"/>
        <v>يوليو 2026</v>
      </c>
      <c r="L389" s="19" t="str">
        <f t="shared" si="47"/>
        <v/>
      </c>
      <c r="N389" s="11">
        <f t="shared" si="48"/>
        <v>202607</v>
      </c>
      <c r="O389" s="19" t="str">
        <f t="shared" si="49"/>
        <v>يوليو 2026</v>
      </c>
      <c r="P389" s="19">
        <f t="shared" si="50"/>
        <v>0</v>
      </c>
      <c r="Q389" s="55">
        <f t="shared" si="51"/>
        <v>0</v>
      </c>
      <c r="R389" s="55">
        <f t="shared" si="52"/>
        <v>0</v>
      </c>
      <c r="S389" s="19">
        <f t="shared" si="53"/>
        <v>0</v>
      </c>
    </row>
    <row r="390" spans="1:19" ht="25.5" customHeight="1">
      <c r="A390" s="19"/>
      <c r="B390" s="55"/>
      <c r="C390" s="56"/>
      <c r="D390" s="56"/>
      <c r="E390" s="56"/>
      <c r="F390" s="19"/>
      <c r="G390" s="19"/>
      <c r="H390" s="19"/>
      <c r="I390" s="55"/>
      <c r="J390" s="11">
        <f t="shared" si="45"/>
        <v>202607</v>
      </c>
      <c r="K390" s="19" t="str">
        <f t="shared" si="46"/>
        <v>يوليو 2026</v>
      </c>
      <c r="L390" s="19" t="str">
        <f t="shared" si="47"/>
        <v/>
      </c>
      <c r="N390" s="11">
        <f t="shared" si="48"/>
        <v>202607</v>
      </c>
      <c r="O390" s="19" t="str">
        <f t="shared" si="49"/>
        <v>يوليو 2026</v>
      </c>
      <c r="P390" s="19">
        <f t="shared" si="50"/>
        <v>0</v>
      </c>
      <c r="Q390" s="55">
        <f t="shared" si="51"/>
        <v>0</v>
      </c>
      <c r="R390" s="55">
        <f t="shared" si="52"/>
        <v>0</v>
      </c>
      <c r="S390" s="19">
        <f t="shared" si="53"/>
        <v>0</v>
      </c>
    </row>
    <row r="391" spans="1:19" ht="25.5" customHeight="1">
      <c r="A391" s="19"/>
      <c r="B391" s="55"/>
      <c r="C391" s="56"/>
      <c r="D391" s="56"/>
      <c r="E391" s="56"/>
      <c r="F391" s="19"/>
      <c r="G391" s="19"/>
      <c r="H391" s="19"/>
      <c r="I391" s="55"/>
      <c r="J391" s="11">
        <f t="shared" ref="J391:J454" si="54">IF($B$3="","",$B$3)</f>
        <v>202607</v>
      </c>
      <c r="K391" s="19" t="str">
        <f t="shared" ref="K391:K454" si="55">IF($B$4="","",$B$4)</f>
        <v>يوليو 2026</v>
      </c>
      <c r="L391" s="19" t="str">
        <f t="shared" ref="L391:L454" si="56">IF(A391="","",IF(OR(B391="",B391=0),"⚠️ كمية مفقودة/صفر",IF(I391="","⚠️ سعر شراء مفقود",IF(F391="","⚠️ عملة مفقودة",IF(COUNTIF($A$7:$A$505,A391)&gt;1,"⚠️ مادة مكررة بالقائمة","✅ جاهز")))))</f>
        <v/>
      </c>
      <c r="N391" s="11">
        <f t="shared" ref="N391:N454" si="57">J391</f>
        <v>202607</v>
      </c>
      <c r="O391" s="19" t="str">
        <f t="shared" ref="O391:O454" si="58">K391</f>
        <v>يوليو 2026</v>
      </c>
      <c r="P391" s="19">
        <f t="shared" ref="P391:P454" si="59">A391</f>
        <v>0</v>
      </c>
      <c r="Q391" s="55">
        <f t="shared" ref="Q391:Q454" si="60">B391</f>
        <v>0</v>
      </c>
      <c r="R391" s="55">
        <f t="shared" ref="R391:R454" si="61">I391</f>
        <v>0</v>
      </c>
      <c r="S391" s="19">
        <f t="shared" ref="S391:S454" si="62">F391</f>
        <v>0</v>
      </c>
    </row>
    <row r="392" spans="1:19" ht="25.5" customHeight="1">
      <c r="A392" s="19"/>
      <c r="B392" s="55"/>
      <c r="C392" s="56"/>
      <c r="D392" s="56"/>
      <c r="E392" s="56"/>
      <c r="F392" s="19"/>
      <c r="G392" s="19"/>
      <c r="H392" s="19"/>
      <c r="I392" s="55"/>
      <c r="J392" s="11">
        <f t="shared" si="54"/>
        <v>202607</v>
      </c>
      <c r="K392" s="19" t="str">
        <f t="shared" si="55"/>
        <v>يوليو 2026</v>
      </c>
      <c r="L392" s="19" t="str">
        <f t="shared" si="56"/>
        <v/>
      </c>
      <c r="N392" s="11">
        <f t="shared" si="57"/>
        <v>202607</v>
      </c>
      <c r="O392" s="19" t="str">
        <f t="shared" si="58"/>
        <v>يوليو 2026</v>
      </c>
      <c r="P392" s="19">
        <f t="shared" si="59"/>
        <v>0</v>
      </c>
      <c r="Q392" s="55">
        <f t="shared" si="60"/>
        <v>0</v>
      </c>
      <c r="R392" s="55">
        <f t="shared" si="61"/>
        <v>0</v>
      </c>
      <c r="S392" s="19">
        <f t="shared" si="62"/>
        <v>0</v>
      </c>
    </row>
    <row r="393" spans="1:19" ht="25.5" customHeight="1">
      <c r="A393" s="19"/>
      <c r="B393" s="55"/>
      <c r="C393" s="56"/>
      <c r="D393" s="56"/>
      <c r="E393" s="56"/>
      <c r="F393" s="19"/>
      <c r="G393" s="19"/>
      <c r="H393" s="19"/>
      <c r="I393" s="55"/>
      <c r="J393" s="11">
        <f t="shared" si="54"/>
        <v>202607</v>
      </c>
      <c r="K393" s="19" t="str">
        <f t="shared" si="55"/>
        <v>يوليو 2026</v>
      </c>
      <c r="L393" s="19" t="str">
        <f t="shared" si="56"/>
        <v/>
      </c>
      <c r="N393" s="11">
        <f t="shared" si="57"/>
        <v>202607</v>
      </c>
      <c r="O393" s="19" t="str">
        <f t="shared" si="58"/>
        <v>يوليو 2026</v>
      </c>
      <c r="P393" s="19">
        <f t="shared" si="59"/>
        <v>0</v>
      </c>
      <c r="Q393" s="55">
        <f t="shared" si="60"/>
        <v>0</v>
      </c>
      <c r="R393" s="55">
        <f t="shared" si="61"/>
        <v>0</v>
      </c>
      <c r="S393" s="19">
        <f t="shared" si="62"/>
        <v>0</v>
      </c>
    </row>
    <row r="394" spans="1:19" ht="25.5" customHeight="1">
      <c r="A394" s="19"/>
      <c r="B394" s="55"/>
      <c r="C394" s="56"/>
      <c r="D394" s="56"/>
      <c r="E394" s="56"/>
      <c r="F394" s="19"/>
      <c r="G394" s="19"/>
      <c r="H394" s="19"/>
      <c r="I394" s="55"/>
      <c r="J394" s="11">
        <f t="shared" si="54"/>
        <v>202607</v>
      </c>
      <c r="K394" s="19" t="str">
        <f t="shared" si="55"/>
        <v>يوليو 2026</v>
      </c>
      <c r="L394" s="19" t="str">
        <f t="shared" si="56"/>
        <v/>
      </c>
      <c r="N394" s="11">
        <f t="shared" si="57"/>
        <v>202607</v>
      </c>
      <c r="O394" s="19" t="str">
        <f t="shared" si="58"/>
        <v>يوليو 2026</v>
      </c>
      <c r="P394" s="19">
        <f t="shared" si="59"/>
        <v>0</v>
      </c>
      <c r="Q394" s="55">
        <f t="shared" si="60"/>
        <v>0</v>
      </c>
      <c r="R394" s="55">
        <f t="shared" si="61"/>
        <v>0</v>
      </c>
      <c r="S394" s="19">
        <f t="shared" si="62"/>
        <v>0</v>
      </c>
    </row>
    <row r="395" spans="1:19" ht="25.5" customHeight="1">
      <c r="A395" s="19"/>
      <c r="B395" s="55"/>
      <c r="C395" s="56"/>
      <c r="D395" s="56"/>
      <c r="E395" s="56"/>
      <c r="F395" s="19"/>
      <c r="G395" s="19"/>
      <c r="H395" s="19"/>
      <c r="I395" s="55"/>
      <c r="J395" s="11">
        <f t="shared" si="54"/>
        <v>202607</v>
      </c>
      <c r="K395" s="19" t="str">
        <f t="shared" si="55"/>
        <v>يوليو 2026</v>
      </c>
      <c r="L395" s="19" t="str">
        <f t="shared" si="56"/>
        <v/>
      </c>
      <c r="N395" s="11">
        <f t="shared" si="57"/>
        <v>202607</v>
      </c>
      <c r="O395" s="19" t="str">
        <f t="shared" si="58"/>
        <v>يوليو 2026</v>
      </c>
      <c r="P395" s="19">
        <f t="shared" si="59"/>
        <v>0</v>
      </c>
      <c r="Q395" s="55">
        <f t="shared" si="60"/>
        <v>0</v>
      </c>
      <c r="R395" s="55">
        <f t="shared" si="61"/>
        <v>0</v>
      </c>
      <c r="S395" s="19">
        <f t="shared" si="62"/>
        <v>0</v>
      </c>
    </row>
    <row r="396" spans="1:19" ht="25.5" customHeight="1">
      <c r="A396" s="19"/>
      <c r="B396" s="55"/>
      <c r="C396" s="56"/>
      <c r="D396" s="56"/>
      <c r="E396" s="56"/>
      <c r="F396" s="19"/>
      <c r="G396" s="19"/>
      <c r="H396" s="19"/>
      <c r="I396" s="55"/>
      <c r="J396" s="11">
        <f t="shared" si="54"/>
        <v>202607</v>
      </c>
      <c r="K396" s="19" t="str">
        <f t="shared" si="55"/>
        <v>يوليو 2026</v>
      </c>
      <c r="L396" s="19" t="str">
        <f t="shared" si="56"/>
        <v/>
      </c>
      <c r="N396" s="11">
        <f t="shared" si="57"/>
        <v>202607</v>
      </c>
      <c r="O396" s="19" t="str">
        <f t="shared" si="58"/>
        <v>يوليو 2026</v>
      </c>
      <c r="P396" s="19">
        <f t="shared" si="59"/>
        <v>0</v>
      </c>
      <c r="Q396" s="55">
        <f t="shared" si="60"/>
        <v>0</v>
      </c>
      <c r="R396" s="55">
        <f t="shared" si="61"/>
        <v>0</v>
      </c>
      <c r="S396" s="19">
        <f t="shared" si="62"/>
        <v>0</v>
      </c>
    </row>
    <row r="397" spans="1:19" ht="25.5" customHeight="1">
      <c r="A397" s="19"/>
      <c r="B397" s="55"/>
      <c r="C397" s="56"/>
      <c r="D397" s="56"/>
      <c r="E397" s="56"/>
      <c r="F397" s="19"/>
      <c r="G397" s="19"/>
      <c r="H397" s="19"/>
      <c r="I397" s="55"/>
      <c r="J397" s="11">
        <f t="shared" si="54"/>
        <v>202607</v>
      </c>
      <c r="K397" s="19" t="str">
        <f t="shared" si="55"/>
        <v>يوليو 2026</v>
      </c>
      <c r="L397" s="19" t="str">
        <f t="shared" si="56"/>
        <v/>
      </c>
      <c r="N397" s="11">
        <f t="shared" si="57"/>
        <v>202607</v>
      </c>
      <c r="O397" s="19" t="str">
        <f t="shared" si="58"/>
        <v>يوليو 2026</v>
      </c>
      <c r="P397" s="19">
        <f t="shared" si="59"/>
        <v>0</v>
      </c>
      <c r="Q397" s="55">
        <f t="shared" si="60"/>
        <v>0</v>
      </c>
      <c r="R397" s="55">
        <f t="shared" si="61"/>
        <v>0</v>
      </c>
      <c r="S397" s="19">
        <f t="shared" si="62"/>
        <v>0</v>
      </c>
    </row>
    <row r="398" spans="1:19" ht="25.5" customHeight="1">
      <c r="A398" s="19"/>
      <c r="B398" s="55"/>
      <c r="C398" s="56"/>
      <c r="D398" s="56"/>
      <c r="E398" s="56"/>
      <c r="F398" s="19"/>
      <c r="G398" s="19"/>
      <c r="H398" s="19"/>
      <c r="I398" s="55"/>
      <c r="J398" s="11">
        <f t="shared" si="54"/>
        <v>202607</v>
      </c>
      <c r="K398" s="19" t="str">
        <f t="shared" si="55"/>
        <v>يوليو 2026</v>
      </c>
      <c r="L398" s="19" t="str">
        <f t="shared" si="56"/>
        <v/>
      </c>
      <c r="N398" s="11">
        <f t="shared" si="57"/>
        <v>202607</v>
      </c>
      <c r="O398" s="19" t="str">
        <f t="shared" si="58"/>
        <v>يوليو 2026</v>
      </c>
      <c r="P398" s="19">
        <f t="shared" si="59"/>
        <v>0</v>
      </c>
      <c r="Q398" s="55">
        <f t="shared" si="60"/>
        <v>0</v>
      </c>
      <c r="R398" s="55">
        <f t="shared" si="61"/>
        <v>0</v>
      </c>
      <c r="S398" s="19">
        <f t="shared" si="62"/>
        <v>0</v>
      </c>
    </row>
    <row r="399" spans="1:19" ht="25.5" customHeight="1">
      <c r="A399" s="19"/>
      <c r="B399" s="55"/>
      <c r="C399" s="56"/>
      <c r="D399" s="56"/>
      <c r="E399" s="56"/>
      <c r="F399" s="19"/>
      <c r="G399" s="19"/>
      <c r="H399" s="19"/>
      <c r="I399" s="55"/>
      <c r="J399" s="11">
        <f t="shared" si="54"/>
        <v>202607</v>
      </c>
      <c r="K399" s="19" t="str">
        <f t="shared" si="55"/>
        <v>يوليو 2026</v>
      </c>
      <c r="L399" s="19" t="str">
        <f t="shared" si="56"/>
        <v/>
      </c>
      <c r="N399" s="11">
        <f t="shared" si="57"/>
        <v>202607</v>
      </c>
      <c r="O399" s="19" t="str">
        <f t="shared" si="58"/>
        <v>يوليو 2026</v>
      </c>
      <c r="P399" s="19">
        <f t="shared" si="59"/>
        <v>0</v>
      </c>
      <c r="Q399" s="55">
        <f t="shared" si="60"/>
        <v>0</v>
      </c>
      <c r="R399" s="55">
        <f t="shared" si="61"/>
        <v>0</v>
      </c>
      <c r="S399" s="19">
        <f t="shared" si="62"/>
        <v>0</v>
      </c>
    </row>
    <row r="400" spans="1:19" ht="25.5" customHeight="1">
      <c r="A400" s="19"/>
      <c r="B400" s="55"/>
      <c r="C400" s="56"/>
      <c r="D400" s="56"/>
      <c r="E400" s="56"/>
      <c r="F400" s="19"/>
      <c r="G400" s="19"/>
      <c r="H400" s="19"/>
      <c r="I400" s="55"/>
      <c r="J400" s="11">
        <f t="shared" si="54"/>
        <v>202607</v>
      </c>
      <c r="K400" s="19" t="str">
        <f t="shared" si="55"/>
        <v>يوليو 2026</v>
      </c>
      <c r="L400" s="19" t="str">
        <f t="shared" si="56"/>
        <v/>
      </c>
      <c r="N400" s="11">
        <f t="shared" si="57"/>
        <v>202607</v>
      </c>
      <c r="O400" s="19" t="str">
        <f t="shared" si="58"/>
        <v>يوليو 2026</v>
      </c>
      <c r="P400" s="19">
        <f t="shared" si="59"/>
        <v>0</v>
      </c>
      <c r="Q400" s="55">
        <f t="shared" si="60"/>
        <v>0</v>
      </c>
      <c r="R400" s="55">
        <f t="shared" si="61"/>
        <v>0</v>
      </c>
      <c r="S400" s="19">
        <f t="shared" si="62"/>
        <v>0</v>
      </c>
    </row>
    <row r="401" spans="1:19" ht="25.5" customHeight="1">
      <c r="A401" s="19"/>
      <c r="B401" s="55"/>
      <c r="C401" s="56"/>
      <c r="D401" s="56"/>
      <c r="E401" s="56"/>
      <c r="F401" s="19"/>
      <c r="G401" s="19"/>
      <c r="H401" s="19"/>
      <c r="I401" s="55"/>
      <c r="J401" s="11">
        <f t="shared" si="54"/>
        <v>202607</v>
      </c>
      <c r="K401" s="19" t="str">
        <f t="shared" si="55"/>
        <v>يوليو 2026</v>
      </c>
      <c r="L401" s="19" t="str">
        <f t="shared" si="56"/>
        <v/>
      </c>
      <c r="N401" s="11">
        <f t="shared" si="57"/>
        <v>202607</v>
      </c>
      <c r="O401" s="19" t="str">
        <f t="shared" si="58"/>
        <v>يوليو 2026</v>
      </c>
      <c r="P401" s="19">
        <f t="shared" si="59"/>
        <v>0</v>
      </c>
      <c r="Q401" s="55">
        <f t="shared" si="60"/>
        <v>0</v>
      </c>
      <c r="R401" s="55">
        <f t="shared" si="61"/>
        <v>0</v>
      </c>
      <c r="S401" s="19">
        <f t="shared" si="62"/>
        <v>0</v>
      </c>
    </row>
    <row r="402" spans="1:19" ht="25.5" customHeight="1">
      <c r="A402" s="19"/>
      <c r="B402" s="55"/>
      <c r="C402" s="56"/>
      <c r="D402" s="56"/>
      <c r="E402" s="56"/>
      <c r="F402" s="19"/>
      <c r="G402" s="19"/>
      <c r="H402" s="19"/>
      <c r="I402" s="55"/>
      <c r="J402" s="11">
        <f t="shared" si="54"/>
        <v>202607</v>
      </c>
      <c r="K402" s="19" t="str">
        <f t="shared" si="55"/>
        <v>يوليو 2026</v>
      </c>
      <c r="L402" s="19" t="str">
        <f t="shared" si="56"/>
        <v/>
      </c>
      <c r="N402" s="11">
        <f t="shared" si="57"/>
        <v>202607</v>
      </c>
      <c r="O402" s="19" t="str">
        <f t="shared" si="58"/>
        <v>يوليو 2026</v>
      </c>
      <c r="P402" s="19">
        <f t="shared" si="59"/>
        <v>0</v>
      </c>
      <c r="Q402" s="55">
        <f t="shared" si="60"/>
        <v>0</v>
      </c>
      <c r="R402" s="55">
        <f t="shared" si="61"/>
        <v>0</v>
      </c>
      <c r="S402" s="19">
        <f t="shared" si="62"/>
        <v>0</v>
      </c>
    </row>
    <row r="403" spans="1:19" ht="25.5" customHeight="1">
      <c r="A403" s="19"/>
      <c r="B403" s="55"/>
      <c r="C403" s="56"/>
      <c r="D403" s="56"/>
      <c r="E403" s="56"/>
      <c r="F403" s="19"/>
      <c r="G403" s="19"/>
      <c r="H403" s="19"/>
      <c r="I403" s="55"/>
      <c r="J403" s="11">
        <f t="shared" si="54"/>
        <v>202607</v>
      </c>
      <c r="K403" s="19" t="str">
        <f t="shared" si="55"/>
        <v>يوليو 2026</v>
      </c>
      <c r="L403" s="19" t="str">
        <f t="shared" si="56"/>
        <v/>
      </c>
      <c r="N403" s="11">
        <f t="shared" si="57"/>
        <v>202607</v>
      </c>
      <c r="O403" s="19" t="str">
        <f t="shared" si="58"/>
        <v>يوليو 2026</v>
      </c>
      <c r="P403" s="19">
        <f t="shared" si="59"/>
        <v>0</v>
      </c>
      <c r="Q403" s="55">
        <f t="shared" si="60"/>
        <v>0</v>
      </c>
      <c r="R403" s="55">
        <f t="shared" si="61"/>
        <v>0</v>
      </c>
      <c r="S403" s="19">
        <f t="shared" si="62"/>
        <v>0</v>
      </c>
    </row>
    <row r="404" spans="1:19" ht="25.5" customHeight="1">
      <c r="A404" s="19"/>
      <c r="B404" s="55"/>
      <c r="C404" s="56"/>
      <c r="D404" s="56"/>
      <c r="E404" s="56"/>
      <c r="F404" s="19"/>
      <c r="G404" s="19"/>
      <c r="H404" s="19"/>
      <c r="I404" s="55"/>
      <c r="J404" s="11">
        <f t="shared" si="54"/>
        <v>202607</v>
      </c>
      <c r="K404" s="19" t="str">
        <f t="shared" si="55"/>
        <v>يوليو 2026</v>
      </c>
      <c r="L404" s="19" t="str">
        <f t="shared" si="56"/>
        <v/>
      </c>
      <c r="N404" s="11">
        <f t="shared" si="57"/>
        <v>202607</v>
      </c>
      <c r="O404" s="19" t="str">
        <f t="shared" si="58"/>
        <v>يوليو 2026</v>
      </c>
      <c r="P404" s="19">
        <f t="shared" si="59"/>
        <v>0</v>
      </c>
      <c r="Q404" s="55">
        <f t="shared" si="60"/>
        <v>0</v>
      </c>
      <c r="R404" s="55">
        <f t="shared" si="61"/>
        <v>0</v>
      </c>
      <c r="S404" s="19">
        <f t="shared" si="62"/>
        <v>0</v>
      </c>
    </row>
    <row r="405" spans="1:19" ht="25.5" customHeight="1">
      <c r="A405" s="19"/>
      <c r="B405" s="55"/>
      <c r="C405" s="56"/>
      <c r="D405" s="56"/>
      <c r="E405" s="56"/>
      <c r="F405" s="19"/>
      <c r="G405" s="19"/>
      <c r="H405" s="19"/>
      <c r="I405" s="55"/>
      <c r="J405" s="11">
        <f t="shared" si="54"/>
        <v>202607</v>
      </c>
      <c r="K405" s="19" t="str">
        <f t="shared" si="55"/>
        <v>يوليو 2026</v>
      </c>
      <c r="L405" s="19" t="str">
        <f t="shared" si="56"/>
        <v/>
      </c>
      <c r="N405" s="11">
        <f t="shared" si="57"/>
        <v>202607</v>
      </c>
      <c r="O405" s="19" t="str">
        <f t="shared" si="58"/>
        <v>يوليو 2026</v>
      </c>
      <c r="P405" s="19">
        <f t="shared" si="59"/>
        <v>0</v>
      </c>
      <c r="Q405" s="55">
        <f t="shared" si="60"/>
        <v>0</v>
      </c>
      <c r="R405" s="55">
        <f t="shared" si="61"/>
        <v>0</v>
      </c>
      <c r="S405" s="19">
        <f t="shared" si="62"/>
        <v>0</v>
      </c>
    </row>
    <row r="406" spans="1:19" ht="25.5" customHeight="1">
      <c r="A406" s="19"/>
      <c r="B406" s="55"/>
      <c r="C406" s="56"/>
      <c r="D406" s="56"/>
      <c r="E406" s="56"/>
      <c r="F406" s="19"/>
      <c r="G406" s="19"/>
      <c r="H406" s="19"/>
      <c r="I406" s="55"/>
      <c r="J406" s="11">
        <f t="shared" si="54"/>
        <v>202607</v>
      </c>
      <c r="K406" s="19" t="str">
        <f t="shared" si="55"/>
        <v>يوليو 2026</v>
      </c>
      <c r="L406" s="19" t="str">
        <f t="shared" si="56"/>
        <v/>
      </c>
      <c r="N406" s="11">
        <f t="shared" si="57"/>
        <v>202607</v>
      </c>
      <c r="O406" s="19" t="str">
        <f t="shared" si="58"/>
        <v>يوليو 2026</v>
      </c>
      <c r="P406" s="19">
        <f t="shared" si="59"/>
        <v>0</v>
      </c>
      <c r="Q406" s="55">
        <f t="shared" si="60"/>
        <v>0</v>
      </c>
      <c r="R406" s="55">
        <f t="shared" si="61"/>
        <v>0</v>
      </c>
      <c r="S406" s="19">
        <f t="shared" si="62"/>
        <v>0</v>
      </c>
    </row>
    <row r="407" spans="1:19" ht="25.5" customHeight="1">
      <c r="A407" s="19"/>
      <c r="B407" s="55"/>
      <c r="C407" s="56"/>
      <c r="D407" s="56"/>
      <c r="E407" s="56"/>
      <c r="F407" s="19"/>
      <c r="G407" s="19"/>
      <c r="H407" s="19"/>
      <c r="I407" s="55"/>
      <c r="J407" s="11">
        <f t="shared" si="54"/>
        <v>202607</v>
      </c>
      <c r="K407" s="19" t="str">
        <f t="shared" si="55"/>
        <v>يوليو 2026</v>
      </c>
      <c r="L407" s="19" t="str">
        <f t="shared" si="56"/>
        <v/>
      </c>
      <c r="N407" s="11">
        <f t="shared" si="57"/>
        <v>202607</v>
      </c>
      <c r="O407" s="19" t="str">
        <f t="shared" si="58"/>
        <v>يوليو 2026</v>
      </c>
      <c r="P407" s="19">
        <f t="shared" si="59"/>
        <v>0</v>
      </c>
      <c r="Q407" s="55">
        <f t="shared" si="60"/>
        <v>0</v>
      </c>
      <c r="R407" s="55">
        <f t="shared" si="61"/>
        <v>0</v>
      </c>
      <c r="S407" s="19">
        <f t="shared" si="62"/>
        <v>0</v>
      </c>
    </row>
    <row r="408" spans="1:19" ht="25.5" customHeight="1">
      <c r="A408" s="19"/>
      <c r="B408" s="55"/>
      <c r="C408" s="56"/>
      <c r="D408" s="56"/>
      <c r="E408" s="56"/>
      <c r="F408" s="19"/>
      <c r="G408" s="19"/>
      <c r="H408" s="19"/>
      <c r="I408" s="55"/>
      <c r="J408" s="11">
        <f t="shared" si="54"/>
        <v>202607</v>
      </c>
      <c r="K408" s="19" t="str">
        <f t="shared" si="55"/>
        <v>يوليو 2026</v>
      </c>
      <c r="L408" s="19" t="str">
        <f t="shared" si="56"/>
        <v/>
      </c>
      <c r="N408" s="11">
        <f t="shared" si="57"/>
        <v>202607</v>
      </c>
      <c r="O408" s="19" t="str">
        <f t="shared" si="58"/>
        <v>يوليو 2026</v>
      </c>
      <c r="P408" s="19">
        <f t="shared" si="59"/>
        <v>0</v>
      </c>
      <c r="Q408" s="55">
        <f t="shared" si="60"/>
        <v>0</v>
      </c>
      <c r="R408" s="55">
        <f t="shared" si="61"/>
        <v>0</v>
      </c>
      <c r="S408" s="19">
        <f t="shared" si="62"/>
        <v>0</v>
      </c>
    </row>
    <row r="409" spans="1:19" ht="25.5" customHeight="1">
      <c r="A409" s="19"/>
      <c r="B409" s="55"/>
      <c r="C409" s="56"/>
      <c r="D409" s="56"/>
      <c r="E409" s="56"/>
      <c r="F409" s="19"/>
      <c r="G409" s="19"/>
      <c r="H409" s="19"/>
      <c r="I409" s="55"/>
      <c r="J409" s="11">
        <f t="shared" si="54"/>
        <v>202607</v>
      </c>
      <c r="K409" s="19" t="str">
        <f t="shared" si="55"/>
        <v>يوليو 2026</v>
      </c>
      <c r="L409" s="19" t="str">
        <f t="shared" si="56"/>
        <v/>
      </c>
      <c r="N409" s="11">
        <f t="shared" si="57"/>
        <v>202607</v>
      </c>
      <c r="O409" s="19" t="str">
        <f t="shared" si="58"/>
        <v>يوليو 2026</v>
      </c>
      <c r="P409" s="19">
        <f t="shared" si="59"/>
        <v>0</v>
      </c>
      <c r="Q409" s="55">
        <f t="shared" si="60"/>
        <v>0</v>
      </c>
      <c r="R409" s="55">
        <f t="shared" si="61"/>
        <v>0</v>
      </c>
      <c r="S409" s="19">
        <f t="shared" si="62"/>
        <v>0</v>
      </c>
    </row>
    <row r="410" spans="1:19" ht="25.5" customHeight="1">
      <c r="A410" s="19"/>
      <c r="B410" s="55"/>
      <c r="C410" s="56"/>
      <c r="D410" s="56"/>
      <c r="E410" s="56"/>
      <c r="F410" s="19"/>
      <c r="G410" s="19"/>
      <c r="H410" s="19"/>
      <c r="I410" s="55"/>
      <c r="J410" s="11">
        <f t="shared" si="54"/>
        <v>202607</v>
      </c>
      <c r="K410" s="19" t="str">
        <f t="shared" si="55"/>
        <v>يوليو 2026</v>
      </c>
      <c r="L410" s="19" t="str">
        <f t="shared" si="56"/>
        <v/>
      </c>
      <c r="N410" s="11">
        <f t="shared" si="57"/>
        <v>202607</v>
      </c>
      <c r="O410" s="19" t="str">
        <f t="shared" si="58"/>
        <v>يوليو 2026</v>
      </c>
      <c r="P410" s="19">
        <f t="shared" si="59"/>
        <v>0</v>
      </c>
      <c r="Q410" s="55">
        <f t="shared" si="60"/>
        <v>0</v>
      </c>
      <c r="R410" s="55">
        <f t="shared" si="61"/>
        <v>0</v>
      </c>
      <c r="S410" s="19">
        <f t="shared" si="62"/>
        <v>0</v>
      </c>
    </row>
    <row r="411" spans="1:19" ht="25.5" customHeight="1">
      <c r="A411" s="19"/>
      <c r="B411" s="55"/>
      <c r="C411" s="56"/>
      <c r="D411" s="56"/>
      <c r="E411" s="56"/>
      <c r="F411" s="19"/>
      <c r="G411" s="19"/>
      <c r="H411" s="19"/>
      <c r="I411" s="55"/>
      <c r="J411" s="11">
        <f t="shared" si="54"/>
        <v>202607</v>
      </c>
      <c r="K411" s="19" t="str">
        <f t="shared" si="55"/>
        <v>يوليو 2026</v>
      </c>
      <c r="L411" s="19" t="str">
        <f t="shared" si="56"/>
        <v/>
      </c>
      <c r="N411" s="11">
        <f t="shared" si="57"/>
        <v>202607</v>
      </c>
      <c r="O411" s="19" t="str">
        <f t="shared" si="58"/>
        <v>يوليو 2026</v>
      </c>
      <c r="P411" s="19">
        <f t="shared" si="59"/>
        <v>0</v>
      </c>
      <c r="Q411" s="55">
        <f t="shared" si="60"/>
        <v>0</v>
      </c>
      <c r="R411" s="55">
        <f t="shared" si="61"/>
        <v>0</v>
      </c>
      <c r="S411" s="19">
        <f t="shared" si="62"/>
        <v>0</v>
      </c>
    </row>
    <row r="412" spans="1:19" ht="25.5" customHeight="1">
      <c r="A412" s="19"/>
      <c r="B412" s="55"/>
      <c r="C412" s="56"/>
      <c r="D412" s="56"/>
      <c r="E412" s="56"/>
      <c r="F412" s="19"/>
      <c r="G412" s="19"/>
      <c r="H412" s="19"/>
      <c r="I412" s="55"/>
      <c r="J412" s="11">
        <f t="shared" si="54"/>
        <v>202607</v>
      </c>
      <c r="K412" s="19" t="str">
        <f t="shared" si="55"/>
        <v>يوليو 2026</v>
      </c>
      <c r="L412" s="19" t="str">
        <f t="shared" si="56"/>
        <v/>
      </c>
      <c r="N412" s="11">
        <f t="shared" si="57"/>
        <v>202607</v>
      </c>
      <c r="O412" s="19" t="str">
        <f t="shared" si="58"/>
        <v>يوليو 2026</v>
      </c>
      <c r="P412" s="19">
        <f t="shared" si="59"/>
        <v>0</v>
      </c>
      <c r="Q412" s="55">
        <f t="shared" si="60"/>
        <v>0</v>
      </c>
      <c r="R412" s="55">
        <f t="shared" si="61"/>
        <v>0</v>
      </c>
      <c r="S412" s="19">
        <f t="shared" si="62"/>
        <v>0</v>
      </c>
    </row>
    <row r="413" spans="1:19" ht="25.5" customHeight="1">
      <c r="A413" s="19"/>
      <c r="B413" s="55"/>
      <c r="C413" s="56"/>
      <c r="D413" s="56"/>
      <c r="E413" s="56"/>
      <c r="F413" s="19"/>
      <c r="G413" s="19"/>
      <c r="H413" s="19"/>
      <c r="I413" s="55"/>
      <c r="J413" s="11">
        <f t="shared" si="54"/>
        <v>202607</v>
      </c>
      <c r="K413" s="19" t="str">
        <f t="shared" si="55"/>
        <v>يوليو 2026</v>
      </c>
      <c r="L413" s="19" t="str">
        <f t="shared" si="56"/>
        <v/>
      </c>
      <c r="N413" s="11">
        <f t="shared" si="57"/>
        <v>202607</v>
      </c>
      <c r="O413" s="19" t="str">
        <f t="shared" si="58"/>
        <v>يوليو 2026</v>
      </c>
      <c r="P413" s="19">
        <f t="shared" si="59"/>
        <v>0</v>
      </c>
      <c r="Q413" s="55">
        <f t="shared" si="60"/>
        <v>0</v>
      </c>
      <c r="R413" s="55">
        <f t="shared" si="61"/>
        <v>0</v>
      </c>
      <c r="S413" s="19">
        <f t="shared" si="62"/>
        <v>0</v>
      </c>
    </row>
    <row r="414" spans="1:19" ht="25.5" customHeight="1">
      <c r="A414" s="19"/>
      <c r="B414" s="55"/>
      <c r="C414" s="56"/>
      <c r="D414" s="56"/>
      <c r="E414" s="56"/>
      <c r="F414" s="19"/>
      <c r="G414" s="19"/>
      <c r="H414" s="19"/>
      <c r="I414" s="55"/>
      <c r="J414" s="11">
        <f t="shared" si="54"/>
        <v>202607</v>
      </c>
      <c r="K414" s="19" t="str">
        <f t="shared" si="55"/>
        <v>يوليو 2026</v>
      </c>
      <c r="L414" s="19" t="str">
        <f t="shared" si="56"/>
        <v/>
      </c>
      <c r="N414" s="11">
        <f t="shared" si="57"/>
        <v>202607</v>
      </c>
      <c r="O414" s="19" t="str">
        <f t="shared" si="58"/>
        <v>يوليو 2026</v>
      </c>
      <c r="P414" s="19">
        <f t="shared" si="59"/>
        <v>0</v>
      </c>
      <c r="Q414" s="55">
        <f t="shared" si="60"/>
        <v>0</v>
      </c>
      <c r="R414" s="55">
        <f t="shared" si="61"/>
        <v>0</v>
      </c>
      <c r="S414" s="19">
        <f t="shared" si="62"/>
        <v>0</v>
      </c>
    </row>
    <row r="415" spans="1:19" ht="25.5" customHeight="1">
      <c r="A415" s="19"/>
      <c r="B415" s="55"/>
      <c r="C415" s="56"/>
      <c r="D415" s="56"/>
      <c r="E415" s="56"/>
      <c r="F415" s="19"/>
      <c r="G415" s="19"/>
      <c r="H415" s="19"/>
      <c r="I415" s="55"/>
      <c r="J415" s="11">
        <f t="shared" si="54"/>
        <v>202607</v>
      </c>
      <c r="K415" s="19" t="str">
        <f t="shared" si="55"/>
        <v>يوليو 2026</v>
      </c>
      <c r="L415" s="19" t="str">
        <f t="shared" si="56"/>
        <v/>
      </c>
      <c r="N415" s="11">
        <f t="shared" si="57"/>
        <v>202607</v>
      </c>
      <c r="O415" s="19" t="str">
        <f t="shared" si="58"/>
        <v>يوليو 2026</v>
      </c>
      <c r="P415" s="19">
        <f t="shared" si="59"/>
        <v>0</v>
      </c>
      <c r="Q415" s="55">
        <f t="shared" si="60"/>
        <v>0</v>
      </c>
      <c r="R415" s="55">
        <f t="shared" si="61"/>
        <v>0</v>
      </c>
      <c r="S415" s="19">
        <f t="shared" si="62"/>
        <v>0</v>
      </c>
    </row>
    <row r="416" spans="1:19" ht="25.5" customHeight="1">
      <c r="A416" s="19"/>
      <c r="B416" s="55"/>
      <c r="C416" s="56"/>
      <c r="D416" s="56"/>
      <c r="E416" s="56"/>
      <c r="F416" s="19"/>
      <c r="G416" s="19"/>
      <c r="H416" s="19"/>
      <c r="I416" s="55"/>
      <c r="J416" s="11">
        <f t="shared" si="54"/>
        <v>202607</v>
      </c>
      <c r="K416" s="19" t="str">
        <f t="shared" si="55"/>
        <v>يوليو 2026</v>
      </c>
      <c r="L416" s="19" t="str">
        <f t="shared" si="56"/>
        <v/>
      </c>
      <c r="N416" s="11">
        <f t="shared" si="57"/>
        <v>202607</v>
      </c>
      <c r="O416" s="19" t="str">
        <f t="shared" si="58"/>
        <v>يوليو 2026</v>
      </c>
      <c r="P416" s="19">
        <f t="shared" si="59"/>
        <v>0</v>
      </c>
      <c r="Q416" s="55">
        <f t="shared" si="60"/>
        <v>0</v>
      </c>
      <c r="R416" s="55">
        <f t="shared" si="61"/>
        <v>0</v>
      </c>
      <c r="S416" s="19">
        <f t="shared" si="62"/>
        <v>0</v>
      </c>
    </row>
    <row r="417" spans="1:19" ht="25.5" customHeight="1">
      <c r="A417" s="19"/>
      <c r="B417" s="55"/>
      <c r="C417" s="56"/>
      <c r="D417" s="56"/>
      <c r="E417" s="56"/>
      <c r="F417" s="19"/>
      <c r="G417" s="19"/>
      <c r="H417" s="19"/>
      <c r="I417" s="55"/>
      <c r="J417" s="11">
        <f t="shared" si="54"/>
        <v>202607</v>
      </c>
      <c r="K417" s="19" t="str">
        <f t="shared" si="55"/>
        <v>يوليو 2026</v>
      </c>
      <c r="L417" s="19" t="str">
        <f t="shared" si="56"/>
        <v/>
      </c>
      <c r="N417" s="11">
        <f t="shared" si="57"/>
        <v>202607</v>
      </c>
      <c r="O417" s="19" t="str">
        <f t="shared" si="58"/>
        <v>يوليو 2026</v>
      </c>
      <c r="P417" s="19">
        <f t="shared" si="59"/>
        <v>0</v>
      </c>
      <c r="Q417" s="55">
        <f t="shared" si="60"/>
        <v>0</v>
      </c>
      <c r="R417" s="55">
        <f t="shared" si="61"/>
        <v>0</v>
      </c>
      <c r="S417" s="19">
        <f t="shared" si="62"/>
        <v>0</v>
      </c>
    </row>
    <row r="418" spans="1:19" ht="25.5" customHeight="1">
      <c r="A418" s="19"/>
      <c r="B418" s="55"/>
      <c r="C418" s="56"/>
      <c r="D418" s="56"/>
      <c r="E418" s="56"/>
      <c r="F418" s="19"/>
      <c r="G418" s="19"/>
      <c r="H418" s="19"/>
      <c r="I418" s="55"/>
      <c r="J418" s="11">
        <f t="shared" si="54"/>
        <v>202607</v>
      </c>
      <c r="K418" s="19" t="str">
        <f t="shared" si="55"/>
        <v>يوليو 2026</v>
      </c>
      <c r="L418" s="19" t="str">
        <f t="shared" si="56"/>
        <v/>
      </c>
      <c r="N418" s="11">
        <f t="shared" si="57"/>
        <v>202607</v>
      </c>
      <c r="O418" s="19" t="str">
        <f t="shared" si="58"/>
        <v>يوليو 2026</v>
      </c>
      <c r="P418" s="19">
        <f t="shared" si="59"/>
        <v>0</v>
      </c>
      <c r="Q418" s="55">
        <f t="shared" si="60"/>
        <v>0</v>
      </c>
      <c r="R418" s="55">
        <f t="shared" si="61"/>
        <v>0</v>
      </c>
      <c r="S418" s="19">
        <f t="shared" si="62"/>
        <v>0</v>
      </c>
    </row>
    <row r="419" spans="1:19" ht="25.5" customHeight="1">
      <c r="A419" s="19"/>
      <c r="B419" s="55"/>
      <c r="C419" s="56"/>
      <c r="D419" s="56"/>
      <c r="E419" s="56"/>
      <c r="F419" s="19"/>
      <c r="G419" s="19"/>
      <c r="H419" s="19"/>
      <c r="I419" s="55"/>
      <c r="J419" s="11">
        <f t="shared" si="54"/>
        <v>202607</v>
      </c>
      <c r="K419" s="19" t="str">
        <f t="shared" si="55"/>
        <v>يوليو 2026</v>
      </c>
      <c r="L419" s="19" t="str">
        <f t="shared" si="56"/>
        <v/>
      </c>
      <c r="N419" s="11">
        <f t="shared" si="57"/>
        <v>202607</v>
      </c>
      <c r="O419" s="19" t="str">
        <f t="shared" si="58"/>
        <v>يوليو 2026</v>
      </c>
      <c r="P419" s="19">
        <f t="shared" si="59"/>
        <v>0</v>
      </c>
      <c r="Q419" s="55">
        <f t="shared" si="60"/>
        <v>0</v>
      </c>
      <c r="R419" s="55">
        <f t="shared" si="61"/>
        <v>0</v>
      </c>
      <c r="S419" s="19">
        <f t="shared" si="62"/>
        <v>0</v>
      </c>
    </row>
    <row r="420" spans="1:19" ht="25.5" customHeight="1">
      <c r="A420" s="19"/>
      <c r="B420" s="55"/>
      <c r="C420" s="56"/>
      <c r="D420" s="56"/>
      <c r="E420" s="56"/>
      <c r="F420" s="19"/>
      <c r="G420" s="19"/>
      <c r="H420" s="19"/>
      <c r="I420" s="55"/>
      <c r="J420" s="11">
        <f t="shared" si="54"/>
        <v>202607</v>
      </c>
      <c r="K420" s="19" t="str">
        <f t="shared" si="55"/>
        <v>يوليو 2026</v>
      </c>
      <c r="L420" s="19" t="str">
        <f t="shared" si="56"/>
        <v/>
      </c>
      <c r="N420" s="11">
        <f t="shared" si="57"/>
        <v>202607</v>
      </c>
      <c r="O420" s="19" t="str">
        <f t="shared" si="58"/>
        <v>يوليو 2026</v>
      </c>
      <c r="P420" s="19">
        <f t="shared" si="59"/>
        <v>0</v>
      </c>
      <c r="Q420" s="55">
        <f t="shared" si="60"/>
        <v>0</v>
      </c>
      <c r="R420" s="55">
        <f t="shared" si="61"/>
        <v>0</v>
      </c>
      <c r="S420" s="19">
        <f t="shared" si="62"/>
        <v>0</v>
      </c>
    </row>
    <row r="421" spans="1:19" ht="25.5" customHeight="1">
      <c r="A421" s="19"/>
      <c r="B421" s="55"/>
      <c r="C421" s="56"/>
      <c r="D421" s="56"/>
      <c r="E421" s="56"/>
      <c r="F421" s="19"/>
      <c r="G421" s="19"/>
      <c r="H421" s="19"/>
      <c r="I421" s="55"/>
      <c r="J421" s="11">
        <f t="shared" si="54"/>
        <v>202607</v>
      </c>
      <c r="K421" s="19" t="str">
        <f t="shared" si="55"/>
        <v>يوليو 2026</v>
      </c>
      <c r="L421" s="19" t="str">
        <f t="shared" si="56"/>
        <v/>
      </c>
      <c r="N421" s="11">
        <f t="shared" si="57"/>
        <v>202607</v>
      </c>
      <c r="O421" s="19" t="str">
        <f t="shared" si="58"/>
        <v>يوليو 2026</v>
      </c>
      <c r="P421" s="19">
        <f t="shared" si="59"/>
        <v>0</v>
      </c>
      <c r="Q421" s="55">
        <f t="shared" si="60"/>
        <v>0</v>
      </c>
      <c r="R421" s="55">
        <f t="shared" si="61"/>
        <v>0</v>
      </c>
      <c r="S421" s="19">
        <f t="shared" si="62"/>
        <v>0</v>
      </c>
    </row>
    <row r="422" spans="1:19" ht="25.5" customHeight="1">
      <c r="A422" s="19"/>
      <c r="B422" s="55"/>
      <c r="C422" s="56"/>
      <c r="D422" s="56"/>
      <c r="E422" s="56"/>
      <c r="F422" s="19"/>
      <c r="G422" s="19"/>
      <c r="H422" s="19"/>
      <c r="I422" s="55"/>
      <c r="J422" s="11">
        <f t="shared" si="54"/>
        <v>202607</v>
      </c>
      <c r="K422" s="19" t="str">
        <f t="shared" si="55"/>
        <v>يوليو 2026</v>
      </c>
      <c r="L422" s="19" t="str">
        <f t="shared" si="56"/>
        <v/>
      </c>
      <c r="N422" s="11">
        <f t="shared" si="57"/>
        <v>202607</v>
      </c>
      <c r="O422" s="19" t="str">
        <f t="shared" si="58"/>
        <v>يوليو 2026</v>
      </c>
      <c r="P422" s="19">
        <f t="shared" si="59"/>
        <v>0</v>
      </c>
      <c r="Q422" s="55">
        <f t="shared" si="60"/>
        <v>0</v>
      </c>
      <c r="R422" s="55">
        <f t="shared" si="61"/>
        <v>0</v>
      </c>
      <c r="S422" s="19">
        <f t="shared" si="62"/>
        <v>0</v>
      </c>
    </row>
    <row r="423" spans="1:19" ht="25.5" customHeight="1">
      <c r="A423" s="19"/>
      <c r="B423" s="55"/>
      <c r="C423" s="56"/>
      <c r="D423" s="56"/>
      <c r="E423" s="56"/>
      <c r="F423" s="19"/>
      <c r="G423" s="19"/>
      <c r="H423" s="19"/>
      <c r="I423" s="55"/>
      <c r="J423" s="11">
        <f t="shared" si="54"/>
        <v>202607</v>
      </c>
      <c r="K423" s="19" t="str">
        <f t="shared" si="55"/>
        <v>يوليو 2026</v>
      </c>
      <c r="L423" s="19" t="str">
        <f t="shared" si="56"/>
        <v/>
      </c>
      <c r="N423" s="11">
        <f t="shared" si="57"/>
        <v>202607</v>
      </c>
      <c r="O423" s="19" t="str">
        <f t="shared" si="58"/>
        <v>يوليو 2026</v>
      </c>
      <c r="P423" s="19">
        <f t="shared" si="59"/>
        <v>0</v>
      </c>
      <c r="Q423" s="55">
        <f t="shared" si="60"/>
        <v>0</v>
      </c>
      <c r="R423" s="55">
        <f t="shared" si="61"/>
        <v>0</v>
      </c>
      <c r="S423" s="19">
        <f t="shared" si="62"/>
        <v>0</v>
      </c>
    </row>
    <row r="424" spans="1:19" ht="25.5" customHeight="1">
      <c r="A424" s="19"/>
      <c r="B424" s="55"/>
      <c r="C424" s="56"/>
      <c r="D424" s="56"/>
      <c r="E424" s="56"/>
      <c r="F424" s="19"/>
      <c r="G424" s="19"/>
      <c r="H424" s="19"/>
      <c r="I424" s="55"/>
      <c r="J424" s="11">
        <f t="shared" si="54"/>
        <v>202607</v>
      </c>
      <c r="K424" s="19" t="str">
        <f t="shared" si="55"/>
        <v>يوليو 2026</v>
      </c>
      <c r="L424" s="19" t="str">
        <f t="shared" si="56"/>
        <v/>
      </c>
      <c r="N424" s="11">
        <f t="shared" si="57"/>
        <v>202607</v>
      </c>
      <c r="O424" s="19" t="str">
        <f t="shared" si="58"/>
        <v>يوليو 2026</v>
      </c>
      <c r="P424" s="19">
        <f t="shared" si="59"/>
        <v>0</v>
      </c>
      <c r="Q424" s="55">
        <f t="shared" si="60"/>
        <v>0</v>
      </c>
      <c r="R424" s="55">
        <f t="shared" si="61"/>
        <v>0</v>
      </c>
      <c r="S424" s="19">
        <f t="shared" si="62"/>
        <v>0</v>
      </c>
    </row>
    <row r="425" spans="1:19" ht="25.5" customHeight="1">
      <c r="A425" s="19"/>
      <c r="B425" s="55"/>
      <c r="C425" s="56"/>
      <c r="D425" s="56"/>
      <c r="E425" s="56"/>
      <c r="F425" s="19"/>
      <c r="G425" s="19"/>
      <c r="H425" s="19"/>
      <c r="I425" s="55"/>
      <c r="J425" s="11">
        <f t="shared" si="54"/>
        <v>202607</v>
      </c>
      <c r="K425" s="19" t="str">
        <f t="shared" si="55"/>
        <v>يوليو 2026</v>
      </c>
      <c r="L425" s="19" t="str">
        <f t="shared" si="56"/>
        <v/>
      </c>
      <c r="N425" s="11">
        <f t="shared" si="57"/>
        <v>202607</v>
      </c>
      <c r="O425" s="19" t="str">
        <f t="shared" si="58"/>
        <v>يوليو 2026</v>
      </c>
      <c r="P425" s="19">
        <f t="shared" si="59"/>
        <v>0</v>
      </c>
      <c r="Q425" s="55">
        <f t="shared" si="60"/>
        <v>0</v>
      </c>
      <c r="R425" s="55">
        <f t="shared" si="61"/>
        <v>0</v>
      </c>
      <c r="S425" s="19">
        <f t="shared" si="62"/>
        <v>0</v>
      </c>
    </row>
    <row r="426" spans="1:19" ht="25.5" customHeight="1">
      <c r="A426" s="19"/>
      <c r="B426" s="55"/>
      <c r="C426" s="56"/>
      <c r="D426" s="56"/>
      <c r="E426" s="56"/>
      <c r="F426" s="19"/>
      <c r="G426" s="19"/>
      <c r="H426" s="19"/>
      <c r="I426" s="55"/>
      <c r="J426" s="11">
        <f t="shared" si="54"/>
        <v>202607</v>
      </c>
      <c r="K426" s="19" t="str">
        <f t="shared" si="55"/>
        <v>يوليو 2026</v>
      </c>
      <c r="L426" s="19" t="str">
        <f t="shared" si="56"/>
        <v/>
      </c>
      <c r="N426" s="11">
        <f t="shared" si="57"/>
        <v>202607</v>
      </c>
      <c r="O426" s="19" t="str">
        <f t="shared" si="58"/>
        <v>يوليو 2026</v>
      </c>
      <c r="P426" s="19">
        <f t="shared" si="59"/>
        <v>0</v>
      </c>
      <c r="Q426" s="55">
        <f t="shared" si="60"/>
        <v>0</v>
      </c>
      <c r="R426" s="55">
        <f t="shared" si="61"/>
        <v>0</v>
      </c>
      <c r="S426" s="19">
        <f t="shared" si="62"/>
        <v>0</v>
      </c>
    </row>
    <row r="427" spans="1:19" ht="25.5" customHeight="1">
      <c r="A427" s="19"/>
      <c r="B427" s="55"/>
      <c r="C427" s="56"/>
      <c r="D427" s="56"/>
      <c r="E427" s="56"/>
      <c r="F427" s="19"/>
      <c r="G427" s="19"/>
      <c r="H427" s="19"/>
      <c r="I427" s="55"/>
      <c r="J427" s="11">
        <f t="shared" si="54"/>
        <v>202607</v>
      </c>
      <c r="K427" s="19" t="str">
        <f t="shared" si="55"/>
        <v>يوليو 2026</v>
      </c>
      <c r="L427" s="19" t="str">
        <f t="shared" si="56"/>
        <v/>
      </c>
      <c r="N427" s="11">
        <f t="shared" si="57"/>
        <v>202607</v>
      </c>
      <c r="O427" s="19" t="str">
        <f t="shared" si="58"/>
        <v>يوليو 2026</v>
      </c>
      <c r="P427" s="19">
        <f t="shared" si="59"/>
        <v>0</v>
      </c>
      <c r="Q427" s="55">
        <f t="shared" si="60"/>
        <v>0</v>
      </c>
      <c r="R427" s="55">
        <f t="shared" si="61"/>
        <v>0</v>
      </c>
      <c r="S427" s="19">
        <f t="shared" si="62"/>
        <v>0</v>
      </c>
    </row>
    <row r="428" spans="1:19" ht="25.5" customHeight="1">
      <c r="A428" s="19"/>
      <c r="B428" s="55"/>
      <c r="C428" s="56"/>
      <c r="D428" s="56"/>
      <c r="E428" s="56"/>
      <c r="F428" s="19"/>
      <c r="G428" s="19"/>
      <c r="H428" s="19"/>
      <c r="I428" s="55"/>
      <c r="J428" s="11">
        <f t="shared" si="54"/>
        <v>202607</v>
      </c>
      <c r="K428" s="19" t="str">
        <f t="shared" si="55"/>
        <v>يوليو 2026</v>
      </c>
      <c r="L428" s="19" t="str">
        <f t="shared" si="56"/>
        <v/>
      </c>
      <c r="N428" s="11">
        <f t="shared" si="57"/>
        <v>202607</v>
      </c>
      <c r="O428" s="19" t="str">
        <f t="shared" si="58"/>
        <v>يوليو 2026</v>
      </c>
      <c r="P428" s="19">
        <f t="shared" si="59"/>
        <v>0</v>
      </c>
      <c r="Q428" s="55">
        <f t="shared" si="60"/>
        <v>0</v>
      </c>
      <c r="R428" s="55">
        <f t="shared" si="61"/>
        <v>0</v>
      </c>
      <c r="S428" s="19">
        <f t="shared" si="62"/>
        <v>0</v>
      </c>
    </row>
    <row r="429" spans="1:19" ht="25.5" customHeight="1">
      <c r="A429" s="19"/>
      <c r="B429" s="55"/>
      <c r="C429" s="56"/>
      <c r="D429" s="56"/>
      <c r="E429" s="56"/>
      <c r="F429" s="19"/>
      <c r="G429" s="19"/>
      <c r="H429" s="19"/>
      <c r="I429" s="55"/>
      <c r="J429" s="11">
        <f t="shared" si="54"/>
        <v>202607</v>
      </c>
      <c r="K429" s="19" t="str">
        <f t="shared" si="55"/>
        <v>يوليو 2026</v>
      </c>
      <c r="L429" s="19" t="str">
        <f t="shared" si="56"/>
        <v/>
      </c>
      <c r="N429" s="11">
        <f t="shared" si="57"/>
        <v>202607</v>
      </c>
      <c r="O429" s="19" t="str">
        <f t="shared" si="58"/>
        <v>يوليو 2026</v>
      </c>
      <c r="P429" s="19">
        <f t="shared" si="59"/>
        <v>0</v>
      </c>
      <c r="Q429" s="55">
        <f t="shared" si="60"/>
        <v>0</v>
      </c>
      <c r="R429" s="55">
        <f t="shared" si="61"/>
        <v>0</v>
      </c>
      <c r="S429" s="19">
        <f t="shared" si="62"/>
        <v>0</v>
      </c>
    </row>
    <row r="430" spans="1:19" ht="25.5" customHeight="1">
      <c r="A430" s="19"/>
      <c r="B430" s="55"/>
      <c r="C430" s="56"/>
      <c r="D430" s="56"/>
      <c r="E430" s="56"/>
      <c r="F430" s="19"/>
      <c r="G430" s="19"/>
      <c r="H430" s="19"/>
      <c r="I430" s="55"/>
      <c r="J430" s="11">
        <f t="shared" si="54"/>
        <v>202607</v>
      </c>
      <c r="K430" s="19" t="str">
        <f t="shared" si="55"/>
        <v>يوليو 2026</v>
      </c>
      <c r="L430" s="19" t="str">
        <f t="shared" si="56"/>
        <v/>
      </c>
      <c r="N430" s="11">
        <f t="shared" si="57"/>
        <v>202607</v>
      </c>
      <c r="O430" s="19" t="str">
        <f t="shared" si="58"/>
        <v>يوليو 2026</v>
      </c>
      <c r="P430" s="19">
        <f t="shared" si="59"/>
        <v>0</v>
      </c>
      <c r="Q430" s="55">
        <f t="shared" si="60"/>
        <v>0</v>
      </c>
      <c r="R430" s="55">
        <f t="shared" si="61"/>
        <v>0</v>
      </c>
      <c r="S430" s="19">
        <f t="shared" si="62"/>
        <v>0</v>
      </c>
    </row>
    <row r="431" spans="1:19" ht="25.5" customHeight="1">
      <c r="A431" s="19"/>
      <c r="B431" s="55"/>
      <c r="C431" s="56"/>
      <c r="D431" s="56"/>
      <c r="E431" s="56"/>
      <c r="F431" s="19"/>
      <c r="G431" s="19"/>
      <c r="H431" s="19"/>
      <c r="I431" s="55"/>
      <c r="J431" s="11">
        <f t="shared" si="54"/>
        <v>202607</v>
      </c>
      <c r="K431" s="19" t="str">
        <f t="shared" si="55"/>
        <v>يوليو 2026</v>
      </c>
      <c r="L431" s="19" t="str">
        <f t="shared" si="56"/>
        <v/>
      </c>
      <c r="N431" s="11">
        <f t="shared" si="57"/>
        <v>202607</v>
      </c>
      <c r="O431" s="19" t="str">
        <f t="shared" si="58"/>
        <v>يوليو 2026</v>
      </c>
      <c r="P431" s="19">
        <f t="shared" si="59"/>
        <v>0</v>
      </c>
      <c r="Q431" s="55">
        <f t="shared" si="60"/>
        <v>0</v>
      </c>
      <c r="R431" s="55">
        <f t="shared" si="61"/>
        <v>0</v>
      </c>
      <c r="S431" s="19">
        <f t="shared" si="62"/>
        <v>0</v>
      </c>
    </row>
    <row r="432" spans="1:19" ht="25.5" customHeight="1">
      <c r="A432" s="19"/>
      <c r="B432" s="55"/>
      <c r="C432" s="56"/>
      <c r="D432" s="56"/>
      <c r="E432" s="56"/>
      <c r="F432" s="19"/>
      <c r="G432" s="19"/>
      <c r="H432" s="19"/>
      <c r="I432" s="55"/>
      <c r="J432" s="11">
        <f t="shared" si="54"/>
        <v>202607</v>
      </c>
      <c r="K432" s="19" t="str">
        <f t="shared" si="55"/>
        <v>يوليو 2026</v>
      </c>
      <c r="L432" s="19" t="str">
        <f t="shared" si="56"/>
        <v/>
      </c>
      <c r="N432" s="11">
        <f t="shared" si="57"/>
        <v>202607</v>
      </c>
      <c r="O432" s="19" t="str">
        <f t="shared" si="58"/>
        <v>يوليو 2026</v>
      </c>
      <c r="P432" s="19">
        <f t="shared" si="59"/>
        <v>0</v>
      </c>
      <c r="Q432" s="55">
        <f t="shared" si="60"/>
        <v>0</v>
      </c>
      <c r="R432" s="55">
        <f t="shared" si="61"/>
        <v>0</v>
      </c>
      <c r="S432" s="19">
        <f t="shared" si="62"/>
        <v>0</v>
      </c>
    </row>
    <row r="433" spans="1:19" ht="25.5" customHeight="1">
      <c r="A433" s="19"/>
      <c r="B433" s="55"/>
      <c r="C433" s="56"/>
      <c r="D433" s="56"/>
      <c r="E433" s="56"/>
      <c r="F433" s="19"/>
      <c r="G433" s="19"/>
      <c r="H433" s="19"/>
      <c r="I433" s="55"/>
      <c r="J433" s="11">
        <f t="shared" si="54"/>
        <v>202607</v>
      </c>
      <c r="K433" s="19" t="str">
        <f t="shared" si="55"/>
        <v>يوليو 2026</v>
      </c>
      <c r="L433" s="19" t="str">
        <f t="shared" si="56"/>
        <v/>
      </c>
      <c r="N433" s="11">
        <f t="shared" si="57"/>
        <v>202607</v>
      </c>
      <c r="O433" s="19" t="str">
        <f t="shared" si="58"/>
        <v>يوليو 2026</v>
      </c>
      <c r="P433" s="19">
        <f t="shared" si="59"/>
        <v>0</v>
      </c>
      <c r="Q433" s="55">
        <f t="shared" si="60"/>
        <v>0</v>
      </c>
      <c r="R433" s="55">
        <f t="shared" si="61"/>
        <v>0</v>
      </c>
      <c r="S433" s="19">
        <f t="shared" si="62"/>
        <v>0</v>
      </c>
    </row>
    <row r="434" spans="1:19" ht="25.5" customHeight="1">
      <c r="A434" s="19"/>
      <c r="B434" s="55"/>
      <c r="C434" s="56"/>
      <c r="D434" s="56"/>
      <c r="E434" s="56"/>
      <c r="F434" s="19"/>
      <c r="G434" s="19"/>
      <c r="H434" s="19"/>
      <c r="I434" s="55"/>
      <c r="J434" s="11">
        <f t="shared" si="54"/>
        <v>202607</v>
      </c>
      <c r="K434" s="19" t="str">
        <f t="shared" si="55"/>
        <v>يوليو 2026</v>
      </c>
      <c r="L434" s="19" t="str">
        <f t="shared" si="56"/>
        <v/>
      </c>
      <c r="N434" s="11">
        <f t="shared" si="57"/>
        <v>202607</v>
      </c>
      <c r="O434" s="19" t="str">
        <f t="shared" si="58"/>
        <v>يوليو 2026</v>
      </c>
      <c r="P434" s="19">
        <f t="shared" si="59"/>
        <v>0</v>
      </c>
      <c r="Q434" s="55">
        <f t="shared" si="60"/>
        <v>0</v>
      </c>
      <c r="R434" s="55">
        <f t="shared" si="61"/>
        <v>0</v>
      </c>
      <c r="S434" s="19">
        <f t="shared" si="62"/>
        <v>0</v>
      </c>
    </row>
    <row r="435" spans="1:19" ht="25.5" customHeight="1">
      <c r="A435" s="19"/>
      <c r="B435" s="55"/>
      <c r="C435" s="56"/>
      <c r="D435" s="56"/>
      <c r="E435" s="56"/>
      <c r="F435" s="19"/>
      <c r="G435" s="19"/>
      <c r="H435" s="19"/>
      <c r="I435" s="55"/>
      <c r="J435" s="11">
        <f t="shared" si="54"/>
        <v>202607</v>
      </c>
      <c r="K435" s="19" t="str">
        <f t="shared" si="55"/>
        <v>يوليو 2026</v>
      </c>
      <c r="L435" s="19" t="str">
        <f t="shared" si="56"/>
        <v/>
      </c>
      <c r="N435" s="11">
        <f t="shared" si="57"/>
        <v>202607</v>
      </c>
      <c r="O435" s="19" t="str">
        <f t="shared" si="58"/>
        <v>يوليو 2026</v>
      </c>
      <c r="P435" s="19">
        <f t="shared" si="59"/>
        <v>0</v>
      </c>
      <c r="Q435" s="55">
        <f t="shared" si="60"/>
        <v>0</v>
      </c>
      <c r="R435" s="55">
        <f t="shared" si="61"/>
        <v>0</v>
      </c>
      <c r="S435" s="19">
        <f t="shared" si="62"/>
        <v>0</v>
      </c>
    </row>
    <row r="436" spans="1:19" ht="25.5" customHeight="1">
      <c r="A436" s="19"/>
      <c r="B436" s="55"/>
      <c r="C436" s="56"/>
      <c r="D436" s="56"/>
      <c r="E436" s="56"/>
      <c r="F436" s="19"/>
      <c r="G436" s="19"/>
      <c r="H436" s="19"/>
      <c r="I436" s="55"/>
      <c r="J436" s="11">
        <f t="shared" si="54"/>
        <v>202607</v>
      </c>
      <c r="K436" s="19" t="str">
        <f t="shared" si="55"/>
        <v>يوليو 2026</v>
      </c>
      <c r="L436" s="19" t="str">
        <f t="shared" si="56"/>
        <v/>
      </c>
      <c r="N436" s="11">
        <f t="shared" si="57"/>
        <v>202607</v>
      </c>
      <c r="O436" s="19" t="str">
        <f t="shared" si="58"/>
        <v>يوليو 2026</v>
      </c>
      <c r="P436" s="19">
        <f t="shared" si="59"/>
        <v>0</v>
      </c>
      <c r="Q436" s="55">
        <f t="shared" si="60"/>
        <v>0</v>
      </c>
      <c r="R436" s="55">
        <f t="shared" si="61"/>
        <v>0</v>
      </c>
      <c r="S436" s="19">
        <f t="shared" si="62"/>
        <v>0</v>
      </c>
    </row>
    <row r="437" spans="1:19" ht="25.5" customHeight="1">
      <c r="A437" s="19"/>
      <c r="B437" s="55"/>
      <c r="C437" s="56"/>
      <c r="D437" s="56"/>
      <c r="E437" s="56"/>
      <c r="F437" s="19"/>
      <c r="G437" s="19"/>
      <c r="H437" s="19"/>
      <c r="I437" s="55"/>
      <c r="J437" s="11">
        <f t="shared" si="54"/>
        <v>202607</v>
      </c>
      <c r="K437" s="19" t="str">
        <f t="shared" si="55"/>
        <v>يوليو 2026</v>
      </c>
      <c r="L437" s="19" t="str">
        <f t="shared" si="56"/>
        <v/>
      </c>
      <c r="N437" s="11">
        <f t="shared" si="57"/>
        <v>202607</v>
      </c>
      <c r="O437" s="19" t="str">
        <f t="shared" si="58"/>
        <v>يوليو 2026</v>
      </c>
      <c r="P437" s="19">
        <f t="shared" si="59"/>
        <v>0</v>
      </c>
      <c r="Q437" s="55">
        <f t="shared" si="60"/>
        <v>0</v>
      </c>
      <c r="R437" s="55">
        <f t="shared" si="61"/>
        <v>0</v>
      </c>
      <c r="S437" s="19">
        <f t="shared" si="62"/>
        <v>0</v>
      </c>
    </row>
    <row r="438" spans="1:19" ht="25.5" customHeight="1">
      <c r="A438" s="19"/>
      <c r="B438" s="55"/>
      <c r="C438" s="56"/>
      <c r="D438" s="56"/>
      <c r="E438" s="56"/>
      <c r="F438" s="19"/>
      <c r="G438" s="19"/>
      <c r="H438" s="19"/>
      <c r="I438" s="55"/>
      <c r="J438" s="11">
        <f t="shared" si="54"/>
        <v>202607</v>
      </c>
      <c r="K438" s="19" t="str">
        <f t="shared" si="55"/>
        <v>يوليو 2026</v>
      </c>
      <c r="L438" s="19" t="str">
        <f t="shared" si="56"/>
        <v/>
      </c>
      <c r="N438" s="11">
        <f t="shared" si="57"/>
        <v>202607</v>
      </c>
      <c r="O438" s="19" t="str">
        <f t="shared" si="58"/>
        <v>يوليو 2026</v>
      </c>
      <c r="P438" s="19">
        <f t="shared" si="59"/>
        <v>0</v>
      </c>
      <c r="Q438" s="55">
        <f t="shared" si="60"/>
        <v>0</v>
      </c>
      <c r="R438" s="55">
        <f t="shared" si="61"/>
        <v>0</v>
      </c>
      <c r="S438" s="19">
        <f t="shared" si="62"/>
        <v>0</v>
      </c>
    </row>
    <row r="439" spans="1:19" ht="25.5" customHeight="1">
      <c r="A439" s="19"/>
      <c r="B439" s="55"/>
      <c r="C439" s="56"/>
      <c r="D439" s="56"/>
      <c r="E439" s="56"/>
      <c r="F439" s="19"/>
      <c r="G439" s="19"/>
      <c r="H439" s="19"/>
      <c r="I439" s="55"/>
      <c r="J439" s="11">
        <f t="shared" si="54"/>
        <v>202607</v>
      </c>
      <c r="K439" s="19" t="str">
        <f t="shared" si="55"/>
        <v>يوليو 2026</v>
      </c>
      <c r="L439" s="19" t="str">
        <f t="shared" si="56"/>
        <v/>
      </c>
      <c r="N439" s="11">
        <f t="shared" si="57"/>
        <v>202607</v>
      </c>
      <c r="O439" s="19" t="str">
        <f t="shared" si="58"/>
        <v>يوليو 2026</v>
      </c>
      <c r="P439" s="19">
        <f t="shared" si="59"/>
        <v>0</v>
      </c>
      <c r="Q439" s="55">
        <f t="shared" si="60"/>
        <v>0</v>
      </c>
      <c r="R439" s="55">
        <f t="shared" si="61"/>
        <v>0</v>
      </c>
      <c r="S439" s="19">
        <f t="shared" si="62"/>
        <v>0</v>
      </c>
    </row>
    <row r="440" spans="1:19" ht="25.5" customHeight="1">
      <c r="A440" s="19"/>
      <c r="B440" s="55"/>
      <c r="C440" s="56"/>
      <c r="D440" s="56"/>
      <c r="E440" s="56"/>
      <c r="F440" s="19"/>
      <c r="G440" s="19"/>
      <c r="H440" s="19"/>
      <c r="I440" s="55"/>
      <c r="J440" s="11">
        <f t="shared" si="54"/>
        <v>202607</v>
      </c>
      <c r="K440" s="19" t="str">
        <f t="shared" si="55"/>
        <v>يوليو 2026</v>
      </c>
      <c r="L440" s="19" t="str">
        <f t="shared" si="56"/>
        <v/>
      </c>
      <c r="N440" s="11">
        <f t="shared" si="57"/>
        <v>202607</v>
      </c>
      <c r="O440" s="19" t="str">
        <f t="shared" si="58"/>
        <v>يوليو 2026</v>
      </c>
      <c r="P440" s="19">
        <f t="shared" si="59"/>
        <v>0</v>
      </c>
      <c r="Q440" s="55">
        <f t="shared" si="60"/>
        <v>0</v>
      </c>
      <c r="R440" s="55">
        <f t="shared" si="61"/>
        <v>0</v>
      </c>
      <c r="S440" s="19">
        <f t="shared" si="62"/>
        <v>0</v>
      </c>
    </row>
    <row r="441" spans="1:19" ht="25.5" customHeight="1">
      <c r="A441" s="19"/>
      <c r="B441" s="55"/>
      <c r="C441" s="56"/>
      <c r="D441" s="56"/>
      <c r="E441" s="56"/>
      <c r="F441" s="19"/>
      <c r="G441" s="19"/>
      <c r="H441" s="19"/>
      <c r="I441" s="55"/>
      <c r="J441" s="11">
        <f t="shared" si="54"/>
        <v>202607</v>
      </c>
      <c r="K441" s="19" t="str">
        <f t="shared" si="55"/>
        <v>يوليو 2026</v>
      </c>
      <c r="L441" s="19" t="str">
        <f t="shared" si="56"/>
        <v/>
      </c>
      <c r="N441" s="11">
        <f t="shared" si="57"/>
        <v>202607</v>
      </c>
      <c r="O441" s="19" t="str">
        <f t="shared" si="58"/>
        <v>يوليو 2026</v>
      </c>
      <c r="P441" s="19">
        <f t="shared" si="59"/>
        <v>0</v>
      </c>
      <c r="Q441" s="55">
        <f t="shared" si="60"/>
        <v>0</v>
      </c>
      <c r="R441" s="55">
        <f t="shared" si="61"/>
        <v>0</v>
      </c>
      <c r="S441" s="19">
        <f t="shared" si="62"/>
        <v>0</v>
      </c>
    </row>
    <row r="442" spans="1:19" ht="25.5" customHeight="1">
      <c r="A442" s="19"/>
      <c r="B442" s="55"/>
      <c r="C442" s="56"/>
      <c r="D442" s="56"/>
      <c r="E442" s="56"/>
      <c r="F442" s="19"/>
      <c r="G442" s="19"/>
      <c r="H442" s="19"/>
      <c r="I442" s="55"/>
      <c r="J442" s="11">
        <f t="shared" si="54"/>
        <v>202607</v>
      </c>
      <c r="K442" s="19" t="str">
        <f t="shared" si="55"/>
        <v>يوليو 2026</v>
      </c>
      <c r="L442" s="19" t="str">
        <f t="shared" si="56"/>
        <v/>
      </c>
      <c r="N442" s="11">
        <f t="shared" si="57"/>
        <v>202607</v>
      </c>
      <c r="O442" s="19" t="str">
        <f t="shared" si="58"/>
        <v>يوليو 2026</v>
      </c>
      <c r="P442" s="19">
        <f t="shared" si="59"/>
        <v>0</v>
      </c>
      <c r="Q442" s="55">
        <f t="shared" si="60"/>
        <v>0</v>
      </c>
      <c r="R442" s="55">
        <f t="shared" si="61"/>
        <v>0</v>
      </c>
      <c r="S442" s="19">
        <f t="shared" si="62"/>
        <v>0</v>
      </c>
    </row>
    <row r="443" spans="1:19" ht="25.5" customHeight="1">
      <c r="A443" s="19"/>
      <c r="B443" s="55"/>
      <c r="C443" s="56"/>
      <c r="D443" s="56"/>
      <c r="E443" s="56"/>
      <c r="F443" s="19"/>
      <c r="G443" s="19"/>
      <c r="H443" s="19"/>
      <c r="I443" s="55"/>
      <c r="J443" s="11">
        <f t="shared" si="54"/>
        <v>202607</v>
      </c>
      <c r="K443" s="19" t="str">
        <f t="shared" si="55"/>
        <v>يوليو 2026</v>
      </c>
      <c r="L443" s="19" t="str">
        <f t="shared" si="56"/>
        <v/>
      </c>
      <c r="N443" s="11">
        <f t="shared" si="57"/>
        <v>202607</v>
      </c>
      <c r="O443" s="19" t="str">
        <f t="shared" si="58"/>
        <v>يوليو 2026</v>
      </c>
      <c r="P443" s="19">
        <f t="shared" si="59"/>
        <v>0</v>
      </c>
      <c r="Q443" s="55">
        <f t="shared" si="60"/>
        <v>0</v>
      </c>
      <c r="R443" s="55">
        <f t="shared" si="61"/>
        <v>0</v>
      </c>
      <c r="S443" s="19">
        <f t="shared" si="62"/>
        <v>0</v>
      </c>
    </row>
    <row r="444" spans="1:19" ht="25.5" customHeight="1">
      <c r="A444" s="19"/>
      <c r="B444" s="55"/>
      <c r="C444" s="56"/>
      <c r="D444" s="56"/>
      <c r="E444" s="56"/>
      <c r="F444" s="19"/>
      <c r="G444" s="19"/>
      <c r="H444" s="19"/>
      <c r="I444" s="55"/>
      <c r="J444" s="11">
        <f t="shared" si="54"/>
        <v>202607</v>
      </c>
      <c r="K444" s="19" t="str">
        <f t="shared" si="55"/>
        <v>يوليو 2026</v>
      </c>
      <c r="L444" s="19" t="str">
        <f t="shared" si="56"/>
        <v/>
      </c>
      <c r="N444" s="11">
        <f t="shared" si="57"/>
        <v>202607</v>
      </c>
      <c r="O444" s="19" t="str">
        <f t="shared" si="58"/>
        <v>يوليو 2026</v>
      </c>
      <c r="P444" s="19">
        <f t="shared" si="59"/>
        <v>0</v>
      </c>
      <c r="Q444" s="55">
        <f t="shared" si="60"/>
        <v>0</v>
      </c>
      <c r="R444" s="55">
        <f t="shared" si="61"/>
        <v>0</v>
      </c>
      <c r="S444" s="19">
        <f t="shared" si="62"/>
        <v>0</v>
      </c>
    </row>
    <row r="445" spans="1:19" ht="25.5" customHeight="1">
      <c r="A445" s="19"/>
      <c r="B445" s="55"/>
      <c r="C445" s="56"/>
      <c r="D445" s="56"/>
      <c r="E445" s="56"/>
      <c r="F445" s="19"/>
      <c r="G445" s="19"/>
      <c r="H445" s="19"/>
      <c r="I445" s="55"/>
      <c r="J445" s="11">
        <f t="shared" si="54"/>
        <v>202607</v>
      </c>
      <c r="K445" s="19" t="str">
        <f t="shared" si="55"/>
        <v>يوليو 2026</v>
      </c>
      <c r="L445" s="19" t="str">
        <f t="shared" si="56"/>
        <v/>
      </c>
      <c r="N445" s="11">
        <f t="shared" si="57"/>
        <v>202607</v>
      </c>
      <c r="O445" s="19" t="str">
        <f t="shared" si="58"/>
        <v>يوليو 2026</v>
      </c>
      <c r="P445" s="19">
        <f t="shared" si="59"/>
        <v>0</v>
      </c>
      <c r="Q445" s="55">
        <f t="shared" si="60"/>
        <v>0</v>
      </c>
      <c r="R445" s="55">
        <f t="shared" si="61"/>
        <v>0</v>
      </c>
      <c r="S445" s="19">
        <f t="shared" si="62"/>
        <v>0</v>
      </c>
    </row>
    <row r="446" spans="1:19" ht="25.5" customHeight="1">
      <c r="A446" s="19"/>
      <c r="B446" s="55"/>
      <c r="C446" s="56"/>
      <c r="D446" s="56"/>
      <c r="E446" s="56"/>
      <c r="F446" s="19"/>
      <c r="G446" s="19"/>
      <c r="H446" s="19"/>
      <c r="I446" s="55"/>
      <c r="J446" s="11">
        <f t="shared" si="54"/>
        <v>202607</v>
      </c>
      <c r="K446" s="19" t="str">
        <f t="shared" si="55"/>
        <v>يوليو 2026</v>
      </c>
      <c r="L446" s="19" t="str">
        <f t="shared" si="56"/>
        <v/>
      </c>
      <c r="N446" s="11">
        <f t="shared" si="57"/>
        <v>202607</v>
      </c>
      <c r="O446" s="19" t="str">
        <f t="shared" si="58"/>
        <v>يوليو 2026</v>
      </c>
      <c r="P446" s="19">
        <f t="shared" si="59"/>
        <v>0</v>
      </c>
      <c r="Q446" s="55">
        <f t="shared" si="60"/>
        <v>0</v>
      </c>
      <c r="R446" s="55">
        <f t="shared" si="61"/>
        <v>0</v>
      </c>
      <c r="S446" s="19">
        <f t="shared" si="62"/>
        <v>0</v>
      </c>
    </row>
    <row r="447" spans="1:19" ht="25.5" customHeight="1">
      <c r="A447" s="19"/>
      <c r="B447" s="55"/>
      <c r="C447" s="56"/>
      <c r="D447" s="56"/>
      <c r="E447" s="56"/>
      <c r="F447" s="19"/>
      <c r="G447" s="19"/>
      <c r="H447" s="19"/>
      <c r="I447" s="55"/>
      <c r="J447" s="11">
        <f t="shared" si="54"/>
        <v>202607</v>
      </c>
      <c r="K447" s="19" t="str">
        <f t="shared" si="55"/>
        <v>يوليو 2026</v>
      </c>
      <c r="L447" s="19" t="str">
        <f t="shared" si="56"/>
        <v/>
      </c>
      <c r="N447" s="11">
        <f t="shared" si="57"/>
        <v>202607</v>
      </c>
      <c r="O447" s="19" t="str">
        <f t="shared" si="58"/>
        <v>يوليو 2026</v>
      </c>
      <c r="P447" s="19">
        <f t="shared" si="59"/>
        <v>0</v>
      </c>
      <c r="Q447" s="55">
        <f t="shared" si="60"/>
        <v>0</v>
      </c>
      <c r="R447" s="55">
        <f t="shared" si="61"/>
        <v>0</v>
      </c>
      <c r="S447" s="19">
        <f t="shared" si="62"/>
        <v>0</v>
      </c>
    </row>
    <row r="448" spans="1:19" ht="25.5" customHeight="1">
      <c r="A448" s="19"/>
      <c r="B448" s="55"/>
      <c r="C448" s="56"/>
      <c r="D448" s="56"/>
      <c r="E448" s="56"/>
      <c r="F448" s="19"/>
      <c r="G448" s="19"/>
      <c r="H448" s="19"/>
      <c r="I448" s="55"/>
      <c r="J448" s="11">
        <f t="shared" si="54"/>
        <v>202607</v>
      </c>
      <c r="K448" s="19" t="str">
        <f t="shared" si="55"/>
        <v>يوليو 2026</v>
      </c>
      <c r="L448" s="19" t="str">
        <f t="shared" si="56"/>
        <v/>
      </c>
      <c r="N448" s="11">
        <f t="shared" si="57"/>
        <v>202607</v>
      </c>
      <c r="O448" s="19" t="str">
        <f t="shared" si="58"/>
        <v>يوليو 2026</v>
      </c>
      <c r="P448" s="19">
        <f t="shared" si="59"/>
        <v>0</v>
      </c>
      <c r="Q448" s="55">
        <f t="shared" si="60"/>
        <v>0</v>
      </c>
      <c r="R448" s="55">
        <f t="shared" si="61"/>
        <v>0</v>
      </c>
      <c r="S448" s="19">
        <f t="shared" si="62"/>
        <v>0</v>
      </c>
    </row>
    <row r="449" spans="1:19" ht="25.5" customHeight="1">
      <c r="A449" s="19"/>
      <c r="B449" s="55"/>
      <c r="C449" s="56"/>
      <c r="D449" s="56"/>
      <c r="E449" s="56"/>
      <c r="F449" s="19"/>
      <c r="G449" s="19"/>
      <c r="H449" s="19"/>
      <c r="I449" s="55"/>
      <c r="J449" s="11">
        <f t="shared" si="54"/>
        <v>202607</v>
      </c>
      <c r="K449" s="19" t="str">
        <f t="shared" si="55"/>
        <v>يوليو 2026</v>
      </c>
      <c r="L449" s="19" t="str">
        <f t="shared" si="56"/>
        <v/>
      </c>
      <c r="N449" s="11">
        <f t="shared" si="57"/>
        <v>202607</v>
      </c>
      <c r="O449" s="19" t="str">
        <f t="shared" si="58"/>
        <v>يوليو 2026</v>
      </c>
      <c r="P449" s="19">
        <f t="shared" si="59"/>
        <v>0</v>
      </c>
      <c r="Q449" s="55">
        <f t="shared" si="60"/>
        <v>0</v>
      </c>
      <c r="R449" s="55">
        <f t="shared" si="61"/>
        <v>0</v>
      </c>
      <c r="S449" s="19">
        <f t="shared" si="62"/>
        <v>0</v>
      </c>
    </row>
    <row r="450" spans="1:19" ht="25.5" customHeight="1">
      <c r="A450" s="19"/>
      <c r="B450" s="55"/>
      <c r="C450" s="56"/>
      <c r="D450" s="56"/>
      <c r="E450" s="56"/>
      <c r="F450" s="19"/>
      <c r="G450" s="19"/>
      <c r="H450" s="19"/>
      <c r="I450" s="55"/>
      <c r="J450" s="11">
        <f t="shared" si="54"/>
        <v>202607</v>
      </c>
      <c r="K450" s="19" t="str">
        <f t="shared" si="55"/>
        <v>يوليو 2026</v>
      </c>
      <c r="L450" s="19" t="str">
        <f t="shared" si="56"/>
        <v/>
      </c>
      <c r="N450" s="11">
        <f t="shared" si="57"/>
        <v>202607</v>
      </c>
      <c r="O450" s="19" t="str">
        <f t="shared" si="58"/>
        <v>يوليو 2026</v>
      </c>
      <c r="P450" s="19">
        <f t="shared" si="59"/>
        <v>0</v>
      </c>
      <c r="Q450" s="55">
        <f t="shared" si="60"/>
        <v>0</v>
      </c>
      <c r="R450" s="55">
        <f t="shared" si="61"/>
        <v>0</v>
      </c>
      <c r="S450" s="19">
        <f t="shared" si="62"/>
        <v>0</v>
      </c>
    </row>
    <row r="451" spans="1:19" ht="25.5" customHeight="1">
      <c r="A451" s="19"/>
      <c r="B451" s="55"/>
      <c r="C451" s="56"/>
      <c r="D451" s="56"/>
      <c r="E451" s="56"/>
      <c r="F451" s="19"/>
      <c r="G451" s="19"/>
      <c r="H451" s="19"/>
      <c r="I451" s="55"/>
      <c r="J451" s="11">
        <f t="shared" si="54"/>
        <v>202607</v>
      </c>
      <c r="K451" s="19" t="str">
        <f t="shared" si="55"/>
        <v>يوليو 2026</v>
      </c>
      <c r="L451" s="19" t="str">
        <f t="shared" si="56"/>
        <v/>
      </c>
      <c r="N451" s="11">
        <f t="shared" si="57"/>
        <v>202607</v>
      </c>
      <c r="O451" s="19" t="str">
        <f t="shared" si="58"/>
        <v>يوليو 2026</v>
      </c>
      <c r="P451" s="19">
        <f t="shared" si="59"/>
        <v>0</v>
      </c>
      <c r="Q451" s="55">
        <f t="shared" si="60"/>
        <v>0</v>
      </c>
      <c r="R451" s="55">
        <f t="shared" si="61"/>
        <v>0</v>
      </c>
      <c r="S451" s="19">
        <f t="shared" si="62"/>
        <v>0</v>
      </c>
    </row>
    <row r="452" spans="1:19" ht="25.5" customHeight="1">
      <c r="A452" s="19"/>
      <c r="B452" s="55"/>
      <c r="C452" s="56"/>
      <c r="D452" s="56"/>
      <c r="E452" s="56"/>
      <c r="F452" s="19"/>
      <c r="G452" s="19"/>
      <c r="H452" s="19"/>
      <c r="I452" s="55"/>
      <c r="J452" s="11">
        <f t="shared" si="54"/>
        <v>202607</v>
      </c>
      <c r="K452" s="19" t="str">
        <f t="shared" si="55"/>
        <v>يوليو 2026</v>
      </c>
      <c r="L452" s="19" t="str">
        <f t="shared" si="56"/>
        <v/>
      </c>
      <c r="N452" s="11">
        <f t="shared" si="57"/>
        <v>202607</v>
      </c>
      <c r="O452" s="19" t="str">
        <f t="shared" si="58"/>
        <v>يوليو 2026</v>
      </c>
      <c r="P452" s="19">
        <f t="shared" si="59"/>
        <v>0</v>
      </c>
      <c r="Q452" s="55">
        <f t="shared" si="60"/>
        <v>0</v>
      </c>
      <c r="R452" s="55">
        <f t="shared" si="61"/>
        <v>0</v>
      </c>
      <c r="S452" s="19">
        <f t="shared" si="62"/>
        <v>0</v>
      </c>
    </row>
    <row r="453" spans="1:19" ht="25.5" customHeight="1">
      <c r="A453" s="19"/>
      <c r="B453" s="55"/>
      <c r="C453" s="56"/>
      <c r="D453" s="56"/>
      <c r="E453" s="56"/>
      <c r="F453" s="19"/>
      <c r="G453" s="19"/>
      <c r="H453" s="19"/>
      <c r="I453" s="55"/>
      <c r="J453" s="11">
        <f t="shared" si="54"/>
        <v>202607</v>
      </c>
      <c r="K453" s="19" t="str">
        <f t="shared" si="55"/>
        <v>يوليو 2026</v>
      </c>
      <c r="L453" s="19" t="str">
        <f t="shared" si="56"/>
        <v/>
      </c>
      <c r="N453" s="11">
        <f t="shared" si="57"/>
        <v>202607</v>
      </c>
      <c r="O453" s="19" t="str">
        <f t="shared" si="58"/>
        <v>يوليو 2026</v>
      </c>
      <c r="P453" s="19">
        <f t="shared" si="59"/>
        <v>0</v>
      </c>
      <c r="Q453" s="55">
        <f t="shared" si="60"/>
        <v>0</v>
      </c>
      <c r="R453" s="55">
        <f t="shared" si="61"/>
        <v>0</v>
      </c>
      <c r="S453" s="19">
        <f t="shared" si="62"/>
        <v>0</v>
      </c>
    </row>
    <row r="454" spans="1:19" ht="25.5" customHeight="1">
      <c r="A454" s="19"/>
      <c r="B454" s="55"/>
      <c r="C454" s="56"/>
      <c r="D454" s="56"/>
      <c r="E454" s="56"/>
      <c r="F454" s="19"/>
      <c r="G454" s="19"/>
      <c r="H454" s="19"/>
      <c r="I454" s="55"/>
      <c r="J454" s="11">
        <f t="shared" si="54"/>
        <v>202607</v>
      </c>
      <c r="K454" s="19" t="str">
        <f t="shared" si="55"/>
        <v>يوليو 2026</v>
      </c>
      <c r="L454" s="19" t="str">
        <f t="shared" si="56"/>
        <v/>
      </c>
      <c r="N454" s="11">
        <f t="shared" si="57"/>
        <v>202607</v>
      </c>
      <c r="O454" s="19" t="str">
        <f t="shared" si="58"/>
        <v>يوليو 2026</v>
      </c>
      <c r="P454" s="19">
        <f t="shared" si="59"/>
        <v>0</v>
      </c>
      <c r="Q454" s="55">
        <f t="shared" si="60"/>
        <v>0</v>
      </c>
      <c r="R454" s="55">
        <f t="shared" si="61"/>
        <v>0</v>
      </c>
      <c r="S454" s="19">
        <f t="shared" si="62"/>
        <v>0</v>
      </c>
    </row>
    <row r="455" spans="1:19" ht="25.5" customHeight="1">
      <c r="A455" s="19"/>
      <c r="B455" s="55"/>
      <c r="C455" s="56"/>
      <c r="D455" s="56"/>
      <c r="E455" s="56"/>
      <c r="F455" s="19"/>
      <c r="G455" s="19"/>
      <c r="H455" s="19"/>
      <c r="I455" s="55"/>
      <c r="J455" s="11">
        <f t="shared" ref="J455:J505" si="63">IF($B$3="","",$B$3)</f>
        <v>202607</v>
      </c>
      <c r="K455" s="19" t="str">
        <f t="shared" ref="K455:K505" si="64">IF($B$4="","",$B$4)</f>
        <v>يوليو 2026</v>
      </c>
      <c r="L455" s="19" t="str">
        <f t="shared" ref="L455:L505" si="65">IF(A455="","",IF(OR(B455="",B455=0),"⚠️ كمية مفقودة/صفر",IF(I455="","⚠️ سعر شراء مفقود",IF(F455="","⚠️ عملة مفقودة",IF(COUNTIF($A$7:$A$505,A455)&gt;1,"⚠️ مادة مكررة بالقائمة","✅ جاهز")))))</f>
        <v/>
      </c>
      <c r="N455" s="11">
        <f t="shared" ref="N455:N505" si="66">J455</f>
        <v>202607</v>
      </c>
      <c r="O455" s="19" t="str">
        <f t="shared" ref="O455:O505" si="67">K455</f>
        <v>يوليو 2026</v>
      </c>
      <c r="P455" s="19">
        <f t="shared" ref="P455:P505" si="68">A455</f>
        <v>0</v>
      </c>
      <c r="Q455" s="55">
        <f t="shared" ref="Q455:Q505" si="69">B455</f>
        <v>0</v>
      </c>
      <c r="R455" s="55">
        <f t="shared" ref="R455:R505" si="70">I455</f>
        <v>0</v>
      </c>
      <c r="S455" s="19">
        <f t="shared" ref="S455:S505" si="71">F455</f>
        <v>0</v>
      </c>
    </row>
    <row r="456" spans="1:19" ht="25.5" customHeight="1">
      <c r="A456" s="19"/>
      <c r="B456" s="55"/>
      <c r="C456" s="56"/>
      <c r="D456" s="56"/>
      <c r="E456" s="56"/>
      <c r="F456" s="19"/>
      <c r="G456" s="19"/>
      <c r="H456" s="19"/>
      <c r="I456" s="55"/>
      <c r="J456" s="11">
        <f t="shared" si="63"/>
        <v>202607</v>
      </c>
      <c r="K456" s="19" t="str">
        <f t="shared" si="64"/>
        <v>يوليو 2026</v>
      </c>
      <c r="L456" s="19" t="str">
        <f t="shared" si="65"/>
        <v/>
      </c>
      <c r="N456" s="11">
        <f t="shared" si="66"/>
        <v>202607</v>
      </c>
      <c r="O456" s="19" t="str">
        <f t="shared" si="67"/>
        <v>يوليو 2026</v>
      </c>
      <c r="P456" s="19">
        <f t="shared" si="68"/>
        <v>0</v>
      </c>
      <c r="Q456" s="55">
        <f t="shared" si="69"/>
        <v>0</v>
      </c>
      <c r="R456" s="55">
        <f t="shared" si="70"/>
        <v>0</v>
      </c>
      <c r="S456" s="19">
        <f t="shared" si="71"/>
        <v>0</v>
      </c>
    </row>
    <row r="457" spans="1:19" ht="25.5" customHeight="1">
      <c r="A457" s="19"/>
      <c r="B457" s="55"/>
      <c r="C457" s="56"/>
      <c r="D457" s="56"/>
      <c r="E457" s="56"/>
      <c r="F457" s="19"/>
      <c r="G457" s="19"/>
      <c r="H457" s="19"/>
      <c r="I457" s="55"/>
      <c r="J457" s="11">
        <f t="shared" si="63"/>
        <v>202607</v>
      </c>
      <c r="K457" s="19" t="str">
        <f t="shared" si="64"/>
        <v>يوليو 2026</v>
      </c>
      <c r="L457" s="19" t="str">
        <f t="shared" si="65"/>
        <v/>
      </c>
      <c r="N457" s="11">
        <f t="shared" si="66"/>
        <v>202607</v>
      </c>
      <c r="O457" s="19" t="str">
        <f t="shared" si="67"/>
        <v>يوليو 2026</v>
      </c>
      <c r="P457" s="19">
        <f t="shared" si="68"/>
        <v>0</v>
      </c>
      <c r="Q457" s="55">
        <f t="shared" si="69"/>
        <v>0</v>
      </c>
      <c r="R457" s="55">
        <f t="shared" si="70"/>
        <v>0</v>
      </c>
      <c r="S457" s="19">
        <f t="shared" si="71"/>
        <v>0</v>
      </c>
    </row>
    <row r="458" spans="1:19" ht="25.5" customHeight="1">
      <c r="A458" s="19"/>
      <c r="B458" s="55"/>
      <c r="C458" s="56"/>
      <c r="D458" s="56"/>
      <c r="E458" s="56"/>
      <c r="F458" s="19"/>
      <c r="G458" s="19"/>
      <c r="H458" s="19"/>
      <c r="I458" s="55"/>
      <c r="J458" s="11">
        <f t="shared" si="63"/>
        <v>202607</v>
      </c>
      <c r="K458" s="19" t="str">
        <f t="shared" si="64"/>
        <v>يوليو 2026</v>
      </c>
      <c r="L458" s="19" t="str">
        <f t="shared" si="65"/>
        <v/>
      </c>
      <c r="N458" s="11">
        <f t="shared" si="66"/>
        <v>202607</v>
      </c>
      <c r="O458" s="19" t="str">
        <f t="shared" si="67"/>
        <v>يوليو 2026</v>
      </c>
      <c r="P458" s="19">
        <f t="shared" si="68"/>
        <v>0</v>
      </c>
      <c r="Q458" s="55">
        <f t="shared" si="69"/>
        <v>0</v>
      </c>
      <c r="R458" s="55">
        <f t="shared" si="70"/>
        <v>0</v>
      </c>
      <c r="S458" s="19">
        <f t="shared" si="71"/>
        <v>0</v>
      </c>
    </row>
    <row r="459" spans="1:19" ht="25.5" customHeight="1">
      <c r="A459" s="19"/>
      <c r="B459" s="55"/>
      <c r="C459" s="56"/>
      <c r="D459" s="56"/>
      <c r="E459" s="56"/>
      <c r="F459" s="19"/>
      <c r="G459" s="19"/>
      <c r="H459" s="19"/>
      <c r="I459" s="55"/>
      <c r="J459" s="11">
        <f t="shared" si="63"/>
        <v>202607</v>
      </c>
      <c r="K459" s="19" t="str">
        <f t="shared" si="64"/>
        <v>يوليو 2026</v>
      </c>
      <c r="L459" s="19" t="str">
        <f t="shared" si="65"/>
        <v/>
      </c>
      <c r="N459" s="11">
        <f t="shared" si="66"/>
        <v>202607</v>
      </c>
      <c r="O459" s="19" t="str">
        <f t="shared" si="67"/>
        <v>يوليو 2026</v>
      </c>
      <c r="P459" s="19">
        <f t="shared" si="68"/>
        <v>0</v>
      </c>
      <c r="Q459" s="55">
        <f t="shared" si="69"/>
        <v>0</v>
      </c>
      <c r="R459" s="55">
        <f t="shared" si="70"/>
        <v>0</v>
      </c>
      <c r="S459" s="19">
        <f t="shared" si="71"/>
        <v>0</v>
      </c>
    </row>
    <row r="460" spans="1:19" ht="25.5" customHeight="1">
      <c r="A460" s="19"/>
      <c r="B460" s="55"/>
      <c r="C460" s="56"/>
      <c r="D460" s="56"/>
      <c r="E460" s="56"/>
      <c r="F460" s="19"/>
      <c r="G460" s="19"/>
      <c r="H460" s="19"/>
      <c r="I460" s="55"/>
      <c r="J460" s="11">
        <f t="shared" si="63"/>
        <v>202607</v>
      </c>
      <c r="K460" s="19" t="str">
        <f t="shared" si="64"/>
        <v>يوليو 2026</v>
      </c>
      <c r="L460" s="19" t="str">
        <f t="shared" si="65"/>
        <v/>
      </c>
      <c r="N460" s="11">
        <f t="shared" si="66"/>
        <v>202607</v>
      </c>
      <c r="O460" s="19" t="str">
        <f t="shared" si="67"/>
        <v>يوليو 2026</v>
      </c>
      <c r="P460" s="19">
        <f t="shared" si="68"/>
        <v>0</v>
      </c>
      <c r="Q460" s="55">
        <f t="shared" si="69"/>
        <v>0</v>
      </c>
      <c r="R460" s="55">
        <f t="shared" si="70"/>
        <v>0</v>
      </c>
      <c r="S460" s="19">
        <f t="shared" si="71"/>
        <v>0</v>
      </c>
    </row>
    <row r="461" spans="1:19" ht="25.5" customHeight="1">
      <c r="A461" s="19"/>
      <c r="B461" s="55"/>
      <c r="C461" s="56"/>
      <c r="D461" s="56"/>
      <c r="E461" s="56"/>
      <c r="F461" s="19"/>
      <c r="G461" s="19"/>
      <c r="H461" s="19"/>
      <c r="I461" s="55"/>
      <c r="J461" s="11">
        <f t="shared" si="63"/>
        <v>202607</v>
      </c>
      <c r="K461" s="19" t="str">
        <f t="shared" si="64"/>
        <v>يوليو 2026</v>
      </c>
      <c r="L461" s="19" t="str">
        <f t="shared" si="65"/>
        <v/>
      </c>
      <c r="N461" s="11">
        <f t="shared" si="66"/>
        <v>202607</v>
      </c>
      <c r="O461" s="19" t="str">
        <f t="shared" si="67"/>
        <v>يوليو 2026</v>
      </c>
      <c r="P461" s="19">
        <f t="shared" si="68"/>
        <v>0</v>
      </c>
      <c r="Q461" s="55">
        <f t="shared" si="69"/>
        <v>0</v>
      </c>
      <c r="R461" s="55">
        <f t="shared" si="70"/>
        <v>0</v>
      </c>
      <c r="S461" s="19">
        <f t="shared" si="71"/>
        <v>0</v>
      </c>
    </row>
    <row r="462" spans="1:19" ht="25.5" customHeight="1">
      <c r="A462" s="19"/>
      <c r="B462" s="55"/>
      <c r="C462" s="56"/>
      <c r="D462" s="56"/>
      <c r="E462" s="56"/>
      <c r="F462" s="19"/>
      <c r="G462" s="19"/>
      <c r="H462" s="19"/>
      <c r="I462" s="55"/>
      <c r="J462" s="11">
        <f t="shared" si="63"/>
        <v>202607</v>
      </c>
      <c r="K462" s="19" t="str">
        <f t="shared" si="64"/>
        <v>يوليو 2026</v>
      </c>
      <c r="L462" s="19" t="str">
        <f t="shared" si="65"/>
        <v/>
      </c>
      <c r="N462" s="11">
        <f t="shared" si="66"/>
        <v>202607</v>
      </c>
      <c r="O462" s="19" t="str">
        <f t="shared" si="67"/>
        <v>يوليو 2026</v>
      </c>
      <c r="P462" s="19">
        <f t="shared" si="68"/>
        <v>0</v>
      </c>
      <c r="Q462" s="55">
        <f t="shared" si="69"/>
        <v>0</v>
      </c>
      <c r="R462" s="55">
        <f t="shared" si="70"/>
        <v>0</v>
      </c>
      <c r="S462" s="19">
        <f t="shared" si="71"/>
        <v>0</v>
      </c>
    </row>
    <row r="463" spans="1:19" ht="25.5" customHeight="1">
      <c r="A463" s="19"/>
      <c r="B463" s="55"/>
      <c r="C463" s="56"/>
      <c r="D463" s="56"/>
      <c r="E463" s="56"/>
      <c r="F463" s="19"/>
      <c r="G463" s="19"/>
      <c r="H463" s="19"/>
      <c r="I463" s="55"/>
      <c r="J463" s="11">
        <f t="shared" si="63"/>
        <v>202607</v>
      </c>
      <c r="K463" s="19" t="str">
        <f t="shared" si="64"/>
        <v>يوليو 2026</v>
      </c>
      <c r="L463" s="19" t="str">
        <f t="shared" si="65"/>
        <v/>
      </c>
      <c r="N463" s="11">
        <f t="shared" si="66"/>
        <v>202607</v>
      </c>
      <c r="O463" s="19" t="str">
        <f t="shared" si="67"/>
        <v>يوليو 2026</v>
      </c>
      <c r="P463" s="19">
        <f t="shared" si="68"/>
        <v>0</v>
      </c>
      <c r="Q463" s="55">
        <f t="shared" si="69"/>
        <v>0</v>
      </c>
      <c r="R463" s="55">
        <f t="shared" si="70"/>
        <v>0</v>
      </c>
      <c r="S463" s="19">
        <f t="shared" si="71"/>
        <v>0</v>
      </c>
    </row>
    <row r="464" spans="1:19" ht="25.5" customHeight="1">
      <c r="A464" s="19"/>
      <c r="B464" s="55"/>
      <c r="C464" s="56"/>
      <c r="D464" s="56"/>
      <c r="E464" s="56"/>
      <c r="F464" s="19"/>
      <c r="G464" s="19"/>
      <c r="H464" s="19"/>
      <c r="I464" s="55"/>
      <c r="J464" s="11">
        <f t="shared" si="63"/>
        <v>202607</v>
      </c>
      <c r="K464" s="19" t="str">
        <f t="shared" si="64"/>
        <v>يوليو 2026</v>
      </c>
      <c r="L464" s="19" t="str">
        <f t="shared" si="65"/>
        <v/>
      </c>
      <c r="N464" s="11">
        <f t="shared" si="66"/>
        <v>202607</v>
      </c>
      <c r="O464" s="19" t="str">
        <f t="shared" si="67"/>
        <v>يوليو 2026</v>
      </c>
      <c r="P464" s="19">
        <f t="shared" si="68"/>
        <v>0</v>
      </c>
      <c r="Q464" s="55">
        <f t="shared" si="69"/>
        <v>0</v>
      </c>
      <c r="R464" s="55">
        <f t="shared" si="70"/>
        <v>0</v>
      </c>
      <c r="S464" s="19">
        <f t="shared" si="71"/>
        <v>0</v>
      </c>
    </row>
    <row r="465" spans="1:19" ht="25.5" customHeight="1">
      <c r="A465" s="19"/>
      <c r="B465" s="55"/>
      <c r="C465" s="56"/>
      <c r="D465" s="56"/>
      <c r="E465" s="56"/>
      <c r="F465" s="19"/>
      <c r="G465" s="19"/>
      <c r="H465" s="19"/>
      <c r="I465" s="55"/>
      <c r="J465" s="11">
        <f t="shared" si="63"/>
        <v>202607</v>
      </c>
      <c r="K465" s="19" t="str">
        <f t="shared" si="64"/>
        <v>يوليو 2026</v>
      </c>
      <c r="L465" s="19" t="str">
        <f t="shared" si="65"/>
        <v/>
      </c>
      <c r="N465" s="11">
        <f t="shared" si="66"/>
        <v>202607</v>
      </c>
      <c r="O465" s="19" t="str">
        <f t="shared" si="67"/>
        <v>يوليو 2026</v>
      </c>
      <c r="P465" s="19">
        <f t="shared" si="68"/>
        <v>0</v>
      </c>
      <c r="Q465" s="55">
        <f t="shared" si="69"/>
        <v>0</v>
      </c>
      <c r="R465" s="55">
        <f t="shared" si="70"/>
        <v>0</v>
      </c>
      <c r="S465" s="19">
        <f t="shared" si="71"/>
        <v>0</v>
      </c>
    </row>
    <row r="466" spans="1:19" ht="25.5" customHeight="1">
      <c r="A466" s="19"/>
      <c r="B466" s="55"/>
      <c r="C466" s="56"/>
      <c r="D466" s="56"/>
      <c r="E466" s="56"/>
      <c r="F466" s="19"/>
      <c r="G466" s="19"/>
      <c r="H466" s="19"/>
      <c r="I466" s="55"/>
      <c r="J466" s="11">
        <f t="shared" si="63"/>
        <v>202607</v>
      </c>
      <c r="K466" s="19" t="str">
        <f t="shared" si="64"/>
        <v>يوليو 2026</v>
      </c>
      <c r="L466" s="19" t="str">
        <f t="shared" si="65"/>
        <v/>
      </c>
      <c r="N466" s="11">
        <f t="shared" si="66"/>
        <v>202607</v>
      </c>
      <c r="O466" s="19" t="str">
        <f t="shared" si="67"/>
        <v>يوليو 2026</v>
      </c>
      <c r="P466" s="19">
        <f t="shared" si="68"/>
        <v>0</v>
      </c>
      <c r="Q466" s="55">
        <f t="shared" si="69"/>
        <v>0</v>
      </c>
      <c r="R466" s="55">
        <f t="shared" si="70"/>
        <v>0</v>
      </c>
      <c r="S466" s="19">
        <f t="shared" si="71"/>
        <v>0</v>
      </c>
    </row>
    <row r="467" spans="1:19" ht="25.5" customHeight="1">
      <c r="A467" s="19"/>
      <c r="B467" s="55"/>
      <c r="C467" s="56"/>
      <c r="D467" s="56"/>
      <c r="E467" s="56"/>
      <c r="F467" s="19"/>
      <c r="G467" s="19"/>
      <c r="H467" s="19"/>
      <c r="I467" s="55"/>
      <c r="J467" s="11">
        <f t="shared" si="63"/>
        <v>202607</v>
      </c>
      <c r="K467" s="19" t="str">
        <f t="shared" si="64"/>
        <v>يوليو 2026</v>
      </c>
      <c r="L467" s="19" t="str">
        <f t="shared" si="65"/>
        <v/>
      </c>
      <c r="N467" s="11">
        <f t="shared" si="66"/>
        <v>202607</v>
      </c>
      <c r="O467" s="19" t="str">
        <f t="shared" si="67"/>
        <v>يوليو 2026</v>
      </c>
      <c r="P467" s="19">
        <f t="shared" si="68"/>
        <v>0</v>
      </c>
      <c r="Q467" s="55">
        <f t="shared" si="69"/>
        <v>0</v>
      </c>
      <c r="R467" s="55">
        <f t="shared" si="70"/>
        <v>0</v>
      </c>
      <c r="S467" s="19">
        <f t="shared" si="71"/>
        <v>0</v>
      </c>
    </row>
    <row r="468" spans="1:19" ht="25.5" customHeight="1">
      <c r="A468" s="19"/>
      <c r="B468" s="55"/>
      <c r="C468" s="56"/>
      <c r="D468" s="56"/>
      <c r="E468" s="56"/>
      <c r="F468" s="19"/>
      <c r="G468" s="19"/>
      <c r="H468" s="19"/>
      <c r="I468" s="55"/>
      <c r="J468" s="11">
        <f t="shared" si="63"/>
        <v>202607</v>
      </c>
      <c r="K468" s="19" t="str">
        <f t="shared" si="64"/>
        <v>يوليو 2026</v>
      </c>
      <c r="L468" s="19" t="str">
        <f t="shared" si="65"/>
        <v/>
      </c>
      <c r="N468" s="11">
        <f t="shared" si="66"/>
        <v>202607</v>
      </c>
      <c r="O468" s="19" t="str">
        <f t="shared" si="67"/>
        <v>يوليو 2026</v>
      </c>
      <c r="P468" s="19">
        <f t="shared" si="68"/>
        <v>0</v>
      </c>
      <c r="Q468" s="55">
        <f t="shared" si="69"/>
        <v>0</v>
      </c>
      <c r="R468" s="55">
        <f t="shared" si="70"/>
        <v>0</v>
      </c>
      <c r="S468" s="19">
        <f t="shared" si="71"/>
        <v>0</v>
      </c>
    </row>
    <row r="469" spans="1:19" ht="25.5" customHeight="1">
      <c r="A469" s="19"/>
      <c r="B469" s="55"/>
      <c r="C469" s="56"/>
      <c r="D469" s="56"/>
      <c r="E469" s="56"/>
      <c r="F469" s="19"/>
      <c r="G469" s="19"/>
      <c r="H469" s="19"/>
      <c r="I469" s="55"/>
      <c r="J469" s="11">
        <f t="shared" si="63"/>
        <v>202607</v>
      </c>
      <c r="K469" s="19" t="str">
        <f t="shared" si="64"/>
        <v>يوليو 2026</v>
      </c>
      <c r="L469" s="19" t="str">
        <f t="shared" si="65"/>
        <v/>
      </c>
      <c r="N469" s="11">
        <f t="shared" si="66"/>
        <v>202607</v>
      </c>
      <c r="O469" s="19" t="str">
        <f t="shared" si="67"/>
        <v>يوليو 2026</v>
      </c>
      <c r="P469" s="19">
        <f t="shared" si="68"/>
        <v>0</v>
      </c>
      <c r="Q469" s="55">
        <f t="shared" si="69"/>
        <v>0</v>
      </c>
      <c r="R469" s="55">
        <f t="shared" si="70"/>
        <v>0</v>
      </c>
      <c r="S469" s="19">
        <f t="shared" si="71"/>
        <v>0</v>
      </c>
    </row>
    <row r="470" spans="1:19" ht="25.5" customHeight="1">
      <c r="A470" s="19"/>
      <c r="B470" s="55"/>
      <c r="C470" s="56"/>
      <c r="D470" s="56"/>
      <c r="E470" s="56"/>
      <c r="F470" s="19"/>
      <c r="G470" s="19"/>
      <c r="H470" s="19"/>
      <c r="I470" s="55"/>
      <c r="J470" s="11">
        <f t="shared" si="63"/>
        <v>202607</v>
      </c>
      <c r="K470" s="19" t="str">
        <f t="shared" si="64"/>
        <v>يوليو 2026</v>
      </c>
      <c r="L470" s="19" t="str">
        <f t="shared" si="65"/>
        <v/>
      </c>
      <c r="N470" s="11">
        <f t="shared" si="66"/>
        <v>202607</v>
      </c>
      <c r="O470" s="19" t="str">
        <f t="shared" si="67"/>
        <v>يوليو 2026</v>
      </c>
      <c r="P470" s="19">
        <f t="shared" si="68"/>
        <v>0</v>
      </c>
      <c r="Q470" s="55">
        <f t="shared" si="69"/>
        <v>0</v>
      </c>
      <c r="R470" s="55">
        <f t="shared" si="70"/>
        <v>0</v>
      </c>
      <c r="S470" s="19">
        <f t="shared" si="71"/>
        <v>0</v>
      </c>
    </row>
    <row r="471" spans="1:19" ht="25.5" customHeight="1">
      <c r="A471" s="19"/>
      <c r="B471" s="55"/>
      <c r="C471" s="56"/>
      <c r="D471" s="56"/>
      <c r="E471" s="56"/>
      <c r="F471" s="19"/>
      <c r="G471" s="19"/>
      <c r="H471" s="19"/>
      <c r="I471" s="55"/>
      <c r="J471" s="11">
        <f t="shared" si="63"/>
        <v>202607</v>
      </c>
      <c r="K471" s="19" t="str">
        <f t="shared" si="64"/>
        <v>يوليو 2026</v>
      </c>
      <c r="L471" s="19" t="str">
        <f t="shared" si="65"/>
        <v/>
      </c>
      <c r="N471" s="11">
        <f t="shared" si="66"/>
        <v>202607</v>
      </c>
      <c r="O471" s="19" t="str">
        <f t="shared" si="67"/>
        <v>يوليو 2026</v>
      </c>
      <c r="P471" s="19">
        <f t="shared" si="68"/>
        <v>0</v>
      </c>
      <c r="Q471" s="55">
        <f t="shared" si="69"/>
        <v>0</v>
      </c>
      <c r="R471" s="55">
        <f t="shared" si="70"/>
        <v>0</v>
      </c>
      <c r="S471" s="19">
        <f t="shared" si="71"/>
        <v>0</v>
      </c>
    </row>
    <row r="472" spans="1:19" ht="25.5" customHeight="1">
      <c r="A472" s="19"/>
      <c r="B472" s="55"/>
      <c r="C472" s="56"/>
      <c r="D472" s="56"/>
      <c r="E472" s="56"/>
      <c r="F472" s="19"/>
      <c r="G472" s="19"/>
      <c r="H472" s="19"/>
      <c r="I472" s="55"/>
      <c r="J472" s="11">
        <f t="shared" si="63"/>
        <v>202607</v>
      </c>
      <c r="K472" s="19" t="str">
        <f t="shared" si="64"/>
        <v>يوليو 2026</v>
      </c>
      <c r="L472" s="19" t="str">
        <f t="shared" si="65"/>
        <v/>
      </c>
      <c r="N472" s="11">
        <f t="shared" si="66"/>
        <v>202607</v>
      </c>
      <c r="O472" s="19" t="str">
        <f t="shared" si="67"/>
        <v>يوليو 2026</v>
      </c>
      <c r="P472" s="19">
        <f t="shared" si="68"/>
        <v>0</v>
      </c>
      <c r="Q472" s="55">
        <f t="shared" si="69"/>
        <v>0</v>
      </c>
      <c r="R472" s="55">
        <f t="shared" si="70"/>
        <v>0</v>
      </c>
      <c r="S472" s="19">
        <f t="shared" si="71"/>
        <v>0</v>
      </c>
    </row>
    <row r="473" spans="1:19" ht="25.5" customHeight="1">
      <c r="A473" s="19"/>
      <c r="B473" s="55"/>
      <c r="C473" s="56"/>
      <c r="D473" s="56"/>
      <c r="E473" s="56"/>
      <c r="F473" s="19"/>
      <c r="G473" s="19"/>
      <c r="H473" s="19"/>
      <c r="I473" s="55"/>
      <c r="J473" s="11">
        <f t="shared" si="63"/>
        <v>202607</v>
      </c>
      <c r="K473" s="19" t="str">
        <f t="shared" si="64"/>
        <v>يوليو 2026</v>
      </c>
      <c r="L473" s="19" t="str">
        <f t="shared" si="65"/>
        <v/>
      </c>
      <c r="N473" s="11">
        <f t="shared" si="66"/>
        <v>202607</v>
      </c>
      <c r="O473" s="19" t="str">
        <f t="shared" si="67"/>
        <v>يوليو 2026</v>
      </c>
      <c r="P473" s="19">
        <f t="shared" si="68"/>
        <v>0</v>
      </c>
      <c r="Q473" s="55">
        <f t="shared" si="69"/>
        <v>0</v>
      </c>
      <c r="R473" s="55">
        <f t="shared" si="70"/>
        <v>0</v>
      </c>
      <c r="S473" s="19">
        <f t="shared" si="71"/>
        <v>0</v>
      </c>
    </row>
    <row r="474" spans="1:19" ht="25.5" customHeight="1">
      <c r="A474" s="19"/>
      <c r="B474" s="55"/>
      <c r="C474" s="56"/>
      <c r="D474" s="56"/>
      <c r="E474" s="56"/>
      <c r="F474" s="19"/>
      <c r="G474" s="19"/>
      <c r="H474" s="19"/>
      <c r="I474" s="55"/>
      <c r="J474" s="11">
        <f t="shared" si="63"/>
        <v>202607</v>
      </c>
      <c r="K474" s="19" t="str">
        <f t="shared" si="64"/>
        <v>يوليو 2026</v>
      </c>
      <c r="L474" s="19" t="str">
        <f t="shared" si="65"/>
        <v/>
      </c>
      <c r="N474" s="11">
        <f t="shared" si="66"/>
        <v>202607</v>
      </c>
      <c r="O474" s="19" t="str">
        <f t="shared" si="67"/>
        <v>يوليو 2026</v>
      </c>
      <c r="P474" s="19">
        <f t="shared" si="68"/>
        <v>0</v>
      </c>
      <c r="Q474" s="55">
        <f t="shared" si="69"/>
        <v>0</v>
      </c>
      <c r="R474" s="55">
        <f t="shared" si="70"/>
        <v>0</v>
      </c>
      <c r="S474" s="19">
        <f t="shared" si="71"/>
        <v>0</v>
      </c>
    </row>
    <row r="475" spans="1:19" ht="25.5" customHeight="1">
      <c r="A475" s="19"/>
      <c r="B475" s="55"/>
      <c r="C475" s="56"/>
      <c r="D475" s="56"/>
      <c r="E475" s="56"/>
      <c r="F475" s="19"/>
      <c r="G475" s="19"/>
      <c r="H475" s="19"/>
      <c r="I475" s="55"/>
      <c r="J475" s="11">
        <f t="shared" si="63"/>
        <v>202607</v>
      </c>
      <c r="K475" s="19" t="str">
        <f t="shared" si="64"/>
        <v>يوليو 2026</v>
      </c>
      <c r="L475" s="19" t="str">
        <f t="shared" si="65"/>
        <v/>
      </c>
      <c r="N475" s="11">
        <f t="shared" si="66"/>
        <v>202607</v>
      </c>
      <c r="O475" s="19" t="str">
        <f t="shared" si="67"/>
        <v>يوليو 2026</v>
      </c>
      <c r="P475" s="19">
        <f t="shared" si="68"/>
        <v>0</v>
      </c>
      <c r="Q475" s="55">
        <f t="shared" si="69"/>
        <v>0</v>
      </c>
      <c r="R475" s="55">
        <f t="shared" si="70"/>
        <v>0</v>
      </c>
      <c r="S475" s="19">
        <f t="shared" si="71"/>
        <v>0</v>
      </c>
    </row>
    <row r="476" spans="1:19" ht="25.5" customHeight="1">
      <c r="A476" s="19"/>
      <c r="B476" s="55"/>
      <c r="C476" s="56"/>
      <c r="D476" s="56"/>
      <c r="E476" s="56"/>
      <c r="F476" s="19"/>
      <c r="G476" s="19"/>
      <c r="H476" s="19"/>
      <c r="I476" s="55"/>
      <c r="J476" s="11">
        <f t="shared" si="63"/>
        <v>202607</v>
      </c>
      <c r="K476" s="19" t="str">
        <f t="shared" si="64"/>
        <v>يوليو 2026</v>
      </c>
      <c r="L476" s="19" t="str">
        <f t="shared" si="65"/>
        <v/>
      </c>
      <c r="N476" s="11">
        <f t="shared" si="66"/>
        <v>202607</v>
      </c>
      <c r="O476" s="19" t="str">
        <f t="shared" si="67"/>
        <v>يوليو 2026</v>
      </c>
      <c r="P476" s="19">
        <f t="shared" si="68"/>
        <v>0</v>
      </c>
      <c r="Q476" s="55">
        <f t="shared" si="69"/>
        <v>0</v>
      </c>
      <c r="R476" s="55">
        <f t="shared" si="70"/>
        <v>0</v>
      </c>
      <c r="S476" s="19">
        <f t="shared" si="71"/>
        <v>0</v>
      </c>
    </row>
    <row r="477" spans="1:19" ht="25.5" customHeight="1">
      <c r="A477" s="19"/>
      <c r="B477" s="55"/>
      <c r="C477" s="56"/>
      <c r="D477" s="56"/>
      <c r="E477" s="56"/>
      <c r="F477" s="19"/>
      <c r="G477" s="19"/>
      <c r="H477" s="19"/>
      <c r="I477" s="55"/>
      <c r="J477" s="11">
        <f t="shared" si="63"/>
        <v>202607</v>
      </c>
      <c r="K477" s="19" t="str">
        <f t="shared" si="64"/>
        <v>يوليو 2026</v>
      </c>
      <c r="L477" s="19" t="str">
        <f t="shared" si="65"/>
        <v/>
      </c>
      <c r="N477" s="11">
        <f t="shared" si="66"/>
        <v>202607</v>
      </c>
      <c r="O477" s="19" t="str">
        <f t="shared" si="67"/>
        <v>يوليو 2026</v>
      </c>
      <c r="P477" s="19">
        <f t="shared" si="68"/>
        <v>0</v>
      </c>
      <c r="Q477" s="55">
        <f t="shared" si="69"/>
        <v>0</v>
      </c>
      <c r="R477" s="55">
        <f t="shared" si="70"/>
        <v>0</v>
      </c>
      <c r="S477" s="19">
        <f t="shared" si="71"/>
        <v>0</v>
      </c>
    </row>
    <row r="478" spans="1:19" ht="25.5" customHeight="1">
      <c r="A478" s="19"/>
      <c r="B478" s="55"/>
      <c r="C478" s="56"/>
      <c r="D478" s="56"/>
      <c r="E478" s="56"/>
      <c r="F478" s="19"/>
      <c r="G478" s="19"/>
      <c r="H478" s="19"/>
      <c r="I478" s="55"/>
      <c r="J478" s="11">
        <f t="shared" si="63"/>
        <v>202607</v>
      </c>
      <c r="K478" s="19" t="str">
        <f t="shared" si="64"/>
        <v>يوليو 2026</v>
      </c>
      <c r="L478" s="19" t="str">
        <f t="shared" si="65"/>
        <v/>
      </c>
      <c r="N478" s="11">
        <f t="shared" si="66"/>
        <v>202607</v>
      </c>
      <c r="O478" s="19" t="str">
        <f t="shared" si="67"/>
        <v>يوليو 2026</v>
      </c>
      <c r="P478" s="19">
        <f t="shared" si="68"/>
        <v>0</v>
      </c>
      <c r="Q478" s="55">
        <f t="shared" si="69"/>
        <v>0</v>
      </c>
      <c r="R478" s="55">
        <f t="shared" si="70"/>
        <v>0</v>
      </c>
      <c r="S478" s="19">
        <f t="shared" si="71"/>
        <v>0</v>
      </c>
    </row>
    <row r="479" spans="1:19" ht="25.5" customHeight="1">
      <c r="A479" s="19"/>
      <c r="B479" s="55"/>
      <c r="C479" s="56"/>
      <c r="D479" s="56"/>
      <c r="E479" s="56"/>
      <c r="F479" s="19"/>
      <c r="G479" s="19"/>
      <c r="H479" s="19"/>
      <c r="I479" s="55"/>
      <c r="J479" s="11">
        <f t="shared" si="63"/>
        <v>202607</v>
      </c>
      <c r="K479" s="19" t="str">
        <f t="shared" si="64"/>
        <v>يوليو 2026</v>
      </c>
      <c r="L479" s="19" t="str">
        <f t="shared" si="65"/>
        <v/>
      </c>
      <c r="N479" s="11">
        <f t="shared" si="66"/>
        <v>202607</v>
      </c>
      <c r="O479" s="19" t="str">
        <f t="shared" si="67"/>
        <v>يوليو 2026</v>
      </c>
      <c r="P479" s="19">
        <f t="shared" si="68"/>
        <v>0</v>
      </c>
      <c r="Q479" s="55">
        <f t="shared" si="69"/>
        <v>0</v>
      </c>
      <c r="R479" s="55">
        <f t="shared" si="70"/>
        <v>0</v>
      </c>
      <c r="S479" s="19">
        <f t="shared" si="71"/>
        <v>0</v>
      </c>
    </row>
    <row r="480" spans="1:19" ht="25.5" customHeight="1">
      <c r="A480" s="19"/>
      <c r="B480" s="55"/>
      <c r="C480" s="56"/>
      <c r="D480" s="56"/>
      <c r="E480" s="56"/>
      <c r="F480" s="19"/>
      <c r="G480" s="19"/>
      <c r="H480" s="19"/>
      <c r="I480" s="55"/>
      <c r="J480" s="11">
        <f t="shared" si="63"/>
        <v>202607</v>
      </c>
      <c r="K480" s="19" t="str">
        <f t="shared" si="64"/>
        <v>يوليو 2026</v>
      </c>
      <c r="L480" s="19" t="str">
        <f t="shared" si="65"/>
        <v/>
      </c>
      <c r="N480" s="11">
        <f t="shared" si="66"/>
        <v>202607</v>
      </c>
      <c r="O480" s="19" t="str">
        <f t="shared" si="67"/>
        <v>يوليو 2026</v>
      </c>
      <c r="P480" s="19">
        <f t="shared" si="68"/>
        <v>0</v>
      </c>
      <c r="Q480" s="55">
        <f t="shared" si="69"/>
        <v>0</v>
      </c>
      <c r="R480" s="55">
        <f t="shared" si="70"/>
        <v>0</v>
      </c>
      <c r="S480" s="19">
        <f t="shared" si="71"/>
        <v>0</v>
      </c>
    </row>
    <row r="481" spans="1:19" ht="25.5" customHeight="1">
      <c r="A481" s="19"/>
      <c r="B481" s="55"/>
      <c r="C481" s="56"/>
      <c r="D481" s="56"/>
      <c r="E481" s="56"/>
      <c r="F481" s="19"/>
      <c r="G481" s="19"/>
      <c r="H481" s="19"/>
      <c r="I481" s="55"/>
      <c r="J481" s="11">
        <f t="shared" si="63"/>
        <v>202607</v>
      </c>
      <c r="K481" s="19" t="str">
        <f t="shared" si="64"/>
        <v>يوليو 2026</v>
      </c>
      <c r="L481" s="19" t="str">
        <f t="shared" si="65"/>
        <v/>
      </c>
      <c r="N481" s="11">
        <f t="shared" si="66"/>
        <v>202607</v>
      </c>
      <c r="O481" s="19" t="str">
        <f t="shared" si="67"/>
        <v>يوليو 2026</v>
      </c>
      <c r="P481" s="19">
        <f t="shared" si="68"/>
        <v>0</v>
      </c>
      <c r="Q481" s="55">
        <f t="shared" si="69"/>
        <v>0</v>
      </c>
      <c r="R481" s="55">
        <f t="shared" si="70"/>
        <v>0</v>
      </c>
      <c r="S481" s="19">
        <f t="shared" si="71"/>
        <v>0</v>
      </c>
    </row>
    <row r="482" spans="1:19" ht="25.5" customHeight="1">
      <c r="A482" s="19"/>
      <c r="B482" s="55"/>
      <c r="C482" s="56"/>
      <c r="D482" s="56"/>
      <c r="E482" s="56"/>
      <c r="F482" s="19"/>
      <c r="G482" s="19"/>
      <c r="H482" s="19"/>
      <c r="I482" s="55"/>
      <c r="J482" s="11">
        <f t="shared" si="63"/>
        <v>202607</v>
      </c>
      <c r="K482" s="19" t="str">
        <f t="shared" si="64"/>
        <v>يوليو 2026</v>
      </c>
      <c r="L482" s="19" t="str">
        <f t="shared" si="65"/>
        <v/>
      </c>
      <c r="N482" s="11">
        <f t="shared" si="66"/>
        <v>202607</v>
      </c>
      <c r="O482" s="19" t="str">
        <f t="shared" si="67"/>
        <v>يوليو 2026</v>
      </c>
      <c r="P482" s="19">
        <f t="shared" si="68"/>
        <v>0</v>
      </c>
      <c r="Q482" s="55">
        <f t="shared" si="69"/>
        <v>0</v>
      </c>
      <c r="R482" s="55">
        <f t="shared" si="70"/>
        <v>0</v>
      </c>
      <c r="S482" s="19">
        <f t="shared" si="71"/>
        <v>0</v>
      </c>
    </row>
    <row r="483" spans="1:19">
      <c r="A483" s="19"/>
      <c r="B483" s="55"/>
      <c r="C483" s="56"/>
      <c r="D483" s="56"/>
      <c r="E483" s="56"/>
      <c r="F483" s="19"/>
      <c r="G483" s="19"/>
      <c r="H483" s="19"/>
      <c r="I483" s="55"/>
      <c r="J483" s="11">
        <f t="shared" si="63"/>
        <v>202607</v>
      </c>
      <c r="K483" s="19" t="str">
        <f t="shared" si="64"/>
        <v>يوليو 2026</v>
      </c>
      <c r="L483" s="19" t="str">
        <f t="shared" si="65"/>
        <v/>
      </c>
      <c r="N483" s="11">
        <f t="shared" si="66"/>
        <v>202607</v>
      </c>
      <c r="O483" s="19" t="str">
        <f t="shared" si="67"/>
        <v>يوليو 2026</v>
      </c>
      <c r="P483" s="19">
        <f t="shared" si="68"/>
        <v>0</v>
      </c>
      <c r="Q483" s="55">
        <f t="shared" si="69"/>
        <v>0</v>
      </c>
      <c r="R483" s="55">
        <f t="shared" si="70"/>
        <v>0</v>
      </c>
      <c r="S483" s="19">
        <f t="shared" si="71"/>
        <v>0</v>
      </c>
    </row>
    <row r="484" spans="1:19">
      <c r="A484" s="19"/>
      <c r="B484" s="55"/>
      <c r="C484" s="56"/>
      <c r="D484" s="56"/>
      <c r="E484" s="56"/>
      <c r="F484" s="19"/>
      <c r="G484" s="19"/>
      <c r="H484" s="19"/>
      <c r="I484" s="55"/>
      <c r="J484" s="11">
        <f t="shared" si="63"/>
        <v>202607</v>
      </c>
      <c r="K484" s="19" t="str">
        <f t="shared" si="64"/>
        <v>يوليو 2026</v>
      </c>
      <c r="L484" s="19" t="str">
        <f t="shared" si="65"/>
        <v/>
      </c>
      <c r="N484" s="11">
        <f t="shared" si="66"/>
        <v>202607</v>
      </c>
      <c r="O484" s="19" t="str">
        <f t="shared" si="67"/>
        <v>يوليو 2026</v>
      </c>
      <c r="P484" s="19">
        <f t="shared" si="68"/>
        <v>0</v>
      </c>
      <c r="Q484" s="55">
        <f t="shared" si="69"/>
        <v>0</v>
      </c>
      <c r="R484" s="55">
        <f t="shared" si="70"/>
        <v>0</v>
      </c>
      <c r="S484" s="19">
        <f t="shared" si="71"/>
        <v>0</v>
      </c>
    </row>
    <row r="485" spans="1:19">
      <c r="A485" s="19"/>
      <c r="B485" s="55"/>
      <c r="C485" s="56"/>
      <c r="D485" s="56"/>
      <c r="E485" s="56"/>
      <c r="F485" s="19"/>
      <c r="G485" s="19"/>
      <c r="H485" s="19"/>
      <c r="I485" s="55"/>
      <c r="J485" s="11">
        <f t="shared" si="63"/>
        <v>202607</v>
      </c>
      <c r="K485" s="19" t="str">
        <f t="shared" si="64"/>
        <v>يوليو 2026</v>
      </c>
      <c r="L485" s="19" t="str">
        <f t="shared" si="65"/>
        <v/>
      </c>
      <c r="N485" s="11">
        <f t="shared" si="66"/>
        <v>202607</v>
      </c>
      <c r="O485" s="19" t="str">
        <f t="shared" si="67"/>
        <v>يوليو 2026</v>
      </c>
      <c r="P485" s="19">
        <f t="shared" si="68"/>
        <v>0</v>
      </c>
      <c r="Q485" s="55">
        <f t="shared" si="69"/>
        <v>0</v>
      </c>
      <c r="R485" s="55">
        <f t="shared" si="70"/>
        <v>0</v>
      </c>
      <c r="S485" s="19">
        <f t="shared" si="71"/>
        <v>0</v>
      </c>
    </row>
    <row r="486" spans="1:19">
      <c r="A486" s="19"/>
      <c r="B486" s="55"/>
      <c r="C486" s="56"/>
      <c r="D486" s="56"/>
      <c r="E486" s="56"/>
      <c r="F486" s="19"/>
      <c r="G486" s="19"/>
      <c r="H486" s="19"/>
      <c r="I486" s="55"/>
      <c r="J486" s="11">
        <f t="shared" si="63"/>
        <v>202607</v>
      </c>
      <c r="K486" s="19" t="str">
        <f t="shared" si="64"/>
        <v>يوليو 2026</v>
      </c>
      <c r="L486" s="19" t="str">
        <f t="shared" si="65"/>
        <v/>
      </c>
      <c r="N486" s="11">
        <f t="shared" si="66"/>
        <v>202607</v>
      </c>
      <c r="O486" s="19" t="str">
        <f t="shared" si="67"/>
        <v>يوليو 2026</v>
      </c>
      <c r="P486" s="19">
        <f t="shared" si="68"/>
        <v>0</v>
      </c>
      <c r="Q486" s="55">
        <f t="shared" si="69"/>
        <v>0</v>
      </c>
      <c r="R486" s="55">
        <f t="shared" si="70"/>
        <v>0</v>
      </c>
      <c r="S486" s="19">
        <f t="shared" si="71"/>
        <v>0</v>
      </c>
    </row>
    <row r="487" spans="1:19">
      <c r="A487" s="19"/>
      <c r="B487" s="55"/>
      <c r="C487" s="56"/>
      <c r="D487" s="56"/>
      <c r="E487" s="56"/>
      <c r="F487" s="19"/>
      <c r="G487" s="19"/>
      <c r="H487" s="19"/>
      <c r="I487" s="55"/>
      <c r="J487" s="11">
        <f t="shared" si="63"/>
        <v>202607</v>
      </c>
      <c r="K487" s="19" t="str">
        <f t="shared" si="64"/>
        <v>يوليو 2026</v>
      </c>
      <c r="L487" s="19" t="str">
        <f t="shared" si="65"/>
        <v/>
      </c>
      <c r="N487" s="11">
        <f t="shared" si="66"/>
        <v>202607</v>
      </c>
      <c r="O487" s="19" t="str">
        <f t="shared" si="67"/>
        <v>يوليو 2026</v>
      </c>
      <c r="P487" s="19">
        <f t="shared" si="68"/>
        <v>0</v>
      </c>
      <c r="Q487" s="55">
        <f t="shared" si="69"/>
        <v>0</v>
      </c>
      <c r="R487" s="55">
        <f t="shared" si="70"/>
        <v>0</v>
      </c>
      <c r="S487" s="19">
        <f t="shared" si="71"/>
        <v>0</v>
      </c>
    </row>
    <row r="488" spans="1:19">
      <c r="A488" s="19"/>
      <c r="B488" s="55"/>
      <c r="C488" s="56"/>
      <c r="D488" s="56"/>
      <c r="E488" s="56"/>
      <c r="F488" s="19"/>
      <c r="G488" s="19"/>
      <c r="H488" s="19"/>
      <c r="I488" s="55"/>
      <c r="J488" s="11">
        <f t="shared" si="63"/>
        <v>202607</v>
      </c>
      <c r="K488" s="19" t="str">
        <f t="shared" si="64"/>
        <v>يوليو 2026</v>
      </c>
      <c r="L488" s="19" t="str">
        <f t="shared" si="65"/>
        <v/>
      </c>
      <c r="N488" s="11">
        <f t="shared" si="66"/>
        <v>202607</v>
      </c>
      <c r="O488" s="19" t="str">
        <f t="shared" si="67"/>
        <v>يوليو 2026</v>
      </c>
      <c r="P488" s="19">
        <f t="shared" si="68"/>
        <v>0</v>
      </c>
      <c r="Q488" s="55">
        <f t="shared" si="69"/>
        <v>0</v>
      </c>
      <c r="R488" s="55">
        <f t="shared" si="70"/>
        <v>0</v>
      </c>
      <c r="S488" s="19">
        <f t="shared" si="71"/>
        <v>0</v>
      </c>
    </row>
    <row r="489" spans="1:19">
      <c r="A489" s="19"/>
      <c r="B489" s="55"/>
      <c r="C489" s="56"/>
      <c r="D489" s="56"/>
      <c r="E489" s="56"/>
      <c r="F489" s="19"/>
      <c r="G489" s="19"/>
      <c r="H489" s="19"/>
      <c r="I489" s="55"/>
      <c r="J489" s="11">
        <f t="shared" si="63"/>
        <v>202607</v>
      </c>
      <c r="K489" s="19" t="str">
        <f t="shared" si="64"/>
        <v>يوليو 2026</v>
      </c>
      <c r="L489" s="19" t="str">
        <f t="shared" si="65"/>
        <v/>
      </c>
      <c r="N489" s="11">
        <f t="shared" si="66"/>
        <v>202607</v>
      </c>
      <c r="O489" s="19" t="str">
        <f t="shared" si="67"/>
        <v>يوليو 2026</v>
      </c>
      <c r="P489" s="19">
        <f t="shared" si="68"/>
        <v>0</v>
      </c>
      <c r="Q489" s="55">
        <f t="shared" si="69"/>
        <v>0</v>
      </c>
      <c r="R489" s="55">
        <f t="shared" si="70"/>
        <v>0</v>
      </c>
      <c r="S489" s="19">
        <f t="shared" si="71"/>
        <v>0</v>
      </c>
    </row>
    <row r="490" spans="1:19">
      <c r="A490" s="19"/>
      <c r="B490" s="55"/>
      <c r="C490" s="56"/>
      <c r="D490" s="56"/>
      <c r="E490" s="56"/>
      <c r="F490" s="19"/>
      <c r="G490" s="19"/>
      <c r="H490" s="19"/>
      <c r="I490" s="55"/>
      <c r="J490" s="11">
        <f t="shared" si="63"/>
        <v>202607</v>
      </c>
      <c r="K490" s="19" t="str">
        <f t="shared" si="64"/>
        <v>يوليو 2026</v>
      </c>
      <c r="L490" s="19" t="str">
        <f t="shared" si="65"/>
        <v/>
      </c>
      <c r="N490" s="11">
        <f t="shared" si="66"/>
        <v>202607</v>
      </c>
      <c r="O490" s="19" t="str">
        <f t="shared" si="67"/>
        <v>يوليو 2026</v>
      </c>
      <c r="P490" s="19">
        <f t="shared" si="68"/>
        <v>0</v>
      </c>
      <c r="Q490" s="55">
        <f t="shared" si="69"/>
        <v>0</v>
      </c>
      <c r="R490" s="55">
        <f t="shared" si="70"/>
        <v>0</v>
      </c>
      <c r="S490" s="19">
        <f t="shared" si="71"/>
        <v>0</v>
      </c>
    </row>
    <row r="491" spans="1:19">
      <c r="A491" s="19"/>
      <c r="B491" s="55"/>
      <c r="C491" s="56"/>
      <c r="D491" s="56"/>
      <c r="E491" s="56"/>
      <c r="F491" s="19"/>
      <c r="G491" s="19"/>
      <c r="H491" s="19"/>
      <c r="I491" s="55"/>
      <c r="J491" s="11">
        <f t="shared" si="63"/>
        <v>202607</v>
      </c>
      <c r="K491" s="19" t="str">
        <f t="shared" si="64"/>
        <v>يوليو 2026</v>
      </c>
      <c r="L491" s="19" t="str">
        <f t="shared" si="65"/>
        <v/>
      </c>
      <c r="N491" s="11">
        <f t="shared" si="66"/>
        <v>202607</v>
      </c>
      <c r="O491" s="19" t="str">
        <f t="shared" si="67"/>
        <v>يوليو 2026</v>
      </c>
      <c r="P491" s="19">
        <f t="shared" si="68"/>
        <v>0</v>
      </c>
      <c r="Q491" s="55">
        <f t="shared" si="69"/>
        <v>0</v>
      </c>
      <c r="R491" s="55">
        <f t="shared" si="70"/>
        <v>0</v>
      </c>
      <c r="S491" s="19">
        <f t="shared" si="71"/>
        <v>0</v>
      </c>
    </row>
    <row r="492" spans="1:19">
      <c r="A492" s="19"/>
      <c r="B492" s="55"/>
      <c r="C492" s="56"/>
      <c r="D492" s="56"/>
      <c r="E492" s="56"/>
      <c r="F492" s="19"/>
      <c r="G492" s="19"/>
      <c r="H492" s="19"/>
      <c r="I492" s="55"/>
      <c r="J492" s="11">
        <f t="shared" si="63"/>
        <v>202607</v>
      </c>
      <c r="K492" s="19" t="str">
        <f t="shared" si="64"/>
        <v>يوليو 2026</v>
      </c>
      <c r="L492" s="19" t="str">
        <f t="shared" si="65"/>
        <v/>
      </c>
      <c r="N492" s="11">
        <f t="shared" si="66"/>
        <v>202607</v>
      </c>
      <c r="O492" s="19" t="str">
        <f t="shared" si="67"/>
        <v>يوليو 2026</v>
      </c>
      <c r="P492" s="19">
        <f t="shared" si="68"/>
        <v>0</v>
      </c>
      <c r="Q492" s="55">
        <f t="shared" si="69"/>
        <v>0</v>
      </c>
      <c r="R492" s="55">
        <f t="shared" si="70"/>
        <v>0</v>
      </c>
      <c r="S492" s="19">
        <f t="shared" si="71"/>
        <v>0</v>
      </c>
    </row>
    <row r="493" spans="1:19">
      <c r="A493" s="19"/>
      <c r="B493" s="55"/>
      <c r="C493" s="56"/>
      <c r="D493" s="56"/>
      <c r="E493" s="56"/>
      <c r="F493" s="19"/>
      <c r="G493" s="19"/>
      <c r="H493" s="19"/>
      <c r="I493" s="55"/>
      <c r="J493" s="11">
        <f t="shared" si="63"/>
        <v>202607</v>
      </c>
      <c r="K493" s="19" t="str">
        <f t="shared" si="64"/>
        <v>يوليو 2026</v>
      </c>
      <c r="L493" s="19" t="str">
        <f t="shared" si="65"/>
        <v/>
      </c>
      <c r="N493" s="11">
        <f t="shared" si="66"/>
        <v>202607</v>
      </c>
      <c r="O493" s="19" t="str">
        <f t="shared" si="67"/>
        <v>يوليو 2026</v>
      </c>
      <c r="P493" s="19">
        <f t="shared" si="68"/>
        <v>0</v>
      </c>
      <c r="Q493" s="55">
        <f t="shared" si="69"/>
        <v>0</v>
      </c>
      <c r="R493" s="55">
        <f t="shared" si="70"/>
        <v>0</v>
      </c>
      <c r="S493" s="19">
        <f t="shared" si="71"/>
        <v>0</v>
      </c>
    </row>
    <row r="494" spans="1:19">
      <c r="A494" s="19"/>
      <c r="B494" s="55"/>
      <c r="C494" s="56"/>
      <c r="D494" s="56"/>
      <c r="E494" s="56"/>
      <c r="F494" s="19"/>
      <c r="G494" s="19"/>
      <c r="H494" s="19"/>
      <c r="I494" s="55"/>
      <c r="J494" s="11">
        <f t="shared" si="63"/>
        <v>202607</v>
      </c>
      <c r="K494" s="19" t="str">
        <f t="shared" si="64"/>
        <v>يوليو 2026</v>
      </c>
      <c r="L494" s="19" t="str">
        <f t="shared" si="65"/>
        <v/>
      </c>
      <c r="N494" s="11">
        <f t="shared" si="66"/>
        <v>202607</v>
      </c>
      <c r="O494" s="19" t="str">
        <f t="shared" si="67"/>
        <v>يوليو 2026</v>
      </c>
      <c r="P494" s="19">
        <f t="shared" si="68"/>
        <v>0</v>
      </c>
      <c r="Q494" s="55">
        <f t="shared" si="69"/>
        <v>0</v>
      </c>
      <c r="R494" s="55">
        <f t="shared" si="70"/>
        <v>0</v>
      </c>
      <c r="S494" s="19">
        <f t="shared" si="71"/>
        <v>0</v>
      </c>
    </row>
    <row r="495" spans="1:19">
      <c r="A495" s="19"/>
      <c r="B495" s="55"/>
      <c r="C495" s="56"/>
      <c r="D495" s="56"/>
      <c r="E495" s="56"/>
      <c r="F495" s="19"/>
      <c r="G495" s="19"/>
      <c r="H495" s="19"/>
      <c r="I495" s="55"/>
      <c r="J495" s="11">
        <f t="shared" si="63"/>
        <v>202607</v>
      </c>
      <c r="K495" s="19" t="str">
        <f t="shared" si="64"/>
        <v>يوليو 2026</v>
      </c>
      <c r="L495" s="19" t="str">
        <f t="shared" si="65"/>
        <v/>
      </c>
      <c r="N495" s="11">
        <f t="shared" si="66"/>
        <v>202607</v>
      </c>
      <c r="O495" s="19" t="str">
        <f t="shared" si="67"/>
        <v>يوليو 2026</v>
      </c>
      <c r="P495" s="19">
        <f t="shared" si="68"/>
        <v>0</v>
      </c>
      <c r="Q495" s="55">
        <f t="shared" si="69"/>
        <v>0</v>
      </c>
      <c r="R495" s="55">
        <f t="shared" si="70"/>
        <v>0</v>
      </c>
      <c r="S495" s="19">
        <f t="shared" si="71"/>
        <v>0</v>
      </c>
    </row>
    <row r="496" spans="1:19">
      <c r="A496" s="19"/>
      <c r="B496" s="55"/>
      <c r="C496" s="56"/>
      <c r="D496" s="56"/>
      <c r="E496" s="56"/>
      <c r="F496" s="19"/>
      <c r="G496" s="19"/>
      <c r="H496" s="19"/>
      <c r="I496" s="55"/>
      <c r="J496" s="11">
        <f t="shared" si="63"/>
        <v>202607</v>
      </c>
      <c r="K496" s="19" t="str">
        <f t="shared" si="64"/>
        <v>يوليو 2026</v>
      </c>
      <c r="L496" s="19" t="str">
        <f t="shared" si="65"/>
        <v/>
      </c>
      <c r="N496" s="11">
        <f t="shared" si="66"/>
        <v>202607</v>
      </c>
      <c r="O496" s="19" t="str">
        <f t="shared" si="67"/>
        <v>يوليو 2026</v>
      </c>
      <c r="P496" s="19">
        <f t="shared" si="68"/>
        <v>0</v>
      </c>
      <c r="Q496" s="55">
        <f t="shared" si="69"/>
        <v>0</v>
      </c>
      <c r="R496" s="55">
        <f t="shared" si="70"/>
        <v>0</v>
      </c>
      <c r="S496" s="19">
        <f t="shared" si="71"/>
        <v>0</v>
      </c>
    </row>
    <row r="497" spans="1:19">
      <c r="A497" s="19"/>
      <c r="B497" s="55"/>
      <c r="C497" s="56"/>
      <c r="D497" s="56"/>
      <c r="E497" s="56"/>
      <c r="F497" s="19"/>
      <c r="G497" s="19"/>
      <c r="H497" s="19"/>
      <c r="I497" s="55"/>
      <c r="J497" s="11">
        <f t="shared" si="63"/>
        <v>202607</v>
      </c>
      <c r="K497" s="19" t="str">
        <f t="shared" si="64"/>
        <v>يوليو 2026</v>
      </c>
      <c r="L497" s="19" t="str">
        <f t="shared" si="65"/>
        <v/>
      </c>
      <c r="N497" s="11">
        <f t="shared" si="66"/>
        <v>202607</v>
      </c>
      <c r="O497" s="19" t="str">
        <f t="shared" si="67"/>
        <v>يوليو 2026</v>
      </c>
      <c r="P497" s="19">
        <f t="shared" si="68"/>
        <v>0</v>
      </c>
      <c r="Q497" s="55">
        <f t="shared" si="69"/>
        <v>0</v>
      </c>
      <c r="R497" s="55">
        <f t="shared" si="70"/>
        <v>0</v>
      </c>
      <c r="S497" s="19">
        <f t="shared" si="71"/>
        <v>0</v>
      </c>
    </row>
    <row r="498" spans="1:19">
      <c r="A498" s="19"/>
      <c r="B498" s="55"/>
      <c r="C498" s="56"/>
      <c r="D498" s="56"/>
      <c r="E498" s="56"/>
      <c r="F498" s="19"/>
      <c r="G498" s="19"/>
      <c r="H498" s="19"/>
      <c r="I498" s="55"/>
      <c r="J498" s="11">
        <f t="shared" si="63"/>
        <v>202607</v>
      </c>
      <c r="K498" s="19" t="str">
        <f t="shared" si="64"/>
        <v>يوليو 2026</v>
      </c>
      <c r="L498" s="19" t="str">
        <f t="shared" si="65"/>
        <v/>
      </c>
      <c r="N498" s="11">
        <f t="shared" si="66"/>
        <v>202607</v>
      </c>
      <c r="O498" s="19" t="str">
        <f t="shared" si="67"/>
        <v>يوليو 2026</v>
      </c>
      <c r="P498" s="19">
        <f t="shared" si="68"/>
        <v>0</v>
      </c>
      <c r="Q498" s="55">
        <f t="shared" si="69"/>
        <v>0</v>
      </c>
      <c r="R498" s="55">
        <f t="shared" si="70"/>
        <v>0</v>
      </c>
      <c r="S498" s="19">
        <f t="shared" si="71"/>
        <v>0</v>
      </c>
    </row>
    <row r="499" spans="1:19">
      <c r="A499" s="19"/>
      <c r="B499" s="55"/>
      <c r="C499" s="56"/>
      <c r="D499" s="56"/>
      <c r="E499" s="56"/>
      <c r="F499" s="19"/>
      <c r="G499" s="19"/>
      <c r="H499" s="19"/>
      <c r="I499" s="55"/>
      <c r="J499" s="11">
        <f t="shared" si="63"/>
        <v>202607</v>
      </c>
      <c r="K499" s="19" t="str">
        <f t="shared" si="64"/>
        <v>يوليو 2026</v>
      </c>
      <c r="L499" s="19" t="str">
        <f t="shared" si="65"/>
        <v/>
      </c>
      <c r="N499" s="11">
        <f t="shared" si="66"/>
        <v>202607</v>
      </c>
      <c r="O499" s="19" t="str">
        <f t="shared" si="67"/>
        <v>يوليو 2026</v>
      </c>
      <c r="P499" s="19">
        <f t="shared" si="68"/>
        <v>0</v>
      </c>
      <c r="Q499" s="55">
        <f t="shared" si="69"/>
        <v>0</v>
      </c>
      <c r="R499" s="55">
        <f t="shared" si="70"/>
        <v>0</v>
      </c>
      <c r="S499" s="19">
        <f t="shared" si="71"/>
        <v>0</v>
      </c>
    </row>
    <row r="500" spans="1:19">
      <c r="A500" s="19"/>
      <c r="B500" s="55"/>
      <c r="C500" s="56"/>
      <c r="D500" s="56"/>
      <c r="E500" s="56"/>
      <c r="F500" s="19"/>
      <c r="G500" s="19"/>
      <c r="H500" s="19"/>
      <c r="I500" s="55"/>
      <c r="J500" s="11">
        <f t="shared" si="63"/>
        <v>202607</v>
      </c>
      <c r="K500" s="19" t="str">
        <f t="shared" si="64"/>
        <v>يوليو 2026</v>
      </c>
      <c r="L500" s="19" t="str">
        <f t="shared" si="65"/>
        <v/>
      </c>
      <c r="N500" s="11">
        <f t="shared" si="66"/>
        <v>202607</v>
      </c>
      <c r="O500" s="19" t="str">
        <f t="shared" si="67"/>
        <v>يوليو 2026</v>
      </c>
      <c r="P500" s="19">
        <f t="shared" si="68"/>
        <v>0</v>
      </c>
      <c r="Q500" s="55">
        <f t="shared" si="69"/>
        <v>0</v>
      </c>
      <c r="R500" s="55">
        <f t="shared" si="70"/>
        <v>0</v>
      </c>
      <c r="S500" s="19">
        <f t="shared" si="71"/>
        <v>0</v>
      </c>
    </row>
    <row r="501" spans="1:19">
      <c r="A501" s="19"/>
      <c r="B501" s="55"/>
      <c r="C501" s="56"/>
      <c r="D501" s="56"/>
      <c r="E501" s="56"/>
      <c r="F501" s="19"/>
      <c r="G501" s="19"/>
      <c r="H501" s="19"/>
      <c r="I501" s="55"/>
      <c r="J501" s="11">
        <f t="shared" si="63"/>
        <v>202607</v>
      </c>
      <c r="K501" s="19" t="str">
        <f t="shared" si="64"/>
        <v>يوليو 2026</v>
      </c>
      <c r="L501" s="19" t="str">
        <f t="shared" si="65"/>
        <v/>
      </c>
      <c r="N501" s="11">
        <f t="shared" si="66"/>
        <v>202607</v>
      </c>
      <c r="O501" s="19" t="str">
        <f t="shared" si="67"/>
        <v>يوليو 2026</v>
      </c>
      <c r="P501" s="19">
        <f t="shared" si="68"/>
        <v>0</v>
      </c>
      <c r="Q501" s="55">
        <f t="shared" si="69"/>
        <v>0</v>
      </c>
      <c r="R501" s="55">
        <f t="shared" si="70"/>
        <v>0</v>
      </c>
      <c r="S501" s="19">
        <f t="shared" si="71"/>
        <v>0</v>
      </c>
    </row>
    <row r="502" spans="1:19">
      <c r="A502" s="19"/>
      <c r="B502" s="55"/>
      <c r="C502" s="56"/>
      <c r="D502" s="56"/>
      <c r="E502" s="56"/>
      <c r="F502" s="19"/>
      <c r="G502" s="19"/>
      <c r="H502" s="19"/>
      <c r="I502" s="55"/>
      <c r="J502" s="11">
        <f t="shared" si="63"/>
        <v>202607</v>
      </c>
      <c r="K502" s="19" t="str">
        <f t="shared" si="64"/>
        <v>يوليو 2026</v>
      </c>
      <c r="L502" s="19" t="str">
        <f t="shared" si="65"/>
        <v/>
      </c>
      <c r="N502" s="11">
        <f t="shared" si="66"/>
        <v>202607</v>
      </c>
      <c r="O502" s="19" t="str">
        <f t="shared" si="67"/>
        <v>يوليو 2026</v>
      </c>
      <c r="P502" s="19">
        <f t="shared" si="68"/>
        <v>0</v>
      </c>
      <c r="Q502" s="55">
        <f t="shared" si="69"/>
        <v>0</v>
      </c>
      <c r="R502" s="55">
        <f t="shared" si="70"/>
        <v>0</v>
      </c>
      <c r="S502" s="19">
        <f t="shared" si="71"/>
        <v>0</v>
      </c>
    </row>
    <row r="503" spans="1:19">
      <c r="A503" s="19"/>
      <c r="B503" s="55"/>
      <c r="C503" s="56"/>
      <c r="D503" s="56"/>
      <c r="E503" s="56"/>
      <c r="F503" s="19"/>
      <c r="G503" s="19"/>
      <c r="H503" s="19"/>
      <c r="I503" s="55"/>
      <c r="J503" s="11">
        <f t="shared" si="63"/>
        <v>202607</v>
      </c>
      <c r="K503" s="19" t="str">
        <f t="shared" si="64"/>
        <v>يوليو 2026</v>
      </c>
      <c r="L503" s="19" t="str">
        <f t="shared" si="65"/>
        <v/>
      </c>
      <c r="N503" s="11">
        <f t="shared" si="66"/>
        <v>202607</v>
      </c>
      <c r="O503" s="19" t="str">
        <f t="shared" si="67"/>
        <v>يوليو 2026</v>
      </c>
      <c r="P503" s="19">
        <f t="shared" si="68"/>
        <v>0</v>
      </c>
      <c r="Q503" s="55">
        <f t="shared" si="69"/>
        <v>0</v>
      </c>
      <c r="R503" s="55">
        <f t="shared" si="70"/>
        <v>0</v>
      </c>
      <c r="S503" s="19">
        <f t="shared" si="71"/>
        <v>0</v>
      </c>
    </row>
    <row r="504" spans="1:19">
      <c r="A504" s="19"/>
      <c r="B504" s="55"/>
      <c r="C504" s="56"/>
      <c r="D504" s="56"/>
      <c r="E504" s="56"/>
      <c r="F504" s="19"/>
      <c r="G504" s="19"/>
      <c r="H504" s="19"/>
      <c r="I504" s="55"/>
      <c r="J504" s="11">
        <f t="shared" si="63"/>
        <v>202607</v>
      </c>
      <c r="K504" s="19" t="str">
        <f t="shared" si="64"/>
        <v>يوليو 2026</v>
      </c>
      <c r="L504" s="19" t="str">
        <f t="shared" si="65"/>
        <v/>
      </c>
      <c r="N504" s="11">
        <f t="shared" si="66"/>
        <v>202607</v>
      </c>
      <c r="O504" s="19" t="str">
        <f t="shared" si="67"/>
        <v>يوليو 2026</v>
      </c>
      <c r="P504" s="19">
        <f t="shared" si="68"/>
        <v>0</v>
      </c>
      <c r="Q504" s="55">
        <f t="shared" si="69"/>
        <v>0</v>
      </c>
      <c r="R504" s="55">
        <f t="shared" si="70"/>
        <v>0</v>
      </c>
      <c r="S504" s="19">
        <f t="shared" si="71"/>
        <v>0</v>
      </c>
    </row>
    <row r="505" spans="1:19">
      <c r="A505" s="19"/>
      <c r="B505" s="55"/>
      <c r="C505" s="56"/>
      <c r="D505" s="56"/>
      <c r="E505" s="56"/>
      <c r="F505" s="19"/>
      <c r="G505" s="19"/>
      <c r="H505" s="19"/>
      <c r="I505" s="55"/>
      <c r="J505" s="11">
        <f t="shared" si="63"/>
        <v>202607</v>
      </c>
      <c r="K505" s="19" t="str">
        <f t="shared" si="64"/>
        <v>يوليو 2026</v>
      </c>
      <c r="L505" s="19" t="str">
        <f t="shared" si="65"/>
        <v/>
      </c>
      <c r="N505" s="11">
        <f t="shared" si="66"/>
        <v>202607</v>
      </c>
      <c r="O505" s="19" t="str">
        <f t="shared" si="67"/>
        <v>يوليو 2026</v>
      </c>
      <c r="P505" s="19">
        <f t="shared" si="68"/>
        <v>0</v>
      </c>
      <c r="Q505" s="55">
        <f t="shared" si="69"/>
        <v>0</v>
      </c>
      <c r="R505" s="55">
        <f t="shared" si="70"/>
        <v>0</v>
      </c>
      <c r="S505" s="19">
        <f t="shared" si="71"/>
        <v>0</v>
      </c>
    </row>
  </sheetData>
  <mergeCells count="3">
    <mergeCell ref="A1:L1"/>
    <mergeCell ref="A2:L2"/>
    <mergeCell ref="N5:S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07"/>
  <sheetViews>
    <sheetView rightToLeft="1" zoomScaleNormal="100" workbookViewId="0">
      <pane ySplit="4" topLeftCell="A5" activePane="bottomLeft" state="frozen"/>
      <selection activeCell="C1" sqref="C1"/>
      <selection pane="bottomLeft" activeCell="A242" sqref="A242:F481"/>
    </sheetView>
  </sheetViews>
  <sheetFormatPr defaultColWidth="8.7109375" defaultRowHeight="15"/>
  <cols>
    <col min="1" max="2" width="16" customWidth="1"/>
    <col min="3" max="3" width="26" customWidth="1"/>
    <col min="4" max="5" width="14" customWidth="1"/>
    <col min="6" max="6" width="12" customWidth="1"/>
    <col min="7" max="7" width="16" customWidth="1"/>
    <col min="8" max="8" width="14" customWidth="1"/>
    <col min="9" max="10" width="16" customWidth="1"/>
    <col min="11" max="11" width="18" customWidth="1"/>
    <col min="12" max="12" width="30" customWidth="1"/>
    <col min="13" max="13" width="16" customWidth="1"/>
    <col min="14" max="14" width="20" customWidth="1"/>
    <col min="15" max="15" width="22" customWidth="1"/>
  </cols>
  <sheetData>
    <row r="1" spans="1:15" ht="30" customHeight="1">
      <c r="A1" s="57" t="s">
        <v>261</v>
      </c>
      <c r="B1" s="57"/>
      <c r="C1" s="57"/>
      <c r="D1" s="57"/>
      <c r="E1" s="57"/>
      <c r="F1" s="57"/>
      <c r="G1" s="57"/>
      <c r="H1" s="57"/>
      <c r="I1" s="57"/>
      <c r="J1" s="57"/>
      <c r="K1" s="57"/>
      <c r="L1" s="57"/>
    </row>
    <row r="2" spans="1:15" ht="48" customHeight="1">
      <c r="A2" s="65" t="s">
        <v>262</v>
      </c>
      <c r="B2" s="65"/>
      <c r="C2" s="65"/>
      <c r="D2" s="65"/>
      <c r="E2" s="65"/>
      <c r="F2" s="65"/>
      <c r="G2" s="65"/>
      <c r="H2" s="65"/>
      <c r="I2" s="65"/>
      <c r="J2" s="65"/>
      <c r="K2" s="65"/>
      <c r="L2" s="65"/>
    </row>
    <row r="4" spans="1:15">
      <c r="A4" s="2" t="s">
        <v>41</v>
      </c>
      <c r="B4" s="2" t="s">
        <v>107</v>
      </c>
      <c r="C4" s="2" t="s">
        <v>108</v>
      </c>
      <c r="D4" s="2" t="s">
        <v>96</v>
      </c>
      <c r="E4" s="2" t="s">
        <v>109</v>
      </c>
      <c r="F4" s="2" t="s">
        <v>100</v>
      </c>
      <c r="G4" s="2" t="s">
        <v>263</v>
      </c>
      <c r="H4" s="2" t="s">
        <v>264</v>
      </c>
      <c r="I4" s="2" t="s">
        <v>265</v>
      </c>
      <c r="J4" s="2" t="s">
        <v>266</v>
      </c>
      <c r="K4" s="2" t="s">
        <v>43</v>
      </c>
      <c r="L4" s="2" t="s">
        <v>267</v>
      </c>
      <c r="M4" s="2" t="s">
        <v>268</v>
      </c>
      <c r="N4" s="2" t="s">
        <v>269</v>
      </c>
      <c r="O4" s="2" t="s">
        <v>270</v>
      </c>
    </row>
    <row r="5" spans="1:15">
      <c r="A5" s="11">
        <v>202606</v>
      </c>
      <c r="B5" s="19" t="s">
        <v>271</v>
      </c>
      <c r="C5" s="19" t="s">
        <v>110</v>
      </c>
      <c r="D5" s="55">
        <v>0</v>
      </c>
      <c r="E5" s="56">
        <v>175</v>
      </c>
      <c r="F5" s="19" t="s">
        <v>63</v>
      </c>
      <c r="G5" s="4">
        <f t="shared" ref="G5:G68" si="0">IF(OR(D5="",E5=""),"",D5*E5)</f>
        <v>0</v>
      </c>
      <c r="H5" s="11">
        <f t="shared" ref="H5:H68" si="1">IF(C5="","",IFERROR(_xlfn.MAXIFS($A$5:$A$2003,$C$5:$C$2003,C5,$A$5:$A$2003,"&lt;"&amp;A5),0))</f>
        <v>0</v>
      </c>
      <c r="I5" s="55" t="str">
        <f t="shared" ref="I5:I68" si="2">IF(OR(H5="",H5=0),"",IFERROR(SUMIFS($D$5:$D$2003,$C$5:$C$2003,C5,$A$5:$A$2003,H5),""))</f>
        <v/>
      </c>
      <c r="J5" s="55">
        <f t="shared" ref="J5:J68" si="3">IF(C5="","",IF(I5="",0,MAX(I5-D5,0)))</f>
        <v>0</v>
      </c>
      <c r="K5" s="4">
        <f t="shared" ref="K5:K68" si="4">IF(J5="","",J5*E5)</f>
        <v>0</v>
      </c>
      <c r="L5" s="19" t="str">
        <f t="shared" ref="L5:L68" si="5">IF(C5="","",IF(COUNTIFS($A$5:$A$2003,A5,$C$5:$C$2003,C5)&gt;1,"⚠️ مادة مكررة بنفس الشهر",IF(OR(H5="",H5=0),"🆕 أول ظهور لهذه المادة",IF(D5&gt;I5,"ℹ️ زيادة كمية (شراء/تصحيح) - لا تُحتسب استهلاكاً",IF(D5=I5,"➖ لا تغيير","")))))</f>
        <v>🆕 أول ظهور لهذه المادة</v>
      </c>
      <c r="M5" s="12">
        <f>IF(A5="","",IFERROR(INDEX(المدخلات!$M$4:$M$15,MATCH(A5,المدخلات!$L$4:$L$15,0)),""))</f>
        <v>13300</v>
      </c>
      <c r="N5" s="4">
        <f t="shared" ref="N5:N68" si="6">IF(OR(G5="",F5=""),"",IF(F5="دولار أمريكي",IF(M5="","⚠️ لا يوجد سعر صرف",G5*M5),G5))</f>
        <v>0</v>
      </c>
      <c r="O5" s="4">
        <f t="shared" ref="O5:O68" si="7">IF(OR(K5="",F5=""),"",IF(F5="دولار أمريكي",IF(M5="","⚠️ لا يوجد سعر صرف",K5*M5),K5))</f>
        <v>0</v>
      </c>
    </row>
    <row r="6" spans="1:15">
      <c r="A6" s="11">
        <v>202606</v>
      </c>
      <c r="B6" s="19" t="s">
        <v>271</v>
      </c>
      <c r="C6" s="19" t="s">
        <v>113</v>
      </c>
      <c r="D6" s="55">
        <v>0</v>
      </c>
      <c r="E6" s="56">
        <v>63</v>
      </c>
      <c r="F6" s="19" t="s">
        <v>63</v>
      </c>
      <c r="G6" s="4">
        <f t="shared" si="0"/>
        <v>0</v>
      </c>
      <c r="H6" s="11">
        <f t="shared" si="1"/>
        <v>0</v>
      </c>
      <c r="I6" s="55" t="str">
        <f t="shared" si="2"/>
        <v/>
      </c>
      <c r="J6" s="55">
        <f t="shared" si="3"/>
        <v>0</v>
      </c>
      <c r="K6" s="4">
        <f t="shared" si="4"/>
        <v>0</v>
      </c>
      <c r="L6" s="19" t="str">
        <f t="shared" si="5"/>
        <v>🆕 أول ظهور لهذه المادة</v>
      </c>
      <c r="M6" s="12">
        <f>IF(A6="","",IFERROR(INDEX(المدخلات!$M$4:$M$15,MATCH(A6,المدخلات!$L$4:$L$15,0)),""))</f>
        <v>13300</v>
      </c>
      <c r="N6" s="4">
        <f t="shared" si="6"/>
        <v>0</v>
      </c>
      <c r="O6" s="4">
        <f t="shared" si="7"/>
        <v>0</v>
      </c>
    </row>
    <row r="7" spans="1:15">
      <c r="A7" s="11">
        <v>202606</v>
      </c>
      <c r="B7" s="19" t="s">
        <v>271</v>
      </c>
      <c r="C7" s="19" t="s">
        <v>114</v>
      </c>
      <c r="D7" s="55">
        <v>138.04</v>
      </c>
      <c r="E7" s="56">
        <v>2.1</v>
      </c>
      <c r="F7" s="19" t="s">
        <v>63</v>
      </c>
      <c r="G7" s="4">
        <f t="shared" si="0"/>
        <v>289.88400000000001</v>
      </c>
      <c r="H7" s="11">
        <f t="shared" si="1"/>
        <v>0</v>
      </c>
      <c r="I7" s="55" t="str">
        <f t="shared" si="2"/>
        <v/>
      </c>
      <c r="J7" s="55">
        <f t="shared" si="3"/>
        <v>0</v>
      </c>
      <c r="K7" s="4">
        <f t="shared" si="4"/>
        <v>0</v>
      </c>
      <c r="L7" s="19" t="str">
        <f t="shared" si="5"/>
        <v>🆕 أول ظهور لهذه المادة</v>
      </c>
      <c r="M7" s="12">
        <f>IF(A7="","",IFERROR(INDEX(المدخلات!$M$4:$M$15,MATCH(A7,المدخلات!$L$4:$L$15,0)),""))</f>
        <v>13300</v>
      </c>
      <c r="N7" s="4">
        <f t="shared" si="6"/>
        <v>3855457.2</v>
      </c>
      <c r="O7" s="4">
        <f t="shared" si="7"/>
        <v>0</v>
      </c>
    </row>
    <row r="8" spans="1:15">
      <c r="A8" s="11">
        <v>202606</v>
      </c>
      <c r="B8" s="19" t="s">
        <v>271</v>
      </c>
      <c r="C8" s="19" t="s">
        <v>116</v>
      </c>
      <c r="D8" s="55">
        <v>2</v>
      </c>
      <c r="E8" s="56">
        <v>3</v>
      </c>
      <c r="F8" s="19" t="s">
        <v>63</v>
      </c>
      <c r="G8" s="4">
        <f t="shared" si="0"/>
        <v>6</v>
      </c>
      <c r="H8" s="11">
        <f t="shared" si="1"/>
        <v>0</v>
      </c>
      <c r="I8" s="55" t="str">
        <f t="shared" si="2"/>
        <v/>
      </c>
      <c r="J8" s="55">
        <f t="shared" si="3"/>
        <v>0</v>
      </c>
      <c r="K8" s="4">
        <f t="shared" si="4"/>
        <v>0</v>
      </c>
      <c r="L8" s="19" t="str">
        <f t="shared" si="5"/>
        <v>🆕 أول ظهور لهذه المادة</v>
      </c>
      <c r="M8" s="12">
        <f>IF(A8="","",IFERROR(INDEX(المدخلات!$M$4:$M$15,MATCH(A8,المدخلات!$L$4:$L$15,0)),""))</f>
        <v>13300</v>
      </c>
      <c r="N8" s="4">
        <f t="shared" si="6"/>
        <v>79800</v>
      </c>
      <c r="O8" s="4">
        <f t="shared" si="7"/>
        <v>0</v>
      </c>
    </row>
    <row r="9" spans="1:15">
      <c r="A9" s="11">
        <v>202606</v>
      </c>
      <c r="B9" s="19" t="s">
        <v>271</v>
      </c>
      <c r="C9" s="19" t="s">
        <v>117</v>
      </c>
      <c r="D9" s="55">
        <v>0</v>
      </c>
      <c r="E9" s="56">
        <v>44</v>
      </c>
      <c r="F9" s="19" t="s">
        <v>63</v>
      </c>
      <c r="G9" s="4">
        <f t="shared" si="0"/>
        <v>0</v>
      </c>
      <c r="H9" s="11">
        <f t="shared" si="1"/>
        <v>0</v>
      </c>
      <c r="I9" s="55" t="str">
        <f t="shared" si="2"/>
        <v/>
      </c>
      <c r="J9" s="55">
        <f t="shared" si="3"/>
        <v>0</v>
      </c>
      <c r="K9" s="4">
        <f t="shared" si="4"/>
        <v>0</v>
      </c>
      <c r="L9" s="19" t="str">
        <f t="shared" si="5"/>
        <v>🆕 أول ظهور لهذه المادة</v>
      </c>
      <c r="M9" s="12">
        <f>IF(A9="","",IFERROR(INDEX(المدخلات!$M$4:$M$15,MATCH(A9,المدخلات!$L$4:$L$15,0)),""))</f>
        <v>13300</v>
      </c>
      <c r="N9" s="4">
        <f t="shared" si="6"/>
        <v>0</v>
      </c>
      <c r="O9" s="4">
        <f t="shared" si="7"/>
        <v>0</v>
      </c>
    </row>
    <row r="10" spans="1:15">
      <c r="A10" s="11">
        <v>202606</v>
      </c>
      <c r="B10" s="19" t="s">
        <v>271</v>
      </c>
      <c r="C10" s="19" t="s">
        <v>118</v>
      </c>
      <c r="D10" s="55">
        <v>0</v>
      </c>
      <c r="E10" s="56">
        <v>215</v>
      </c>
      <c r="F10" s="19" t="s">
        <v>63</v>
      </c>
      <c r="G10" s="4">
        <f t="shared" si="0"/>
        <v>0</v>
      </c>
      <c r="H10" s="11">
        <f t="shared" si="1"/>
        <v>0</v>
      </c>
      <c r="I10" s="55" t="str">
        <f t="shared" si="2"/>
        <v/>
      </c>
      <c r="J10" s="55">
        <f t="shared" si="3"/>
        <v>0</v>
      </c>
      <c r="K10" s="4">
        <f t="shared" si="4"/>
        <v>0</v>
      </c>
      <c r="L10" s="19" t="str">
        <f t="shared" si="5"/>
        <v>🆕 أول ظهور لهذه المادة</v>
      </c>
      <c r="M10" s="12">
        <f>IF(A10="","",IFERROR(INDEX(المدخلات!$M$4:$M$15,MATCH(A10,المدخلات!$L$4:$L$15,0)),""))</f>
        <v>13300</v>
      </c>
      <c r="N10" s="4">
        <f t="shared" si="6"/>
        <v>0</v>
      </c>
      <c r="O10" s="4">
        <f t="shared" si="7"/>
        <v>0</v>
      </c>
    </row>
    <row r="11" spans="1:15">
      <c r="A11" s="11">
        <v>202606</v>
      </c>
      <c r="B11" s="19" t="s">
        <v>271</v>
      </c>
      <c r="C11" s="19" t="s">
        <v>119</v>
      </c>
      <c r="D11" s="55">
        <v>0</v>
      </c>
      <c r="E11" s="56">
        <v>205</v>
      </c>
      <c r="F11" s="19" t="s">
        <v>63</v>
      </c>
      <c r="G11" s="4">
        <f t="shared" si="0"/>
        <v>0</v>
      </c>
      <c r="H11" s="11">
        <f t="shared" si="1"/>
        <v>0</v>
      </c>
      <c r="I11" s="55" t="str">
        <f t="shared" si="2"/>
        <v/>
      </c>
      <c r="J11" s="55">
        <f t="shared" si="3"/>
        <v>0</v>
      </c>
      <c r="K11" s="4">
        <f t="shared" si="4"/>
        <v>0</v>
      </c>
      <c r="L11" s="19" t="str">
        <f t="shared" si="5"/>
        <v>🆕 أول ظهور لهذه المادة</v>
      </c>
      <c r="M11" s="12">
        <f>IF(A11="","",IFERROR(INDEX(المدخلات!$M$4:$M$15,MATCH(A11,المدخلات!$L$4:$L$15,0)),""))</f>
        <v>13300</v>
      </c>
      <c r="N11" s="4">
        <f t="shared" si="6"/>
        <v>0</v>
      </c>
      <c r="O11" s="4">
        <f t="shared" si="7"/>
        <v>0</v>
      </c>
    </row>
    <row r="12" spans="1:15">
      <c r="A12" s="11">
        <v>202606</v>
      </c>
      <c r="B12" s="19" t="s">
        <v>271</v>
      </c>
      <c r="C12" s="19" t="s">
        <v>120</v>
      </c>
      <c r="D12" s="55">
        <v>0</v>
      </c>
      <c r="E12" s="56">
        <v>205</v>
      </c>
      <c r="F12" s="19" t="s">
        <v>63</v>
      </c>
      <c r="G12" s="4">
        <f t="shared" si="0"/>
        <v>0</v>
      </c>
      <c r="H12" s="11">
        <f t="shared" si="1"/>
        <v>0</v>
      </c>
      <c r="I12" s="55" t="str">
        <f t="shared" si="2"/>
        <v/>
      </c>
      <c r="J12" s="55">
        <f t="shared" si="3"/>
        <v>0</v>
      </c>
      <c r="K12" s="4">
        <f t="shared" si="4"/>
        <v>0</v>
      </c>
      <c r="L12" s="19" t="str">
        <f t="shared" si="5"/>
        <v>🆕 أول ظهور لهذه المادة</v>
      </c>
      <c r="M12" s="12">
        <f>IF(A12="","",IFERROR(INDEX(المدخلات!$M$4:$M$15,MATCH(A12,المدخلات!$L$4:$L$15,0)),""))</f>
        <v>13300</v>
      </c>
      <c r="N12" s="4">
        <f t="shared" si="6"/>
        <v>0</v>
      </c>
      <c r="O12" s="4">
        <f t="shared" si="7"/>
        <v>0</v>
      </c>
    </row>
    <row r="13" spans="1:15">
      <c r="A13" s="11">
        <v>202606</v>
      </c>
      <c r="B13" s="19" t="s">
        <v>271</v>
      </c>
      <c r="C13" s="19" t="s">
        <v>121</v>
      </c>
      <c r="D13" s="55">
        <v>0</v>
      </c>
      <c r="E13" s="56">
        <v>180</v>
      </c>
      <c r="F13" s="19" t="s">
        <v>63</v>
      </c>
      <c r="G13" s="4">
        <f t="shared" si="0"/>
        <v>0</v>
      </c>
      <c r="H13" s="11">
        <f t="shared" si="1"/>
        <v>0</v>
      </c>
      <c r="I13" s="55" t="str">
        <f t="shared" si="2"/>
        <v/>
      </c>
      <c r="J13" s="55">
        <f t="shared" si="3"/>
        <v>0</v>
      </c>
      <c r="K13" s="4">
        <f t="shared" si="4"/>
        <v>0</v>
      </c>
      <c r="L13" s="19" t="str">
        <f t="shared" si="5"/>
        <v>🆕 أول ظهور لهذه المادة</v>
      </c>
      <c r="M13" s="12">
        <f>IF(A13="","",IFERROR(INDEX(المدخلات!$M$4:$M$15,MATCH(A13,المدخلات!$L$4:$L$15,0)),""))</f>
        <v>13300</v>
      </c>
      <c r="N13" s="4">
        <f t="shared" si="6"/>
        <v>0</v>
      </c>
      <c r="O13" s="4">
        <f t="shared" si="7"/>
        <v>0</v>
      </c>
    </row>
    <row r="14" spans="1:15">
      <c r="A14" s="11">
        <v>202606</v>
      </c>
      <c r="B14" s="19" t="s">
        <v>271</v>
      </c>
      <c r="C14" s="19" t="s">
        <v>122</v>
      </c>
      <c r="D14" s="55">
        <v>0</v>
      </c>
      <c r="E14" s="56">
        <v>150</v>
      </c>
      <c r="F14" s="19" t="s">
        <v>63</v>
      </c>
      <c r="G14" s="4">
        <f t="shared" si="0"/>
        <v>0</v>
      </c>
      <c r="H14" s="11">
        <f t="shared" si="1"/>
        <v>0</v>
      </c>
      <c r="I14" s="55" t="str">
        <f t="shared" si="2"/>
        <v/>
      </c>
      <c r="J14" s="55">
        <f t="shared" si="3"/>
        <v>0</v>
      </c>
      <c r="K14" s="4">
        <f t="shared" si="4"/>
        <v>0</v>
      </c>
      <c r="L14" s="19" t="str">
        <f t="shared" si="5"/>
        <v>🆕 أول ظهور لهذه المادة</v>
      </c>
      <c r="M14" s="12">
        <f>IF(A14="","",IFERROR(INDEX(المدخلات!$M$4:$M$15,MATCH(A14,المدخلات!$L$4:$L$15,0)),""))</f>
        <v>13300</v>
      </c>
      <c r="N14" s="4">
        <f t="shared" si="6"/>
        <v>0</v>
      </c>
      <c r="O14" s="4">
        <f t="shared" si="7"/>
        <v>0</v>
      </c>
    </row>
    <row r="15" spans="1:15">
      <c r="A15" s="11">
        <v>202606</v>
      </c>
      <c r="B15" s="19" t="s">
        <v>271</v>
      </c>
      <c r="C15" s="19" t="s">
        <v>123</v>
      </c>
      <c r="D15" s="55">
        <v>0</v>
      </c>
      <c r="E15" s="56">
        <v>160</v>
      </c>
      <c r="F15" s="19" t="s">
        <v>63</v>
      </c>
      <c r="G15" s="4">
        <f t="shared" si="0"/>
        <v>0</v>
      </c>
      <c r="H15" s="11">
        <f t="shared" si="1"/>
        <v>0</v>
      </c>
      <c r="I15" s="55" t="str">
        <f t="shared" si="2"/>
        <v/>
      </c>
      <c r="J15" s="55">
        <f t="shared" si="3"/>
        <v>0</v>
      </c>
      <c r="K15" s="4">
        <f t="shared" si="4"/>
        <v>0</v>
      </c>
      <c r="L15" s="19" t="str">
        <f t="shared" si="5"/>
        <v>🆕 أول ظهور لهذه المادة</v>
      </c>
      <c r="M15" s="12">
        <f>IF(A15="","",IFERROR(INDEX(المدخلات!$M$4:$M$15,MATCH(A15,المدخلات!$L$4:$L$15,0)),""))</f>
        <v>13300</v>
      </c>
      <c r="N15" s="4">
        <f t="shared" si="6"/>
        <v>0</v>
      </c>
      <c r="O15" s="4">
        <f t="shared" si="7"/>
        <v>0</v>
      </c>
    </row>
    <row r="16" spans="1:15">
      <c r="A16" s="11">
        <v>202606</v>
      </c>
      <c r="B16" s="19" t="s">
        <v>271</v>
      </c>
      <c r="C16" s="19" t="s">
        <v>124</v>
      </c>
      <c r="D16" s="55">
        <v>0</v>
      </c>
      <c r="E16" s="56">
        <v>215</v>
      </c>
      <c r="F16" s="19" t="s">
        <v>63</v>
      </c>
      <c r="G16" s="4">
        <f t="shared" si="0"/>
        <v>0</v>
      </c>
      <c r="H16" s="11">
        <f t="shared" si="1"/>
        <v>0</v>
      </c>
      <c r="I16" s="55" t="str">
        <f t="shared" si="2"/>
        <v/>
      </c>
      <c r="J16" s="55">
        <f t="shared" si="3"/>
        <v>0</v>
      </c>
      <c r="K16" s="4">
        <f t="shared" si="4"/>
        <v>0</v>
      </c>
      <c r="L16" s="19" t="str">
        <f t="shared" si="5"/>
        <v>🆕 أول ظهور لهذه المادة</v>
      </c>
      <c r="M16" s="12">
        <f>IF(A16="","",IFERROR(INDEX(المدخلات!$M$4:$M$15,MATCH(A16,المدخلات!$L$4:$L$15,0)),""))</f>
        <v>13300</v>
      </c>
      <c r="N16" s="4">
        <f t="shared" si="6"/>
        <v>0</v>
      </c>
      <c r="O16" s="4">
        <f t="shared" si="7"/>
        <v>0</v>
      </c>
    </row>
    <row r="17" spans="1:15">
      <c r="A17" s="11">
        <v>202606</v>
      </c>
      <c r="B17" s="19" t="s">
        <v>271</v>
      </c>
      <c r="C17" s="19" t="s">
        <v>125</v>
      </c>
      <c r="D17" s="55">
        <v>0</v>
      </c>
      <c r="E17" s="56">
        <v>215</v>
      </c>
      <c r="F17" s="19" t="s">
        <v>63</v>
      </c>
      <c r="G17" s="4">
        <f t="shared" si="0"/>
        <v>0</v>
      </c>
      <c r="H17" s="11">
        <f t="shared" si="1"/>
        <v>0</v>
      </c>
      <c r="I17" s="55" t="str">
        <f t="shared" si="2"/>
        <v/>
      </c>
      <c r="J17" s="55">
        <f t="shared" si="3"/>
        <v>0</v>
      </c>
      <c r="K17" s="4">
        <f t="shared" si="4"/>
        <v>0</v>
      </c>
      <c r="L17" s="19" t="str">
        <f t="shared" si="5"/>
        <v>🆕 أول ظهور لهذه المادة</v>
      </c>
      <c r="M17" s="12">
        <f>IF(A17="","",IFERROR(INDEX(المدخلات!$M$4:$M$15,MATCH(A17,المدخلات!$L$4:$L$15,0)),""))</f>
        <v>13300</v>
      </c>
      <c r="N17" s="4">
        <f t="shared" si="6"/>
        <v>0</v>
      </c>
      <c r="O17" s="4">
        <f t="shared" si="7"/>
        <v>0</v>
      </c>
    </row>
    <row r="18" spans="1:15">
      <c r="A18" s="11">
        <v>202606</v>
      </c>
      <c r="B18" s="19" t="s">
        <v>271</v>
      </c>
      <c r="C18" s="19" t="s">
        <v>126</v>
      </c>
      <c r="D18" s="55">
        <v>69.5</v>
      </c>
      <c r="E18" s="56">
        <v>4.4000000000000004</v>
      </c>
      <c r="F18" s="19" t="s">
        <v>63</v>
      </c>
      <c r="G18" s="4">
        <f t="shared" si="0"/>
        <v>305.8</v>
      </c>
      <c r="H18" s="11">
        <f t="shared" si="1"/>
        <v>0</v>
      </c>
      <c r="I18" s="55" t="str">
        <f t="shared" si="2"/>
        <v/>
      </c>
      <c r="J18" s="55">
        <f t="shared" si="3"/>
        <v>0</v>
      </c>
      <c r="K18" s="4">
        <f t="shared" si="4"/>
        <v>0</v>
      </c>
      <c r="L18" s="19" t="str">
        <f t="shared" si="5"/>
        <v>🆕 أول ظهور لهذه المادة</v>
      </c>
      <c r="M18" s="12">
        <f>IF(A18="","",IFERROR(INDEX(المدخلات!$M$4:$M$15,MATCH(A18,المدخلات!$L$4:$L$15,0)),""))</f>
        <v>13300</v>
      </c>
      <c r="N18" s="4">
        <f t="shared" si="6"/>
        <v>4067140</v>
      </c>
      <c r="O18" s="4">
        <f t="shared" si="7"/>
        <v>0</v>
      </c>
    </row>
    <row r="19" spans="1:15">
      <c r="A19" s="11">
        <v>202606</v>
      </c>
      <c r="B19" s="19" t="s">
        <v>271</v>
      </c>
      <c r="C19" s="19" t="s">
        <v>127</v>
      </c>
      <c r="D19" s="55">
        <v>0</v>
      </c>
      <c r="E19" s="56">
        <v>7</v>
      </c>
      <c r="F19" s="19" t="s">
        <v>63</v>
      </c>
      <c r="G19" s="4">
        <f t="shared" si="0"/>
        <v>0</v>
      </c>
      <c r="H19" s="11">
        <f t="shared" si="1"/>
        <v>0</v>
      </c>
      <c r="I19" s="55" t="str">
        <f t="shared" si="2"/>
        <v/>
      </c>
      <c r="J19" s="55">
        <f t="shared" si="3"/>
        <v>0</v>
      </c>
      <c r="K19" s="4">
        <f t="shared" si="4"/>
        <v>0</v>
      </c>
      <c r="L19" s="19" t="str">
        <f t="shared" si="5"/>
        <v>🆕 أول ظهور لهذه المادة</v>
      </c>
      <c r="M19" s="12">
        <f>IF(A19="","",IFERROR(INDEX(المدخلات!$M$4:$M$15,MATCH(A19,المدخلات!$L$4:$L$15,0)),""))</f>
        <v>13300</v>
      </c>
      <c r="N19" s="4">
        <f t="shared" si="6"/>
        <v>0</v>
      </c>
      <c r="O19" s="4">
        <f t="shared" si="7"/>
        <v>0</v>
      </c>
    </row>
    <row r="20" spans="1:15">
      <c r="A20" s="11">
        <v>202606</v>
      </c>
      <c r="B20" s="19" t="s">
        <v>271</v>
      </c>
      <c r="C20" s="19" t="s">
        <v>128</v>
      </c>
      <c r="D20" s="55">
        <v>0</v>
      </c>
      <c r="E20" s="56">
        <v>6</v>
      </c>
      <c r="F20" s="19" t="s">
        <v>63</v>
      </c>
      <c r="G20" s="4">
        <f t="shared" si="0"/>
        <v>0</v>
      </c>
      <c r="H20" s="11">
        <f t="shared" si="1"/>
        <v>0</v>
      </c>
      <c r="I20" s="55" t="str">
        <f t="shared" si="2"/>
        <v/>
      </c>
      <c r="J20" s="55">
        <f t="shared" si="3"/>
        <v>0</v>
      </c>
      <c r="K20" s="4">
        <f t="shared" si="4"/>
        <v>0</v>
      </c>
      <c r="L20" s="19" t="str">
        <f t="shared" si="5"/>
        <v>🆕 أول ظهور لهذه المادة</v>
      </c>
      <c r="M20" s="12">
        <f>IF(A20="","",IFERROR(INDEX(المدخلات!$M$4:$M$15,MATCH(A20,المدخلات!$L$4:$L$15,0)),""))</f>
        <v>13300</v>
      </c>
      <c r="N20" s="4">
        <f t="shared" si="6"/>
        <v>0</v>
      </c>
      <c r="O20" s="4">
        <f t="shared" si="7"/>
        <v>0</v>
      </c>
    </row>
    <row r="21" spans="1:15">
      <c r="A21" s="11">
        <v>202606</v>
      </c>
      <c r="B21" s="19" t="s">
        <v>271</v>
      </c>
      <c r="C21" s="19" t="s">
        <v>129</v>
      </c>
      <c r="D21" s="55">
        <v>30402</v>
      </c>
      <c r="E21" s="56">
        <v>4.0000000000000001E-3</v>
      </c>
      <c r="F21" s="19" t="s">
        <v>63</v>
      </c>
      <c r="G21" s="4">
        <f t="shared" si="0"/>
        <v>121.608</v>
      </c>
      <c r="H21" s="11">
        <f t="shared" si="1"/>
        <v>0</v>
      </c>
      <c r="I21" s="55" t="str">
        <f t="shared" si="2"/>
        <v/>
      </c>
      <c r="J21" s="55">
        <f t="shared" si="3"/>
        <v>0</v>
      </c>
      <c r="K21" s="4">
        <f t="shared" si="4"/>
        <v>0</v>
      </c>
      <c r="L21" s="19" t="str">
        <f t="shared" si="5"/>
        <v>🆕 أول ظهور لهذه المادة</v>
      </c>
      <c r="M21" s="12">
        <f>IF(A21="","",IFERROR(INDEX(المدخلات!$M$4:$M$15,MATCH(A21,المدخلات!$L$4:$L$15,0)),""))</f>
        <v>13300</v>
      </c>
      <c r="N21" s="4">
        <f t="shared" si="6"/>
        <v>1617386.4000000001</v>
      </c>
      <c r="O21" s="4">
        <f t="shared" si="7"/>
        <v>0</v>
      </c>
    </row>
    <row r="22" spans="1:15">
      <c r="A22" s="11">
        <v>202606</v>
      </c>
      <c r="B22" s="19" t="s">
        <v>271</v>
      </c>
      <c r="C22" s="19" t="s">
        <v>130</v>
      </c>
      <c r="D22" s="55">
        <v>625</v>
      </c>
      <c r="E22" s="56">
        <v>2.4E-2</v>
      </c>
      <c r="F22" s="19" t="s">
        <v>63</v>
      </c>
      <c r="G22" s="4">
        <f t="shared" si="0"/>
        <v>15</v>
      </c>
      <c r="H22" s="11">
        <f t="shared" si="1"/>
        <v>0</v>
      </c>
      <c r="I22" s="55" t="str">
        <f t="shared" si="2"/>
        <v/>
      </c>
      <c r="J22" s="55">
        <f t="shared" si="3"/>
        <v>0</v>
      </c>
      <c r="K22" s="4">
        <f t="shared" si="4"/>
        <v>0</v>
      </c>
      <c r="L22" s="19" t="str">
        <f t="shared" si="5"/>
        <v>🆕 أول ظهور لهذه المادة</v>
      </c>
      <c r="M22" s="12">
        <f>IF(A22="","",IFERROR(INDEX(المدخلات!$M$4:$M$15,MATCH(A22,المدخلات!$L$4:$L$15,0)),""))</f>
        <v>13300</v>
      </c>
      <c r="N22" s="4">
        <f t="shared" si="6"/>
        <v>199500</v>
      </c>
      <c r="O22" s="4">
        <f t="shared" si="7"/>
        <v>0</v>
      </c>
    </row>
    <row r="23" spans="1:15">
      <c r="A23" s="11">
        <v>202606</v>
      </c>
      <c r="B23" s="19" t="s">
        <v>271</v>
      </c>
      <c r="C23" s="19" t="s">
        <v>131</v>
      </c>
      <c r="D23" s="55">
        <v>3</v>
      </c>
      <c r="E23" s="56">
        <v>3</v>
      </c>
      <c r="F23" s="19" t="s">
        <v>63</v>
      </c>
      <c r="G23" s="4">
        <f t="shared" si="0"/>
        <v>9</v>
      </c>
      <c r="H23" s="11">
        <f t="shared" si="1"/>
        <v>0</v>
      </c>
      <c r="I23" s="55" t="str">
        <f t="shared" si="2"/>
        <v/>
      </c>
      <c r="J23" s="55">
        <f t="shared" si="3"/>
        <v>0</v>
      </c>
      <c r="K23" s="4">
        <f t="shared" si="4"/>
        <v>0</v>
      </c>
      <c r="L23" s="19" t="str">
        <f t="shared" si="5"/>
        <v>🆕 أول ظهور لهذه المادة</v>
      </c>
      <c r="M23" s="12">
        <f>IF(A23="","",IFERROR(INDEX(المدخلات!$M$4:$M$15,MATCH(A23,المدخلات!$L$4:$L$15,0)),""))</f>
        <v>13300</v>
      </c>
      <c r="N23" s="4">
        <f t="shared" si="6"/>
        <v>119700</v>
      </c>
      <c r="O23" s="4">
        <f t="shared" si="7"/>
        <v>0</v>
      </c>
    </row>
    <row r="24" spans="1:15">
      <c r="A24" s="11">
        <v>202606</v>
      </c>
      <c r="B24" s="19" t="s">
        <v>271</v>
      </c>
      <c r="C24" s="19" t="s">
        <v>272</v>
      </c>
      <c r="D24" s="55">
        <v>0</v>
      </c>
      <c r="E24" s="56">
        <v>3.5</v>
      </c>
      <c r="F24" s="19" t="s">
        <v>63</v>
      </c>
      <c r="G24" s="4">
        <f t="shared" si="0"/>
        <v>0</v>
      </c>
      <c r="H24" s="11">
        <f t="shared" si="1"/>
        <v>0</v>
      </c>
      <c r="I24" s="55" t="str">
        <f t="shared" si="2"/>
        <v/>
      </c>
      <c r="J24" s="55">
        <f t="shared" si="3"/>
        <v>0</v>
      </c>
      <c r="K24" s="4">
        <f t="shared" si="4"/>
        <v>0</v>
      </c>
      <c r="L24" s="19" t="str">
        <f t="shared" si="5"/>
        <v>🆕 أول ظهور لهذه المادة</v>
      </c>
      <c r="M24" s="12">
        <f>IF(A24="","",IFERROR(INDEX(المدخلات!$M$4:$M$15,MATCH(A24,المدخلات!$L$4:$L$15,0)),""))</f>
        <v>13300</v>
      </c>
      <c r="N24" s="4">
        <f t="shared" si="6"/>
        <v>0</v>
      </c>
      <c r="O24" s="4">
        <f t="shared" si="7"/>
        <v>0</v>
      </c>
    </row>
    <row r="25" spans="1:15">
      <c r="A25" s="11">
        <v>202606</v>
      </c>
      <c r="B25" s="19" t="s">
        <v>271</v>
      </c>
      <c r="C25" s="19" t="s">
        <v>273</v>
      </c>
      <c r="D25" s="55">
        <v>28.03</v>
      </c>
      <c r="E25" s="56">
        <v>18.75</v>
      </c>
      <c r="F25" s="19" t="s">
        <v>63</v>
      </c>
      <c r="G25" s="4">
        <f t="shared" si="0"/>
        <v>525.5625</v>
      </c>
      <c r="H25" s="11">
        <f t="shared" si="1"/>
        <v>0</v>
      </c>
      <c r="I25" s="55" t="str">
        <f t="shared" si="2"/>
        <v/>
      </c>
      <c r="J25" s="55">
        <f t="shared" si="3"/>
        <v>0</v>
      </c>
      <c r="K25" s="4">
        <f t="shared" si="4"/>
        <v>0</v>
      </c>
      <c r="L25" s="19" t="str">
        <f t="shared" si="5"/>
        <v>🆕 أول ظهور لهذه المادة</v>
      </c>
      <c r="M25" s="12">
        <f>IF(A25="","",IFERROR(INDEX(المدخلات!$M$4:$M$15,MATCH(A25,المدخلات!$L$4:$L$15,0)),""))</f>
        <v>13300</v>
      </c>
      <c r="N25" s="4">
        <f t="shared" si="6"/>
        <v>6989981.25</v>
      </c>
      <c r="O25" s="4">
        <f t="shared" si="7"/>
        <v>0</v>
      </c>
    </row>
    <row r="26" spans="1:15">
      <c r="A26" s="11">
        <v>202606</v>
      </c>
      <c r="B26" s="19" t="s">
        <v>271</v>
      </c>
      <c r="C26" s="19" t="s">
        <v>132</v>
      </c>
      <c r="D26" s="55">
        <v>0</v>
      </c>
      <c r="E26" s="56">
        <v>2.25</v>
      </c>
      <c r="F26" s="19" t="s">
        <v>63</v>
      </c>
      <c r="G26" s="4">
        <f t="shared" si="0"/>
        <v>0</v>
      </c>
      <c r="H26" s="11">
        <f t="shared" si="1"/>
        <v>0</v>
      </c>
      <c r="I26" s="55" t="str">
        <f t="shared" si="2"/>
        <v/>
      </c>
      <c r="J26" s="55">
        <f t="shared" si="3"/>
        <v>0</v>
      </c>
      <c r="K26" s="4">
        <f t="shared" si="4"/>
        <v>0</v>
      </c>
      <c r="L26" s="19" t="str">
        <f t="shared" si="5"/>
        <v>🆕 أول ظهور لهذه المادة</v>
      </c>
      <c r="M26" s="12">
        <f>IF(A26="","",IFERROR(INDEX(المدخلات!$M$4:$M$15,MATCH(A26,المدخلات!$L$4:$L$15,0)),""))</f>
        <v>13300</v>
      </c>
      <c r="N26" s="4">
        <f t="shared" si="6"/>
        <v>0</v>
      </c>
      <c r="O26" s="4">
        <f t="shared" si="7"/>
        <v>0</v>
      </c>
    </row>
    <row r="27" spans="1:15">
      <c r="A27" s="11">
        <v>202606</v>
      </c>
      <c r="B27" s="19" t="s">
        <v>271</v>
      </c>
      <c r="C27" s="19" t="s">
        <v>133</v>
      </c>
      <c r="D27" s="55">
        <v>0</v>
      </c>
      <c r="E27" s="56">
        <v>17.8</v>
      </c>
      <c r="F27" s="19" t="s">
        <v>63</v>
      </c>
      <c r="G27" s="4">
        <f t="shared" si="0"/>
        <v>0</v>
      </c>
      <c r="H27" s="11">
        <f t="shared" si="1"/>
        <v>0</v>
      </c>
      <c r="I27" s="55" t="str">
        <f t="shared" si="2"/>
        <v/>
      </c>
      <c r="J27" s="55">
        <f t="shared" si="3"/>
        <v>0</v>
      </c>
      <c r="K27" s="4">
        <f t="shared" si="4"/>
        <v>0</v>
      </c>
      <c r="L27" s="19" t="str">
        <f t="shared" si="5"/>
        <v>🆕 أول ظهور لهذه المادة</v>
      </c>
      <c r="M27" s="12">
        <f>IF(A27="","",IFERROR(INDEX(المدخلات!$M$4:$M$15,MATCH(A27,المدخلات!$L$4:$L$15,0)),""))</f>
        <v>13300</v>
      </c>
      <c r="N27" s="4">
        <f t="shared" si="6"/>
        <v>0</v>
      </c>
      <c r="O27" s="4">
        <f t="shared" si="7"/>
        <v>0</v>
      </c>
    </row>
    <row r="28" spans="1:15">
      <c r="A28" s="11">
        <v>202606</v>
      </c>
      <c r="B28" s="19" t="s">
        <v>271</v>
      </c>
      <c r="C28" s="19" t="s">
        <v>134</v>
      </c>
      <c r="D28" s="55">
        <v>272</v>
      </c>
      <c r="E28" s="56">
        <v>0.21</v>
      </c>
      <c r="F28" s="19" t="s">
        <v>63</v>
      </c>
      <c r="G28" s="4">
        <f t="shared" si="0"/>
        <v>57.12</v>
      </c>
      <c r="H28" s="11">
        <f t="shared" si="1"/>
        <v>0</v>
      </c>
      <c r="I28" s="55" t="str">
        <f t="shared" si="2"/>
        <v/>
      </c>
      <c r="J28" s="55">
        <f t="shared" si="3"/>
        <v>0</v>
      </c>
      <c r="K28" s="4">
        <f t="shared" si="4"/>
        <v>0</v>
      </c>
      <c r="L28" s="19" t="str">
        <f t="shared" si="5"/>
        <v>🆕 أول ظهور لهذه المادة</v>
      </c>
      <c r="M28" s="12">
        <f>IF(A28="","",IFERROR(INDEX(المدخلات!$M$4:$M$15,MATCH(A28,المدخلات!$L$4:$L$15,0)),""))</f>
        <v>13300</v>
      </c>
      <c r="N28" s="4">
        <f t="shared" si="6"/>
        <v>759696</v>
      </c>
      <c r="O28" s="4">
        <f t="shared" si="7"/>
        <v>0</v>
      </c>
    </row>
    <row r="29" spans="1:15">
      <c r="A29" s="11">
        <v>202606</v>
      </c>
      <c r="B29" s="19" t="s">
        <v>271</v>
      </c>
      <c r="C29" s="19" t="s">
        <v>274</v>
      </c>
      <c r="D29" s="55">
        <v>25</v>
      </c>
      <c r="E29" s="56">
        <v>1.8</v>
      </c>
      <c r="F29" s="19" t="s">
        <v>63</v>
      </c>
      <c r="G29" s="4">
        <f t="shared" si="0"/>
        <v>45</v>
      </c>
      <c r="H29" s="11">
        <f t="shared" si="1"/>
        <v>0</v>
      </c>
      <c r="I29" s="55" t="str">
        <f t="shared" si="2"/>
        <v/>
      </c>
      <c r="J29" s="55">
        <f t="shared" si="3"/>
        <v>0</v>
      </c>
      <c r="K29" s="4">
        <f t="shared" si="4"/>
        <v>0</v>
      </c>
      <c r="L29" s="19" t="str">
        <f t="shared" si="5"/>
        <v>🆕 أول ظهور لهذه المادة</v>
      </c>
      <c r="M29" s="12">
        <f>IF(A29="","",IFERROR(INDEX(المدخلات!$M$4:$M$15,MATCH(A29,المدخلات!$L$4:$L$15,0)),""))</f>
        <v>13300</v>
      </c>
      <c r="N29" s="4">
        <f t="shared" si="6"/>
        <v>598500</v>
      </c>
      <c r="O29" s="4">
        <f t="shared" si="7"/>
        <v>0</v>
      </c>
    </row>
    <row r="30" spans="1:15">
      <c r="A30" s="11">
        <v>202606</v>
      </c>
      <c r="B30" s="19" t="s">
        <v>271</v>
      </c>
      <c r="C30" s="19" t="s">
        <v>135</v>
      </c>
      <c r="D30" s="55">
        <v>0</v>
      </c>
      <c r="E30" s="56">
        <v>25.4</v>
      </c>
      <c r="F30" s="19" t="s">
        <v>63</v>
      </c>
      <c r="G30" s="4">
        <f t="shared" si="0"/>
        <v>0</v>
      </c>
      <c r="H30" s="11">
        <f t="shared" si="1"/>
        <v>0</v>
      </c>
      <c r="I30" s="55" t="str">
        <f t="shared" si="2"/>
        <v/>
      </c>
      <c r="J30" s="55">
        <f t="shared" si="3"/>
        <v>0</v>
      </c>
      <c r="K30" s="4">
        <f t="shared" si="4"/>
        <v>0</v>
      </c>
      <c r="L30" s="19" t="str">
        <f t="shared" si="5"/>
        <v>🆕 أول ظهور لهذه المادة</v>
      </c>
      <c r="M30" s="12">
        <f>IF(A30="","",IFERROR(INDEX(المدخلات!$M$4:$M$15,MATCH(A30,المدخلات!$L$4:$L$15,0)),""))</f>
        <v>13300</v>
      </c>
      <c r="N30" s="4">
        <f t="shared" si="6"/>
        <v>0</v>
      </c>
      <c r="O30" s="4">
        <f t="shared" si="7"/>
        <v>0</v>
      </c>
    </row>
    <row r="31" spans="1:15">
      <c r="A31" s="11">
        <v>202606</v>
      </c>
      <c r="B31" s="19" t="s">
        <v>271</v>
      </c>
      <c r="C31" s="19" t="s">
        <v>136</v>
      </c>
      <c r="D31" s="55">
        <v>0</v>
      </c>
      <c r="E31" s="56">
        <v>414</v>
      </c>
      <c r="F31" s="19" t="s">
        <v>63</v>
      </c>
      <c r="G31" s="4">
        <f t="shared" si="0"/>
        <v>0</v>
      </c>
      <c r="H31" s="11">
        <f t="shared" si="1"/>
        <v>0</v>
      </c>
      <c r="I31" s="55" t="str">
        <f t="shared" si="2"/>
        <v/>
      </c>
      <c r="J31" s="55">
        <f t="shared" si="3"/>
        <v>0</v>
      </c>
      <c r="K31" s="4">
        <f t="shared" si="4"/>
        <v>0</v>
      </c>
      <c r="L31" s="19" t="str">
        <f t="shared" si="5"/>
        <v>🆕 أول ظهور لهذه المادة</v>
      </c>
      <c r="M31" s="12">
        <f>IF(A31="","",IFERROR(INDEX(المدخلات!$M$4:$M$15,MATCH(A31,المدخلات!$L$4:$L$15,0)),""))</f>
        <v>13300</v>
      </c>
      <c r="N31" s="4">
        <f t="shared" si="6"/>
        <v>0</v>
      </c>
      <c r="O31" s="4">
        <f t="shared" si="7"/>
        <v>0</v>
      </c>
    </row>
    <row r="32" spans="1:15">
      <c r="A32" s="11">
        <v>202606</v>
      </c>
      <c r="B32" s="19" t="s">
        <v>271</v>
      </c>
      <c r="C32" s="19" t="s">
        <v>275</v>
      </c>
      <c r="D32" s="55">
        <v>1.73</v>
      </c>
      <c r="E32" s="56">
        <v>28.8</v>
      </c>
      <c r="F32" s="19" t="s">
        <v>63</v>
      </c>
      <c r="G32" s="4">
        <f t="shared" si="0"/>
        <v>49.823999999999998</v>
      </c>
      <c r="H32" s="11">
        <f t="shared" si="1"/>
        <v>0</v>
      </c>
      <c r="I32" s="55" t="str">
        <f t="shared" si="2"/>
        <v/>
      </c>
      <c r="J32" s="55">
        <f t="shared" si="3"/>
        <v>0</v>
      </c>
      <c r="K32" s="4">
        <f t="shared" si="4"/>
        <v>0</v>
      </c>
      <c r="L32" s="19" t="str">
        <f t="shared" si="5"/>
        <v>🆕 أول ظهور لهذه المادة</v>
      </c>
      <c r="M32" s="12">
        <f>IF(A32="","",IFERROR(INDEX(المدخلات!$M$4:$M$15,MATCH(A32,المدخلات!$L$4:$L$15,0)),""))</f>
        <v>13300</v>
      </c>
      <c r="N32" s="4">
        <f t="shared" si="6"/>
        <v>662659.19999999995</v>
      </c>
      <c r="O32" s="4">
        <f t="shared" si="7"/>
        <v>0</v>
      </c>
    </row>
    <row r="33" spans="1:15">
      <c r="A33" s="11">
        <v>202606</v>
      </c>
      <c r="B33" s="19" t="s">
        <v>271</v>
      </c>
      <c r="C33" s="19" t="s">
        <v>137</v>
      </c>
      <c r="D33" s="55">
        <v>251.4</v>
      </c>
      <c r="E33" s="56">
        <v>3</v>
      </c>
      <c r="F33" s="19" t="s">
        <v>63</v>
      </c>
      <c r="G33" s="4">
        <f t="shared" si="0"/>
        <v>754.2</v>
      </c>
      <c r="H33" s="11">
        <f t="shared" si="1"/>
        <v>0</v>
      </c>
      <c r="I33" s="55" t="str">
        <f t="shared" si="2"/>
        <v/>
      </c>
      <c r="J33" s="55">
        <f t="shared" si="3"/>
        <v>0</v>
      </c>
      <c r="K33" s="4">
        <f t="shared" si="4"/>
        <v>0</v>
      </c>
      <c r="L33" s="19" t="str">
        <f t="shared" si="5"/>
        <v>🆕 أول ظهور لهذه المادة</v>
      </c>
      <c r="M33" s="12">
        <f>IF(A33="","",IFERROR(INDEX(المدخلات!$M$4:$M$15,MATCH(A33,المدخلات!$L$4:$L$15,0)),""))</f>
        <v>13300</v>
      </c>
      <c r="N33" s="4">
        <f t="shared" si="6"/>
        <v>10030860</v>
      </c>
      <c r="O33" s="4">
        <f t="shared" si="7"/>
        <v>0</v>
      </c>
    </row>
    <row r="34" spans="1:15">
      <c r="A34" s="11">
        <v>202606</v>
      </c>
      <c r="B34" s="19" t="s">
        <v>271</v>
      </c>
      <c r="C34" s="19" t="s">
        <v>138</v>
      </c>
      <c r="D34" s="55">
        <v>0</v>
      </c>
      <c r="E34" s="56">
        <v>2.2000000000000002</v>
      </c>
      <c r="F34" s="19" t="s">
        <v>63</v>
      </c>
      <c r="G34" s="4">
        <f t="shared" si="0"/>
        <v>0</v>
      </c>
      <c r="H34" s="11">
        <f t="shared" si="1"/>
        <v>0</v>
      </c>
      <c r="I34" s="55" t="str">
        <f t="shared" si="2"/>
        <v/>
      </c>
      <c r="J34" s="55">
        <f t="shared" si="3"/>
        <v>0</v>
      </c>
      <c r="K34" s="4">
        <f t="shared" si="4"/>
        <v>0</v>
      </c>
      <c r="L34" s="19" t="str">
        <f t="shared" si="5"/>
        <v>🆕 أول ظهور لهذه المادة</v>
      </c>
      <c r="M34" s="12">
        <f>IF(A34="","",IFERROR(INDEX(المدخلات!$M$4:$M$15,MATCH(A34,المدخلات!$L$4:$L$15,0)),""))</f>
        <v>13300</v>
      </c>
      <c r="N34" s="4">
        <f t="shared" si="6"/>
        <v>0</v>
      </c>
      <c r="O34" s="4">
        <f t="shared" si="7"/>
        <v>0</v>
      </c>
    </row>
    <row r="35" spans="1:15">
      <c r="A35" s="11">
        <v>202606</v>
      </c>
      <c r="B35" s="19" t="s">
        <v>271</v>
      </c>
      <c r="C35" s="19" t="s">
        <v>276</v>
      </c>
      <c r="D35" s="55">
        <v>3</v>
      </c>
      <c r="E35" s="56">
        <v>4.5</v>
      </c>
      <c r="F35" s="19" t="s">
        <v>63</v>
      </c>
      <c r="G35" s="4">
        <f t="shared" si="0"/>
        <v>13.5</v>
      </c>
      <c r="H35" s="11">
        <f t="shared" si="1"/>
        <v>0</v>
      </c>
      <c r="I35" s="55" t="str">
        <f t="shared" si="2"/>
        <v/>
      </c>
      <c r="J35" s="55">
        <f t="shared" si="3"/>
        <v>0</v>
      </c>
      <c r="K35" s="4">
        <f t="shared" si="4"/>
        <v>0</v>
      </c>
      <c r="L35" s="19" t="str">
        <f t="shared" si="5"/>
        <v>🆕 أول ظهور لهذه المادة</v>
      </c>
      <c r="M35" s="12">
        <f>IF(A35="","",IFERROR(INDEX(المدخلات!$M$4:$M$15,MATCH(A35,المدخلات!$L$4:$L$15,0)),""))</f>
        <v>13300</v>
      </c>
      <c r="N35" s="4">
        <f t="shared" si="6"/>
        <v>179550</v>
      </c>
      <c r="O35" s="4">
        <f t="shared" si="7"/>
        <v>0</v>
      </c>
    </row>
    <row r="36" spans="1:15">
      <c r="A36" s="11">
        <v>202606</v>
      </c>
      <c r="B36" s="19" t="s">
        <v>271</v>
      </c>
      <c r="C36" s="19" t="s">
        <v>140</v>
      </c>
      <c r="D36" s="55">
        <v>0</v>
      </c>
      <c r="E36" s="56">
        <v>165</v>
      </c>
      <c r="F36" s="19" t="s">
        <v>63</v>
      </c>
      <c r="G36" s="4">
        <f t="shared" si="0"/>
        <v>0</v>
      </c>
      <c r="H36" s="11">
        <f t="shared" si="1"/>
        <v>0</v>
      </c>
      <c r="I36" s="55" t="str">
        <f t="shared" si="2"/>
        <v/>
      </c>
      <c r="J36" s="55">
        <f t="shared" si="3"/>
        <v>0</v>
      </c>
      <c r="K36" s="4">
        <f t="shared" si="4"/>
        <v>0</v>
      </c>
      <c r="L36" s="19" t="str">
        <f t="shared" si="5"/>
        <v>🆕 أول ظهور لهذه المادة</v>
      </c>
      <c r="M36" s="12">
        <f>IF(A36="","",IFERROR(INDEX(المدخلات!$M$4:$M$15,MATCH(A36,المدخلات!$L$4:$L$15,0)),""))</f>
        <v>13300</v>
      </c>
      <c r="N36" s="4">
        <f t="shared" si="6"/>
        <v>0</v>
      </c>
      <c r="O36" s="4">
        <f t="shared" si="7"/>
        <v>0</v>
      </c>
    </row>
    <row r="37" spans="1:15" ht="25.5" customHeight="1">
      <c r="A37" s="11">
        <v>202606</v>
      </c>
      <c r="B37" s="19" t="s">
        <v>271</v>
      </c>
      <c r="C37" s="19" t="s">
        <v>277</v>
      </c>
      <c r="D37" s="55">
        <v>0.59</v>
      </c>
      <c r="E37" s="56">
        <v>312.5</v>
      </c>
      <c r="F37" s="19" t="s">
        <v>63</v>
      </c>
      <c r="G37" s="4">
        <f t="shared" si="0"/>
        <v>184.375</v>
      </c>
      <c r="H37" s="11">
        <f t="shared" si="1"/>
        <v>0</v>
      </c>
      <c r="I37" s="55" t="str">
        <f t="shared" si="2"/>
        <v/>
      </c>
      <c r="J37" s="55">
        <f t="shared" si="3"/>
        <v>0</v>
      </c>
      <c r="K37" s="4">
        <f t="shared" si="4"/>
        <v>0</v>
      </c>
      <c r="L37" s="19" t="str">
        <f t="shared" si="5"/>
        <v>🆕 أول ظهور لهذه المادة</v>
      </c>
      <c r="M37" s="12">
        <f>IF(A37="","",IFERROR(INDEX(المدخلات!$M$4:$M$15,MATCH(A37,المدخلات!$L$4:$L$15,0)),""))</f>
        <v>13300</v>
      </c>
      <c r="N37" s="4">
        <f t="shared" si="6"/>
        <v>2452187.5</v>
      </c>
      <c r="O37" s="4">
        <f t="shared" si="7"/>
        <v>0</v>
      </c>
    </row>
    <row r="38" spans="1:15">
      <c r="A38" s="11">
        <v>202606</v>
      </c>
      <c r="B38" s="19" t="s">
        <v>271</v>
      </c>
      <c r="C38" s="19" t="s">
        <v>278</v>
      </c>
      <c r="D38" s="55">
        <v>0.52</v>
      </c>
      <c r="E38" s="56">
        <v>175</v>
      </c>
      <c r="F38" s="19" t="s">
        <v>63</v>
      </c>
      <c r="G38" s="4">
        <f t="shared" si="0"/>
        <v>91</v>
      </c>
      <c r="H38" s="11">
        <f t="shared" si="1"/>
        <v>0</v>
      </c>
      <c r="I38" s="55" t="str">
        <f t="shared" si="2"/>
        <v/>
      </c>
      <c r="J38" s="55">
        <f t="shared" si="3"/>
        <v>0</v>
      </c>
      <c r="K38" s="4">
        <f t="shared" si="4"/>
        <v>0</v>
      </c>
      <c r="L38" s="19" t="str">
        <f t="shared" si="5"/>
        <v>🆕 أول ظهور لهذه المادة</v>
      </c>
      <c r="M38" s="12">
        <f>IF(A38="","",IFERROR(INDEX(المدخلات!$M$4:$M$15,MATCH(A38,المدخلات!$L$4:$L$15,0)),""))</f>
        <v>13300</v>
      </c>
      <c r="N38" s="4">
        <f t="shared" si="6"/>
        <v>1210300</v>
      </c>
      <c r="O38" s="4">
        <f t="shared" si="7"/>
        <v>0</v>
      </c>
    </row>
    <row r="39" spans="1:15" ht="25.5" customHeight="1">
      <c r="A39" s="11">
        <v>202606</v>
      </c>
      <c r="B39" s="19" t="s">
        <v>271</v>
      </c>
      <c r="C39" s="19" t="s">
        <v>279</v>
      </c>
      <c r="D39" s="55">
        <v>0.36</v>
      </c>
      <c r="E39" s="56">
        <v>175</v>
      </c>
      <c r="F39" s="19" t="s">
        <v>63</v>
      </c>
      <c r="G39" s="4">
        <f t="shared" si="0"/>
        <v>63</v>
      </c>
      <c r="H39" s="11">
        <f t="shared" si="1"/>
        <v>0</v>
      </c>
      <c r="I39" s="55" t="str">
        <f t="shared" si="2"/>
        <v/>
      </c>
      <c r="J39" s="55">
        <f t="shared" si="3"/>
        <v>0</v>
      </c>
      <c r="K39" s="4">
        <f t="shared" si="4"/>
        <v>0</v>
      </c>
      <c r="L39" s="19" t="str">
        <f t="shared" si="5"/>
        <v>🆕 أول ظهور لهذه المادة</v>
      </c>
      <c r="M39" s="12">
        <f>IF(A39="","",IFERROR(INDEX(المدخلات!$M$4:$M$15,MATCH(A39,المدخلات!$L$4:$L$15,0)),""))</f>
        <v>13300</v>
      </c>
      <c r="N39" s="4">
        <f t="shared" si="6"/>
        <v>837900</v>
      </c>
      <c r="O39" s="4">
        <f t="shared" si="7"/>
        <v>0</v>
      </c>
    </row>
    <row r="40" spans="1:15" ht="25.5" customHeight="1">
      <c r="A40" s="11">
        <v>202606</v>
      </c>
      <c r="B40" s="19" t="s">
        <v>271</v>
      </c>
      <c r="C40" s="19" t="s">
        <v>280</v>
      </c>
      <c r="D40" s="55">
        <v>0.74</v>
      </c>
      <c r="E40" s="56">
        <v>312.5</v>
      </c>
      <c r="F40" s="19" t="s">
        <v>63</v>
      </c>
      <c r="G40" s="4">
        <f t="shared" si="0"/>
        <v>231.25</v>
      </c>
      <c r="H40" s="11">
        <f t="shared" si="1"/>
        <v>0</v>
      </c>
      <c r="I40" s="55" t="str">
        <f t="shared" si="2"/>
        <v/>
      </c>
      <c r="J40" s="55">
        <f t="shared" si="3"/>
        <v>0</v>
      </c>
      <c r="K40" s="4">
        <f t="shared" si="4"/>
        <v>0</v>
      </c>
      <c r="L40" s="19" t="str">
        <f t="shared" si="5"/>
        <v>🆕 أول ظهور لهذه المادة</v>
      </c>
      <c r="M40" s="12">
        <f>IF(A40="","",IFERROR(INDEX(المدخلات!$M$4:$M$15,MATCH(A40,المدخلات!$L$4:$L$15,0)),""))</f>
        <v>13300</v>
      </c>
      <c r="N40" s="4">
        <f t="shared" si="6"/>
        <v>3075625</v>
      </c>
      <c r="O40" s="4">
        <f t="shared" si="7"/>
        <v>0</v>
      </c>
    </row>
    <row r="41" spans="1:15">
      <c r="A41" s="11">
        <v>202606</v>
      </c>
      <c r="B41" s="19" t="s">
        <v>271</v>
      </c>
      <c r="C41" s="19" t="s">
        <v>281</v>
      </c>
      <c r="D41" s="55">
        <v>0</v>
      </c>
      <c r="E41" s="56">
        <v>312.5</v>
      </c>
      <c r="F41" s="19" t="s">
        <v>63</v>
      </c>
      <c r="G41" s="4">
        <f t="shared" si="0"/>
        <v>0</v>
      </c>
      <c r="H41" s="11">
        <f t="shared" si="1"/>
        <v>0</v>
      </c>
      <c r="I41" s="55" t="str">
        <f t="shared" si="2"/>
        <v/>
      </c>
      <c r="J41" s="55">
        <f t="shared" si="3"/>
        <v>0</v>
      </c>
      <c r="K41" s="4">
        <f t="shared" si="4"/>
        <v>0</v>
      </c>
      <c r="L41" s="19" t="str">
        <f t="shared" si="5"/>
        <v>🆕 أول ظهور لهذه المادة</v>
      </c>
      <c r="M41" s="12">
        <f>IF(A41="","",IFERROR(INDEX(المدخلات!$M$4:$M$15,MATCH(A41,المدخلات!$L$4:$L$15,0)),""))</f>
        <v>13300</v>
      </c>
      <c r="N41" s="4">
        <f t="shared" si="6"/>
        <v>0</v>
      </c>
      <c r="O41" s="4">
        <f t="shared" si="7"/>
        <v>0</v>
      </c>
    </row>
    <row r="42" spans="1:15">
      <c r="A42" s="11">
        <v>202606</v>
      </c>
      <c r="B42" s="19" t="s">
        <v>271</v>
      </c>
      <c r="C42" s="19" t="s">
        <v>282</v>
      </c>
      <c r="D42" s="55">
        <v>2.59</v>
      </c>
      <c r="E42" s="56">
        <v>900</v>
      </c>
      <c r="F42" s="19" t="s">
        <v>63</v>
      </c>
      <c r="G42" s="4">
        <f t="shared" si="0"/>
        <v>2331</v>
      </c>
      <c r="H42" s="11">
        <f t="shared" si="1"/>
        <v>0</v>
      </c>
      <c r="I42" s="55" t="str">
        <f t="shared" si="2"/>
        <v/>
      </c>
      <c r="J42" s="55">
        <f t="shared" si="3"/>
        <v>0</v>
      </c>
      <c r="K42" s="4">
        <f t="shared" si="4"/>
        <v>0</v>
      </c>
      <c r="L42" s="19" t="str">
        <f t="shared" si="5"/>
        <v>🆕 أول ظهور لهذه المادة</v>
      </c>
      <c r="M42" s="12">
        <f>IF(A42="","",IFERROR(INDEX(المدخلات!$M$4:$M$15,MATCH(A42,المدخلات!$L$4:$L$15,0)),""))</f>
        <v>13300</v>
      </c>
      <c r="N42" s="4">
        <f t="shared" si="6"/>
        <v>31002300</v>
      </c>
      <c r="O42" s="4">
        <f t="shared" si="7"/>
        <v>0</v>
      </c>
    </row>
    <row r="43" spans="1:15" ht="25.5" customHeight="1">
      <c r="A43" s="11">
        <v>202606</v>
      </c>
      <c r="B43" s="19" t="s">
        <v>271</v>
      </c>
      <c r="C43" s="19" t="s">
        <v>283</v>
      </c>
      <c r="D43" s="55">
        <v>0.53</v>
      </c>
      <c r="E43" s="56">
        <v>225</v>
      </c>
      <c r="F43" s="19" t="s">
        <v>63</v>
      </c>
      <c r="G43" s="4">
        <f t="shared" si="0"/>
        <v>119.25</v>
      </c>
      <c r="H43" s="11">
        <f t="shared" si="1"/>
        <v>0</v>
      </c>
      <c r="I43" s="55" t="str">
        <f t="shared" si="2"/>
        <v/>
      </c>
      <c r="J43" s="55">
        <f t="shared" si="3"/>
        <v>0</v>
      </c>
      <c r="K43" s="4">
        <f t="shared" si="4"/>
        <v>0</v>
      </c>
      <c r="L43" s="19" t="str">
        <f t="shared" si="5"/>
        <v>🆕 أول ظهور لهذه المادة</v>
      </c>
      <c r="M43" s="12">
        <f>IF(A43="","",IFERROR(INDEX(المدخلات!$M$4:$M$15,MATCH(A43,المدخلات!$L$4:$L$15,0)),""))</f>
        <v>13300</v>
      </c>
      <c r="N43" s="4">
        <f t="shared" si="6"/>
        <v>1586025</v>
      </c>
      <c r="O43" s="4">
        <f t="shared" si="7"/>
        <v>0</v>
      </c>
    </row>
    <row r="44" spans="1:15" ht="25.5" customHeight="1">
      <c r="A44" s="11">
        <v>202606</v>
      </c>
      <c r="B44" s="19" t="s">
        <v>271</v>
      </c>
      <c r="C44" s="19" t="s">
        <v>284</v>
      </c>
      <c r="D44" s="55">
        <v>0.66</v>
      </c>
      <c r="E44" s="56">
        <v>312.5</v>
      </c>
      <c r="F44" s="19" t="s">
        <v>63</v>
      </c>
      <c r="G44" s="4">
        <f t="shared" si="0"/>
        <v>206.25</v>
      </c>
      <c r="H44" s="11">
        <f t="shared" si="1"/>
        <v>0</v>
      </c>
      <c r="I44" s="55" t="str">
        <f t="shared" si="2"/>
        <v/>
      </c>
      <c r="J44" s="55">
        <f t="shared" si="3"/>
        <v>0</v>
      </c>
      <c r="K44" s="4">
        <f t="shared" si="4"/>
        <v>0</v>
      </c>
      <c r="L44" s="19" t="str">
        <f t="shared" si="5"/>
        <v>🆕 أول ظهور لهذه المادة</v>
      </c>
      <c r="M44" s="12">
        <f>IF(A44="","",IFERROR(INDEX(المدخلات!$M$4:$M$15,MATCH(A44,المدخلات!$L$4:$L$15,0)),""))</f>
        <v>13300</v>
      </c>
      <c r="N44" s="4">
        <f t="shared" si="6"/>
        <v>2743125</v>
      </c>
      <c r="O44" s="4">
        <f t="shared" si="7"/>
        <v>0</v>
      </c>
    </row>
    <row r="45" spans="1:15" ht="25.5" customHeight="1">
      <c r="A45" s="11">
        <v>202606</v>
      </c>
      <c r="B45" s="19" t="s">
        <v>271</v>
      </c>
      <c r="C45" s="19" t="s">
        <v>285</v>
      </c>
      <c r="D45" s="55">
        <v>0.6</v>
      </c>
      <c r="E45" s="56">
        <v>287.5</v>
      </c>
      <c r="F45" s="19" t="s">
        <v>63</v>
      </c>
      <c r="G45" s="4">
        <f t="shared" si="0"/>
        <v>172.5</v>
      </c>
      <c r="H45" s="11">
        <f t="shared" si="1"/>
        <v>0</v>
      </c>
      <c r="I45" s="55" t="str">
        <f t="shared" si="2"/>
        <v/>
      </c>
      <c r="J45" s="55">
        <f t="shared" si="3"/>
        <v>0</v>
      </c>
      <c r="K45" s="4">
        <f t="shared" si="4"/>
        <v>0</v>
      </c>
      <c r="L45" s="19" t="str">
        <f t="shared" si="5"/>
        <v>🆕 أول ظهور لهذه المادة</v>
      </c>
      <c r="M45" s="12">
        <f>IF(A45="","",IFERROR(INDEX(المدخلات!$M$4:$M$15,MATCH(A45,المدخلات!$L$4:$L$15,0)),""))</f>
        <v>13300</v>
      </c>
      <c r="N45" s="4">
        <f t="shared" si="6"/>
        <v>2294250</v>
      </c>
      <c r="O45" s="4">
        <f t="shared" si="7"/>
        <v>0</v>
      </c>
    </row>
    <row r="46" spans="1:15">
      <c r="A46" s="11">
        <v>202606</v>
      </c>
      <c r="B46" s="19" t="s">
        <v>271</v>
      </c>
      <c r="C46" s="19" t="s">
        <v>286</v>
      </c>
      <c r="D46" s="55">
        <v>0.47</v>
      </c>
      <c r="E46" s="56">
        <v>300</v>
      </c>
      <c r="F46" s="19" t="s">
        <v>63</v>
      </c>
      <c r="G46" s="4">
        <f t="shared" si="0"/>
        <v>141</v>
      </c>
      <c r="H46" s="11">
        <f t="shared" si="1"/>
        <v>0</v>
      </c>
      <c r="I46" s="55" t="str">
        <f t="shared" si="2"/>
        <v/>
      </c>
      <c r="J46" s="55">
        <f t="shared" si="3"/>
        <v>0</v>
      </c>
      <c r="K46" s="4">
        <f t="shared" si="4"/>
        <v>0</v>
      </c>
      <c r="L46" s="19" t="str">
        <f t="shared" si="5"/>
        <v>🆕 أول ظهور لهذه المادة</v>
      </c>
      <c r="M46" s="12">
        <f>IF(A46="","",IFERROR(INDEX(المدخلات!$M$4:$M$15,MATCH(A46,المدخلات!$L$4:$L$15,0)),""))</f>
        <v>13300</v>
      </c>
      <c r="N46" s="4">
        <f t="shared" si="6"/>
        <v>1875300</v>
      </c>
      <c r="O46" s="4">
        <f t="shared" si="7"/>
        <v>0</v>
      </c>
    </row>
    <row r="47" spans="1:15">
      <c r="A47" s="11">
        <v>202606</v>
      </c>
      <c r="B47" s="19" t="s">
        <v>271</v>
      </c>
      <c r="C47" s="19" t="s">
        <v>287</v>
      </c>
      <c r="D47" s="55">
        <v>0</v>
      </c>
      <c r="E47" s="56">
        <v>14.5</v>
      </c>
      <c r="F47" s="19" t="s">
        <v>63</v>
      </c>
      <c r="G47" s="4">
        <f t="shared" si="0"/>
        <v>0</v>
      </c>
      <c r="H47" s="11">
        <f t="shared" si="1"/>
        <v>0</v>
      </c>
      <c r="I47" s="55" t="str">
        <f t="shared" si="2"/>
        <v/>
      </c>
      <c r="J47" s="55">
        <f t="shared" si="3"/>
        <v>0</v>
      </c>
      <c r="K47" s="4">
        <f t="shared" si="4"/>
        <v>0</v>
      </c>
      <c r="L47" s="19" t="str">
        <f t="shared" si="5"/>
        <v>🆕 أول ظهور لهذه المادة</v>
      </c>
      <c r="M47" s="12">
        <f>IF(A47="","",IFERROR(INDEX(المدخلات!$M$4:$M$15,MATCH(A47,المدخلات!$L$4:$L$15,0)),""))</f>
        <v>13300</v>
      </c>
      <c r="N47" s="4">
        <f t="shared" si="6"/>
        <v>0</v>
      </c>
      <c r="O47" s="4">
        <f t="shared" si="7"/>
        <v>0</v>
      </c>
    </row>
    <row r="48" spans="1:15" ht="25.5" customHeight="1">
      <c r="A48" s="11">
        <v>202606</v>
      </c>
      <c r="B48" s="19" t="s">
        <v>271</v>
      </c>
      <c r="C48" s="19" t="s">
        <v>288</v>
      </c>
      <c r="D48" s="55">
        <v>20</v>
      </c>
      <c r="E48" s="56">
        <v>150</v>
      </c>
      <c r="F48" s="19" t="s">
        <v>63</v>
      </c>
      <c r="G48" s="4">
        <f t="shared" si="0"/>
        <v>3000</v>
      </c>
      <c r="H48" s="11">
        <f t="shared" si="1"/>
        <v>0</v>
      </c>
      <c r="I48" s="55" t="str">
        <f t="shared" si="2"/>
        <v/>
      </c>
      <c r="J48" s="55">
        <f t="shared" si="3"/>
        <v>0</v>
      </c>
      <c r="K48" s="4">
        <f t="shared" si="4"/>
        <v>0</v>
      </c>
      <c r="L48" s="19" t="str">
        <f t="shared" si="5"/>
        <v>🆕 أول ظهور لهذه المادة</v>
      </c>
      <c r="M48" s="12">
        <f>IF(A48="","",IFERROR(INDEX(المدخلات!$M$4:$M$15,MATCH(A48,المدخلات!$L$4:$L$15,0)),""))</f>
        <v>13300</v>
      </c>
      <c r="N48" s="4">
        <f t="shared" si="6"/>
        <v>39900000</v>
      </c>
      <c r="O48" s="4">
        <f t="shared" si="7"/>
        <v>0</v>
      </c>
    </row>
    <row r="49" spans="1:15">
      <c r="A49" s="11">
        <v>202606</v>
      </c>
      <c r="B49" s="19" t="s">
        <v>271</v>
      </c>
      <c r="C49" s="19" t="s">
        <v>289</v>
      </c>
      <c r="D49" s="55">
        <v>21.4</v>
      </c>
      <c r="E49" s="56">
        <v>312.5</v>
      </c>
      <c r="F49" s="19" t="s">
        <v>63</v>
      </c>
      <c r="G49" s="4">
        <f t="shared" si="0"/>
        <v>6687.5</v>
      </c>
      <c r="H49" s="11">
        <f t="shared" si="1"/>
        <v>0</v>
      </c>
      <c r="I49" s="55" t="str">
        <f t="shared" si="2"/>
        <v/>
      </c>
      <c r="J49" s="55">
        <f t="shared" si="3"/>
        <v>0</v>
      </c>
      <c r="K49" s="4">
        <f t="shared" si="4"/>
        <v>0</v>
      </c>
      <c r="L49" s="19" t="str">
        <f t="shared" si="5"/>
        <v>🆕 أول ظهور لهذه المادة</v>
      </c>
      <c r="M49" s="12">
        <f>IF(A49="","",IFERROR(INDEX(المدخلات!$M$4:$M$15,MATCH(A49,المدخلات!$L$4:$L$15,0)),""))</f>
        <v>13300</v>
      </c>
      <c r="N49" s="4">
        <f t="shared" si="6"/>
        <v>88943750</v>
      </c>
      <c r="O49" s="4">
        <f t="shared" si="7"/>
        <v>0</v>
      </c>
    </row>
    <row r="50" spans="1:15">
      <c r="A50" s="11">
        <v>202606</v>
      </c>
      <c r="B50" s="19" t="s">
        <v>271</v>
      </c>
      <c r="C50" s="19" t="s">
        <v>141</v>
      </c>
      <c r="D50" s="55">
        <v>0</v>
      </c>
      <c r="E50" s="56">
        <v>15</v>
      </c>
      <c r="F50" s="19" t="s">
        <v>63</v>
      </c>
      <c r="G50" s="4">
        <f t="shared" si="0"/>
        <v>0</v>
      </c>
      <c r="H50" s="11">
        <f t="shared" si="1"/>
        <v>0</v>
      </c>
      <c r="I50" s="55" t="str">
        <f t="shared" si="2"/>
        <v/>
      </c>
      <c r="J50" s="55">
        <f t="shared" si="3"/>
        <v>0</v>
      </c>
      <c r="K50" s="4">
        <f t="shared" si="4"/>
        <v>0</v>
      </c>
      <c r="L50" s="19" t="str">
        <f t="shared" si="5"/>
        <v>🆕 أول ظهور لهذه المادة</v>
      </c>
      <c r="M50" s="12">
        <f>IF(A50="","",IFERROR(INDEX(المدخلات!$M$4:$M$15,MATCH(A50,المدخلات!$L$4:$L$15,0)),""))</f>
        <v>13300</v>
      </c>
      <c r="N50" s="4">
        <f t="shared" si="6"/>
        <v>0</v>
      </c>
      <c r="O50" s="4">
        <f t="shared" si="7"/>
        <v>0</v>
      </c>
    </row>
    <row r="51" spans="1:15">
      <c r="A51" s="11">
        <v>202606</v>
      </c>
      <c r="B51" s="19" t="s">
        <v>271</v>
      </c>
      <c r="C51" s="19" t="s">
        <v>142</v>
      </c>
      <c r="D51" s="55">
        <v>2</v>
      </c>
      <c r="E51" s="56">
        <v>16</v>
      </c>
      <c r="F51" s="19" t="s">
        <v>63</v>
      </c>
      <c r="G51" s="4">
        <f t="shared" si="0"/>
        <v>32</v>
      </c>
      <c r="H51" s="11">
        <f t="shared" si="1"/>
        <v>0</v>
      </c>
      <c r="I51" s="55" t="str">
        <f t="shared" si="2"/>
        <v/>
      </c>
      <c r="J51" s="55">
        <f t="shared" si="3"/>
        <v>0</v>
      </c>
      <c r="K51" s="4">
        <f t="shared" si="4"/>
        <v>0</v>
      </c>
      <c r="L51" s="19" t="str">
        <f t="shared" si="5"/>
        <v>🆕 أول ظهور لهذه المادة</v>
      </c>
      <c r="M51" s="12">
        <f>IF(A51="","",IFERROR(INDEX(المدخلات!$M$4:$M$15,MATCH(A51,المدخلات!$L$4:$L$15,0)),""))</f>
        <v>13300</v>
      </c>
      <c r="N51" s="4">
        <f t="shared" si="6"/>
        <v>425600</v>
      </c>
      <c r="O51" s="4">
        <f t="shared" si="7"/>
        <v>0</v>
      </c>
    </row>
    <row r="52" spans="1:15">
      <c r="A52" s="11">
        <v>202606</v>
      </c>
      <c r="B52" s="19" t="s">
        <v>271</v>
      </c>
      <c r="C52" s="19" t="s">
        <v>143</v>
      </c>
      <c r="D52" s="55">
        <v>3</v>
      </c>
      <c r="E52" s="56">
        <v>15.5</v>
      </c>
      <c r="F52" s="19" t="s">
        <v>63</v>
      </c>
      <c r="G52" s="4">
        <f t="shared" si="0"/>
        <v>46.5</v>
      </c>
      <c r="H52" s="11">
        <f t="shared" si="1"/>
        <v>0</v>
      </c>
      <c r="I52" s="55" t="str">
        <f t="shared" si="2"/>
        <v/>
      </c>
      <c r="J52" s="55">
        <f t="shared" si="3"/>
        <v>0</v>
      </c>
      <c r="K52" s="4">
        <f t="shared" si="4"/>
        <v>0</v>
      </c>
      <c r="L52" s="19" t="str">
        <f t="shared" si="5"/>
        <v>🆕 أول ظهور لهذه المادة</v>
      </c>
      <c r="M52" s="12">
        <f>IF(A52="","",IFERROR(INDEX(المدخلات!$M$4:$M$15,MATCH(A52,المدخلات!$L$4:$L$15,0)),""))</f>
        <v>13300</v>
      </c>
      <c r="N52" s="4">
        <f t="shared" si="6"/>
        <v>618450</v>
      </c>
      <c r="O52" s="4">
        <f t="shared" si="7"/>
        <v>0</v>
      </c>
    </row>
    <row r="53" spans="1:15">
      <c r="A53" s="11">
        <v>202606</v>
      </c>
      <c r="B53" s="19" t="s">
        <v>271</v>
      </c>
      <c r="C53" s="19" t="s">
        <v>144</v>
      </c>
      <c r="D53" s="55">
        <v>0.46</v>
      </c>
      <c r="E53" s="56">
        <v>225</v>
      </c>
      <c r="F53" s="19" t="s">
        <v>63</v>
      </c>
      <c r="G53" s="4">
        <f t="shared" si="0"/>
        <v>103.5</v>
      </c>
      <c r="H53" s="11">
        <f t="shared" si="1"/>
        <v>0</v>
      </c>
      <c r="I53" s="55" t="str">
        <f t="shared" si="2"/>
        <v/>
      </c>
      <c r="J53" s="55">
        <f t="shared" si="3"/>
        <v>0</v>
      </c>
      <c r="K53" s="4">
        <f t="shared" si="4"/>
        <v>0</v>
      </c>
      <c r="L53" s="19" t="str">
        <f t="shared" si="5"/>
        <v>🆕 أول ظهور لهذه المادة</v>
      </c>
      <c r="M53" s="12">
        <f>IF(A53="","",IFERROR(INDEX(المدخلات!$M$4:$M$15,MATCH(A53,المدخلات!$L$4:$L$15,0)),""))</f>
        <v>13300</v>
      </c>
      <c r="N53" s="4">
        <f t="shared" si="6"/>
        <v>1376550</v>
      </c>
      <c r="O53" s="4">
        <f t="shared" si="7"/>
        <v>0</v>
      </c>
    </row>
    <row r="54" spans="1:15">
      <c r="A54" s="11">
        <v>202606</v>
      </c>
      <c r="B54" s="19" t="s">
        <v>271</v>
      </c>
      <c r="C54" s="19" t="s">
        <v>145</v>
      </c>
      <c r="D54" s="55">
        <v>1</v>
      </c>
      <c r="E54" s="56">
        <v>16</v>
      </c>
      <c r="F54" s="19" t="s">
        <v>63</v>
      </c>
      <c r="G54" s="4">
        <f t="shared" si="0"/>
        <v>16</v>
      </c>
      <c r="H54" s="11">
        <f t="shared" si="1"/>
        <v>0</v>
      </c>
      <c r="I54" s="55" t="str">
        <f t="shared" si="2"/>
        <v/>
      </c>
      <c r="J54" s="55">
        <f t="shared" si="3"/>
        <v>0</v>
      </c>
      <c r="K54" s="4">
        <f t="shared" si="4"/>
        <v>0</v>
      </c>
      <c r="L54" s="19" t="str">
        <f t="shared" si="5"/>
        <v>🆕 أول ظهور لهذه المادة</v>
      </c>
      <c r="M54" s="12">
        <f>IF(A54="","",IFERROR(INDEX(المدخلات!$M$4:$M$15,MATCH(A54,المدخلات!$L$4:$L$15,0)),""))</f>
        <v>13300</v>
      </c>
      <c r="N54" s="4">
        <f t="shared" si="6"/>
        <v>212800</v>
      </c>
      <c r="O54" s="4">
        <f t="shared" si="7"/>
        <v>0</v>
      </c>
    </row>
    <row r="55" spans="1:15">
      <c r="A55" s="11">
        <v>202606</v>
      </c>
      <c r="B55" s="19" t="s">
        <v>271</v>
      </c>
      <c r="C55" s="19" t="s">
        <v>146</v>
      </c>
      <c r="D55" s="55">
        <v>0</v>
      </c>
      <c r="E55" s="56">
        <v>13</v>
      </c>
      <c r="F55" s="19" t="s">
        <v>63</v>
      </c>
      <c r="G55" s="4">
        <f t="shared" si="0"/>
        <v>0</v>
      </c>
      <c r="H55" s="11">
        <f t="shared" si="1"/>
        <v>0</v>
      </c>
      <c r="I55" s="55" t="str">
        <f t="shared" si="2"/>
        <v/>
      </c>
      <c r="J55" s="55">
        <f t="shared" si="3"/>
        <v>0</v>
      </c>
      <c r="K55" s="4">
        <f t="shared" si="4"/>
        <v>0</v>
      </c>
      <c r="L55" s="19" t="str">
        <f t="shared" si="5"/>
        <v>🆕 أول ظهور لهذه المادة</v>
      </c>
      <c r="M55" s="12">
        <f>IF(A55="","",IFERROR(INDEX(المدخلات!$M$4:$M$15,MATCH(A55,المدخلات!$L$4:$L$15,0)),""))</f>
        <v>13300</v>
      </c>
      <c r="N55" s="4">
        <f t="shared" si="6"/>
        <v>0</v>
      </c>
      <c r="O55" s="4">
        <f t="shared" si="7"/>
        <v>0</v>
      </c>
    </row>
    <row r="56" spans="1:15" ht="25.5" customHeight="1">
      <c r="A56" s="11">
        <v>202606</v>
      </c>
      <c r="B56" s="19" t="s">
        <v>271</v>
      </c>
      <c r="C56" s="19" t="s">
        <v>290</v>
      </c>
      <c r="D56" s="55">
        <v>22</v>
      </c>
      <c r="E56" s="56">
        <v>18</v>
      </c>
      <c r="F56" s="19" t="s">
        <v>63</v>
      </c>
      <c r="G56" s="4">
        <f t="shared" si="0"/>
        <v>396</v>
      </c>
      <c r="H56" s="11">
        <f t="shared" si="1"/>
        <v>0</v>
      </c>
      <c r="I56" s="55" t="str">
        <f t="shared" si="2"/>
        <v/>
      </c>
      <c r="J56" s="55">
        <f t="shared" si="3"/>
        <v>0</v>
      </c>
      <c r="K56" s="4">
        <f t="shared" si="4"/>
        <v>0</v>
      </c>
      <c r="L56" s="19" t="str">
        <f t="shared" si="5"/>
        <v>🆕 أول ظهور لهذه المادة</v>
      </c>
      <c r="M56" s="12">
        <f>IF(A56="","",IFERROR(INDEX(المدخلات!$M$4:$M$15,MATCH(A56,المدخلات!$L$4:$L$15,0)),""))</f>
        <v>13300</v>
      </c>
      <c r="N56" s="4">
        <f t="shared" si="6"/>
        <v>5266800</v>
      </c>
      <c r="O56" s="4">
        <f t="shared" si="7"/>
        <v>0</v>
      </c>
    </row>
    <row r="57" spans="1:15">
      <c r="A57" s="11">
        <v>202606</v>
      </c>
      <c r="B57" s="19" t="s">
        <v>271</v>
      </c>
      <c r="C57" s="19" t="s">
        <v>147</v>
      </c>
      <c r="D57" s="55">
        <v>0</v>
      </c>
      <c r="E57" s="56">
        <v>15</v>
      </c>
      <c r="F57" s="19" t="s">
        <v>63</v>
      </c>
      <c r="G57" s="4">
        <f t="shared" si="0"/>
        <v>0</v>
      </c>
      <c r="H57" s="11">
        <f t="shared" si="1"/>
        <v>0</v>
      </c>
      <c r="I57" s="55" t="str">
        <f t="shared" si="2"/>
        <v/>
      </c>
      <c r="J57" s="55">
        <f t="shared" si="3"/>
        <v>0</v>
      </c>
      <c r="K57" s="4">
        <f t="shared" si="4"/>
        <v>0</v>
      </c>
      <c r="L57" s="19" t="str">
        <f t="shared" si="5"/>
        <v>🆕 أول ظهور لهذه المادة</v>
      </c>
      <c r="M57" s="12">
        <f>IF(A57="","",IFERROR(INDEX(المدخلات!$M$4:$M$15,MATCH(A57,المدخلات!$L$4:$L$15,0)),""))</f>
        <v>13300</v>
      </c>
      <c r="N57" s="4">
        <f t="shared" si="6"/>
        <v>0</v>
      </c>
      <c r="O57" s="4">
        <f t="shared" si="7"/>
        <v>0</v>
      </c>
    </row>
    <row r="58" spans="1:15">
      <c r="A58" s="11">
        <v>202606</v>
      </c>
      <c r="B58" s="19" t="s">
        <v>271</v>
      </c>
      <c r="C58" s="19" t="s">
        <v>148</v>
      </c>
      <c r="D58" s="55">
        <v>0</v>
      </c>
      <c r="E58" s="56">
        <v>13.2</v>
      </c>
      <c r="F58" s="19" t="s">
        <v>63</v>
      </c>
      <c r="G58" s="4">
        <f t="shared" si="0"/>
        <v>0</v>
      </c>
      <c r="H58" s="11">
        <f t="shared" si="1"/>
        <v>0</v>
      </c>
      <c r="I58" s="55" t="str">
        <f t="shared" si="2"/>
        <v/>
      </c>
      <c r="J58" s="55">
        <f t="shared" si="3"/>
        <v>0</v>
      </c>
      <c r="K58" s="4">
        <f t="shared" si="4"/>
        <v>0</v>
      </c>
      <c r="L58" s="19" t="str">
        <f t="shared" si="5"/>
        <v>🆕 أول ظهور لهذه المادة</v>
      </c>
      <c r="M58" s="12">
        <f>IF(A58="","",IFERROR(INDEX(المدخلات!$M$4:$M$15,MATCH(A58,المدخلات!$L$4:$L$15,0)),""))</f>
        <v>13300</v>
      </c>
      <c r="N58" s="4">
        <f t="shared" si="6"/>
        <v>0</v>
      </c>
      <c r="O58" s="4">
        <f t="shared" si="7"/>
        <v>0</v>
      </c>
    </row>
    <row r="59" spans="1:15">
      <c r="A59" s="11">
        <v>202606</v>
      </c>
      <c r="B59" s="19" t="s">
        <v>271</v>
      </c>
      <c r="C59" s="19" t="s">
        <v>291</v>
      </c>
      <c r="D59" s="55">
        <v>2</v>
      </c>
      <c r="E59" s="56">
        <v>425</v>
      </c>
      <c r="F59" s="19" t="s">
        <v>63</v>
      </c>
      <c r="G59" s="4">
        <f t="shared" si="0"/>
        <v>850</v>
      </c>
      <c r="H59" s="11">
        <f t="shared" si="1"/>
        <v>0</v>
      </c>
      <c r="I59" s="55" t="str">
        <f t="shared" si="2"/>
        <v/>
      </c>
      <c r="J59" s="55">
        <f t="shared" si="3"/>
        <v>0</v>
      </c>
      <c r="K59" s="4">
        <f t="shared" si="4"/>
        <v>0</v>
      </c>
      <c r="L59" s="19" t="str">
        <f t="shared" si="5"/>
        <v>🆕 أول ظهور لهذه المادة</v>
      </c>
      <c r="M59" s="12">
        <f>IF(A59="","",IFERROR(INDEX(المدخلات!$M$4:$M$15,MATCH(A59,المدخلات!$L$4:$L$15,0)),""))</f>
        <v>13300</v>
      </c>
      <c r="N59" s="4">
        <f t="shared" si="6"/>
        <v>11305000</v>
      </c>
      <c r="O59" s="4">
        <f t="shared" si="7"/>
        <v>0</v>
      </c>
    </row>
    <row r="60" spans="1:15">
      <c r="A60" s="11">
        <v>202606</v>
      </c>
      <c r="B60" s="19" t="s">
        <v>271</v>
      </c>
      <c r="C60" s="19" t="s">
        <v>292</v>
      </c>
      <c r="D60" s="55">
        <v>50</v>
      </c>
      <c r="E60" s="56">
        <v>22</v>
      </c>
      <c r="F60" s="19" t="s">
        <v>63</v>
      </c>
      <c r="G60" s="4">
        <f t="shared" si="0"/>
        <v>1100</v>
      </c>
      <c r="H60" s="11">
        <f t="shared" si="1"/>
        <v>0</v>
      </c>
      <c r="I60" s="55" t="str">
        <f t="shared" si="2"/>
        <v/>
      </c>
      <c r="J60" s="55">
        <f t="shared" si="3"/>
        <v>0</v>
      </c>
      <c r="K60" s="4">
        <f t="shared" si="4"/>
        <v>0</v>
      </c>
      <c r="L60" s="19" t="str">
        <f t="shared" si="5"/>
        <v>🆕 أول ظهور لهذه المادة</v>
      </c>
      <c r="M60" s="12">
        <f>IF(A60="","",IFERROR(INDEX(المدخلات!$M$4:$M$15,MATCH(A60,المدخلات!$L$4:$L$15,0)),""))</f>
        <v>13300</v>
      </c>
      <c r="N60" s="4">
        <f t="shared" si="6"/>
        <v>14630000</v>
      </c>
      <c r="O60" s="4">
        <f t="shared" si="7"/>
        <v>0</v>
      </c>
    </row>
    <row r="61" spans="1:15" ht="25.5" customHeight="1">
      <c r="A61" s="11">
        <v>202606</v>
      </c>
      <c r="B61" s="19" t="s">
        <v>271</v>
      </c>
      <c r="C61" s="19" t="s">
        <v>293</v>
      </c>
      <c r="D61" s="55">
        <v>4</v>
      </c>
      <c r="E61" s="56">
        <v>425</v>
      </c>
      <c r="F61" s="19" t="s">
        <v>63</v>
      </c>
      <c r="G61" s="4">
        <f t="shared" si="0"/>
        <v>1700</v>
      </c>
      <c r="H61" s="11">
        <f t="shared" si="1"/>
        <v>0</v>
      </c>
      <c r="I61" s="55" t="str">
        <f t="shared" si="2"/>
        <v/>
      </c>
      <c r="J61" s="55">
        <f t="shared" si="3"/>
        <v>0</v>
      </c>
      <c r="K61" s="4">
        <f t="shared" si="4"/>
        <v>0</v>
      </c>
      <c r="L61" s="19" t="str">
        <f t="shared" si="5"/>
        <v>🆕 أول ظهور لهذه المادة</v>
      </c>
      <c r="M61" s="12">
        <f>IF(A61="","",IFERROR(INDEX(المدخلات!$M$4:$M$15,MATCH(A61,المدخلات!$L$4:$L$15,0)),""))</f>
        <v>13300</v>
      </c>
      <c r="N61" s="4">
        <f t="shared" si="6"/>
        <v>22610000</v>
      </c>
      <c r="O61" s="4">
        <f t="shared" si="7"/>
        <v>0</v>
      </c>
    </row>
    <row r="62" spans="1:15">
      <c r="A62" s="11">
        <v>202606</v>
      </c>
      <c r="B62" s="19" t="s">
        <v>271</v>
      </c>
      <c r="C62" s="19" t="s">
        <v>294</v>
      </c>
      <c r="D62" s="55">
        <v>1.44</v>
      </c>
      <c r="E62" s="56">
        <v>400</v>
      </c>
      <c r="F62" s="19" t="s">
        <v>63</v>
      </c>
      <c r="G62" s="4">
        <f t="shared" si="0"/>
        <v>576</v>
      </c>
      <c r="H62" s="11">
        <f t="shared" si="1"/>
        <v>0</v>
      </c>
      <c r="I62" s="55" t="str">
        <f t="shared" si="2"/>
        <v/>
      </c>
      <c r="J62" s="55">
        <f t="shared" si="3"/>
        <v>0</v>
      </c>
      <c r="K62" s="4">
        <f t="shared" si="4"/>
        <v>0</v>
      </c>
      <c r="L62" s="19" t="str">
        <f t="shared" si="5"/>
        <v>🆕 أول ظهور لهذه المادة</v>
      </c>
      <c r="M62" s="12">
        <f>IF(A62="","",IFERROR(INDEX(المدخلات!$M$4:$M$15,MATCH(A62,المدخلات!$L$4:$L$15,0)),""))</f>
        <v>13300</v>
      </c>
      <c r="N62" s="4">
        <f t="shared" si="6"/>
        <v>7660800</v>
      </c>
      <c r="O62" s="4">
        <f t="shared" si="7"/>
        <v>0</v>
      </c>
    </row>
    <row r="63" spans="1:15">
      <c r="A63" s="11">
        <v>202606</v>
      </c>
      <c r="B63" s="19" t="s">
        <v>271</v>
      </c>
      <c r="C63" s="19" t="s">
        <v>295</v>
      </c>
      <c r="D63" s="55">
        <v>105</v>
      </c>
      <c r="E63" s="56">
        <v>24</v>
      </c>
      <c r="F63" s="19" t="s">
        <v>63</v>
      </c>
      <c r="G63" s="4">
        <f t="shared" si="0"/>
        <v>2520</v>
      </c>
      <c r="H63" s="11">
        <f t="shared" si="1"/>
        <v>0</v>
      </c>
      <c r="I63" s="55" t="str">
        <f t="shared" si="2"/>
        <v/>
      </c>
      <c r="J63" s="55">
        <f t="shared" si="3"/>
        <v>0</v>
      </c>
      <c r="K63" s="4">
        <f t="shared" si="4"/>
        <v>0</v>
      </c>
      <c r="L63" s="19" t="str">
        <f t="shared" si="5"/>
        <v>🆕 أول ظهور لهذه المادة</v>
      </c>
      <c r="M63" s="12">
        <f>IF(A63="","",IFERROR(INDEX(المدخلات!$M$4:$M$15,MATCH(A63,المدخلات!$L$4:$L$15,0)),""))</f>
        <v>13300</v>
      </c>
      <c r="N63" s="4">
        <f t="shared" si="6"/>
        <v>33516000</v>
      </c>
      <c r="O63" s="4">
        <f t="shared" si="7"/>
        <v>0</v>
      </c>
    </row>
    <row r="64" spans="1:15">
      <c r="A64" s="11">
        <v>202606</v>
      </c>
      <c r="B64" s="19" t="s">
        <v>271</v>
      </c>
      <c r="C64" s="19" t="s">
        <v>296</v>
      </c>
      <c r="D64" s="55">
        <v>4</v>
      </c>
      <c r="E64" s="56">
        <v>450</v>
      </c>
      <c r="F64" s="19" t="s">
        <v>63</v>
      </c>
      <c r="G64" s="4">
        <f t="shared" si="0"/>
        <v>1800</v>
      </c>
      <c r="H64" s="11">
        <f t="shared" si="1"/>
        <v>0</v>
      </c>
      <c r="I64" s="55" t="str">
        <f t="shared" si="2"/>
        <v/>
      </c>
      <c r="J64" s="55">
        <f t="shared" si="3"/>
        <v>0</v>
      </c>
      <c r="K64" s="4">
        <f t="shared" si="4"/>
        <v>0</v>
      </c>
      <c r="L64" s="19" t="str">
        <f t="shared" si="5"/>
        <v>🆕 أول ظهور لهذه المادة</v>
      </c>
      <c r="M64" s="12">
        <f>IF(A64="","",IFERROR(INDEX(المدخلات!$M$4:$M$15,MATCH(A64,المدخلات!$L$4:$L$15,0)),""))</f>
        <v>13300</v>
      </c>
      <c r="N64" s="4">
        <f t="shared" si="6"/>
        <v>23940000</v>
      </c>
      <c r="O64" s="4">
        <f t="shared" si="7"/>
        <v>0</v>
      </c>
    </row>
    <row r="65" spans="1:15">
      <c r="A65" s="11">
        <v>202606</v>
      </c>
      <c r="B65" s="19" t="s">
        <v>271</v>
      </c>
      <c r="C65" s="19" t="s">
        <v>297</v>
      </c>
      <c r="D65" s="55">
        <v>2</v>
      </c>
      <c r="E65" s="56">
        <v>187.5</v>
      </c>
      <c r="F65" s="19" t="s">
        <v>63</v>
      </c>
      <c r="G65" s="4">
        <f t="shared" si="0"/>
        <v>375</v>
      </c>
      <c r="H65" s="11">
        <f t="shared" si="1"/>
        <v>0</v>
      </c>
      <c r="I65" s="55" t="str">
        <f t="shared" si="2"/>
        <v/>
      </c>
      <c r="J65" s="55">
        <f t="shared" si="3"/>
        <v>0</v>
      </c>
      <c r="K65" s="4">
        <f t="shared" si="4"/>
        <v>0</v>
      </c>
      <c r="L65" s="19" t="str">
        <f t="shared" si="5"/>
        <v>🆕 أول ظهور لهذه المادة</v>
      </c>
      <c r="M65" s="12">
        <f>IF(A65="","",IFERROR(INDEX(المدخلات!$M$4:$M$15,MATCH(A65,المدخلات!$L$4:$L$15,0)),""))</f>
        <v>13300</v>
      </c>
      <c r="N65" s="4">
        <f t="shared" si="6"/>
        <v>4987500</v>
      </c>
      <c r="O65" s="4">
        <f t="shared" si="7"/>
        <v>0</v>
      </c>
    </row>
    <row r="66" spans="1:15">
      <c r="A66" s="11">
        <v>202606</v>
      </c>
      <c r="B66" s="19" t="s">
        <v>271</v>
      </c>
      <c r="C66" s="19" t="s">
        <v>298</v>
      </c>
      <c r="D66" s="55">
        <v>0</v>
      </c>
      <c r="E66" s="56">
        <v>0.8</v>
      </c>
      <c r="F66" s="19" t="s">
        <v>63</v>
      </c>
      <c r="G66" s="4">
        <f t="shared" si="0"/>
        <v>0</v>
      </c>
      <c r="H66" s="11">
        <f t="shared" si="1"/>
        <v>0</v>
      </c>
      <c r="I66" s="55" t="str">
        <f t="shared" si="2"/>
        <v/>
      </c>
      <c r="J66" s="55">
        <f t="shared" si="3"/>
        <v>0</v>
      </c>
      <c r="K66" s="4">
        <f t="shared" si="4"/>
        <v>0</v>
      </c>
      <c r="L66" s="19" t="str">
        <f t="shared" si="5"/>
        <v>🆕 أول ظهور لهذه المادة</v>
      </c>
      <c r="M66" s="12">
        <f>IF(A66="","",IFERROR(INDEX(المدخلات!$M$4:$M$15,MATCH(A66,المدخلات!$L$4:$L$15,0)),""))</f>
        <v>13300</v>
      </c>
      <c r="N66" s="4">
        <f t="shared" si="6"/>
        <v>0</v>
      </c>
      <c r="O66" s="4">
        <f t="shared" si="7"/>
        <v>0</v>
      </c>
    </row>
    <row r="67" spans="1:15">
      <c r="A67" s="11">
        <v>202606</v>
      </c>
      <c r="B67" s="19" t="s">
        <v>271</v>
      </c>
      <c r="C67" s="19" t="s">
        <v>149</v>
      </c>
      <c r="D67" s="55">
        <v>0</v>
      </c>
      <c r="E67" s="56">
        <v>0</v>
      </c>
      <c r="F67" s="19" t="s">
        <v>63</v>
      </c>
      <c r="G67" s="4">
        <f t="shared" si="0"/>
        <v>0</v>
      </c>
      <c r="H67" s="11">
        <f t="shared" si="1"/>
        <v>0</v>
      </c>
      <c r="I67" s="55" t="str">
        <f t="shared" si="2"/>
        <v/>
      </c>
      <c r="J67" s="55">
        <f t="shared" si="3"/>
        <v>0</v>
      </c>
      <c r="K67" s="4">
        <f t="shared" si="4"/>
        <v>0</v>
      </c>
      <c r="L67" s="19" t="str">
        <f t="shared" si="5"/>
        <v>🆕 أول ظهور لهذه المادة</v>
      </c>
      <c r="M67" s="12">
        <f>IF(A67="","",IFERROR(INDEX(المدخلات!$M$4:$M$15,MATCH(A67,المدخلات!$L$4:$L$15,0)),""))</f>
        <v>13300</v>
      </c>
      <c r="N67" s="4">
        <f t="shared" si="6"/>
        <v>0</v>
      </c>
      <c r="O67" s="4">
        <f t="shared" si="7"/>
        <v>0</v>
      </c>
    </row>
    <row r="68" spans="1:15">
      <c r="A68" s="11">
        <v>202606</v>
      </c>
      <c r="B68" s="19" t="s">
        <v>271</v>
      </c>
      <c r="C68" s="19" t="s">
        <v>150</v>
      </c>
      <c r="D68" s="55">
        <v>0</v>
      </c>
      <c r="E68" s="56">
        <v>0</v>
      </c>
      <c r="F68" s="19" t="s">
        <v>63</v>
      </c>
      <c r="G68" s="4">
        <f t="shared" si="0"/>
        <v>0</v>
      </c>
      <c r="H68" s="11">
        <f t="shared" si="1"/>
        <v>0</v>
      </c>
      <c r="I68" s="55" t="str">
        <f t="shared" si="2"/>
        <v/>
      </c>
      <c r="J68" s="55">
        <f t="shared" si="3"/>
        <v>0</v>
      </c>
      <c r="K68" s="4">
        <f t="shared" si="4"/>
        <v>0</v>
      </c>
      <c r="L68" s="19" t="str">
        <f t="shared" si="5"/>
        <v>🆕 أول ظهور لهذه المادة</v>
      </c>
      <c r="M68" s="12">
        <f>IF(A68="","",IFERROR(INDEX(المدخلات!$M$4:$M$15,MATCH(A68,المدخلات!$L$4:$L$15,0)),""))</f>
        <v>13300</v>
      </c>
      <c r="N68" s="4">
        <f t="shared" si="6"/>
        <v>0</v>
      </c>
      <c r="O68" s="4">
        <f t="shared" si="7"/>
        <v>0</v>
      </c>
    </row>
    <row r="69" spans="1:15">
      <c r="A69" s="11">
        <v>202606</v>
      </c>
      <c r="B69" s="19" t="s">
        <v>271</v>
      </c>
      <c r="C69" s="19" t="s">
        <v>151</v>
      </c>
      <c r="D69" s="55">
        <v>0</v>
      </c>
      <c r="E69" s="56">
        <v>642</v>
      </c>
      <c r="F69" s="19" t="s">
        <v>63</v>
      </c>
      <c r="G69" s="4">
        <f t="shared" ref="G69:G132" si="8">IF(OR(D69="",E69=""),"",D69*E69)</f>
        <v>0</v>
      </c>
      <c r="H69" s="11">
        <f t="shared" ref="H69:H132" si="9">IF(C69="","",IFERROR(_xlfn.MAXIFS($A$5:$A$2003,$C$5:$C$2003,C69,$A$5:$A$2003,"&lt;"&amp;A69),0))</f>
        <v>0</v>
      </c>
      <c r="I69" s="55" t="str">
        <f t="shared" ref="I69:I132" si="10">IF(OR(H69="",H69=0),"",IFERROR(SUMIFS($D$5:$D$2003,$C$5:$C$2003,C69,$A$5:$A$2003,H69),""))</f>
        <v/>
      </c>
      <c r="J69" s="55">
        <f t="shared" ref="J69:J132" si="11">IF(C69="","",IF(I69="",0,MAX(I69-D69,0)))</f>
        <v>0</v>
      </c>
      <c r="K69" s="4">
        <f t="shared" ref="K69:K132" si="12">IF(J69="","",J69*E69)</f>
        <v>0</v>
      </c>
      <c r="L69" s="19" t="str">
        <f t="shared" ref="L69:L132" si="13">IF(C69="","",IF(COUNTIFS($A$5:$A$2003,A69,$C$5:$C$2003,C69)&gt;1,"⚠️ مادة مكررة بنفس الشهر",IF(OR(H69="",H69=0),"🆕 أول ظهور لهذه المادة",IF(D69&gt;I69,"ℹ️ زيادة كمية (شراء/تصحيح) - لا تُحتسب استهلاكاً",IF(D69=I69,"➖ لا تغيير","")))))</f>
        <v>🆕 أول ظهور لهذه المادة</v>
      </c>
      <c r="M69" s="12">
        <f>IF(A69="","",IFERROR(INDEX(المدخلات!$M$4:$M$15,MATCH(A69,المدخلات!$L$4:$L$15,0)),""))</f>
        <v>13300</v>
      </c>
      <c r="N69" s="4">
        <f t="shared" ref="N69:N132" si="14">IF(OR(G69="",F69=""),"",IF(F69="دولار أمريكي",IF(M69="","⚠️ لا يوجد سعر صرف",G69*M69),G69))</f>
        <v>0</v>
      </c>
      <c r="O69" s="4">
        <f t="shared" ref="O69:O132" si="15">IF(OR(K69="",F69=""),"",IF(F69="دولار أمريكي",IF(M69="","⚠️ لا يوجد سعر صرف",K69*M69),K69))</f>
        <v>0</v>
      </c>
    </row>
    <row r="70" spans="1:15">
      <c r="A70" s="11">
        <v>202606</v>
      </c>
      <c r="B70" s="19" t="s">
        <v>271</v>
      </c>
      <c r="C70" s="19" t="s">
        <v>153</v>
      </c>
      <c r="D70" s="55">
        <v>17</v>
      </c>
      <c r="E70" s="56">
        <v>8</v>
      </c>
      <c r="F70" s="19" t="s">
        <v>63</v>
      </c>
      <c r="G70" s="4">
        <f t="shared" si="8"/>
        <v>136</v>
      </c>
      <c r="H70" s="11">
        <f t="shared" si="9"/>
        <v>0</v>
      </c>
      <c r="I70" s="55" t="str">
        <f t="shared" si="10"/>
        <v/>
      </c>
      <c r="J70" s="55">
        <f t="shared" si="11"/>
        <v>0</v>
      </c>
      <c r="K70" s="4">
        <f t="shared" si="12"/>
        <v>0</v>
      </c>
      <c r="L70" s="19" t="str">
        <f t="shared" si="13"/>
        <v>🆕 أول ظهور لهذه المادة</v>
      </c>
      <c r="M70" s="12">
        <f>IF(A70="","",IFERROR(INDEX(المدخلات!$M$4:$M$15,MATCH(A70,المدخلات!$L$4:$L$15,0)),""))</f>
        <v>13300</v>
      </c>
      <c r="N70" s="4">
        <f t="shared" si="14"/>
        <v>1808800</v>
      </c>
      <c r="O70" s="4">
        <f t="shared" si="15"/>
        <v>0</v>
      </c>
    </row>
    <row r="71" spans="1:15">
      <c r="A71" s="11">
        <v>202606</v>
      </c>
      <c r="B71" s="19" t="s">
        <v>271</v>
      </c>
      <c r="C71" s="19" t="s">
        <v>154</v>
      </c>
      <c r="D71" s="55">
        <v>0</v>
      </c>
      <c r="E71" s="56">
        <v>0.6</v>
      </c>
      <c r="F71" s="19" t="s">
        <v>63</v>
      </c>
      <c r="G71" s="4">
        <f t="shared" si="8"/>
        <v>0</v>
      </c>
      <c r="H71" s="11">
        <f t="shared" si="9"/>
        <v>0</v>
      </c>
      <c r="I71" s="55" t="str">
        <f t="shared" si="10"/>
        <v/>
      </c>
      <c r="J71" s="55">
        <f t="shared" si="11"/>
        <v>0</v>
      </c>
      <c r="K71" s="4">
        <f t="shared" si="12"/>
        <v>0</v>
      </c>
      <c r="L71" s="19" t="str">
        <f t="shared" si="13"/>
        <v>🆕 أول ظهور لهذه المادة</v>
      </c>
      <c r="M71" s="12">
        <f>IF(A71="","",IFERROR(INDEX(المدخلات!$M$4:$M$15,MATCH(A71,المدخلات!$L$4:$L$15,0)),""))</f>
        <v>13300</v>
      </c>
      <c r="N71" s="4">
        <f t="shared" si="14"/>
        <v>0</v>
      </c>
      <c r="O71" s="4">
        <f t="shared" si="15"/>
        <v>0</v>
      </c>
    </row>
    <row r="72" spans="1:15">
      <c r="A72" s="11">
        <v>202606</v>
      </c>
      <c r="B72" s="19" t="s">
        <v>271</v>
      </c>
      <c r="C72" s="19" t="s">
        <v>155</v>
      </c>
      <c r="D72" s="55">
        <v>1.45</v>
      </c>
      <c r="E72" s="56">
        <v>9.17</v>
      </c>
      <c r="F72" s="19" t="s">
        <v>63</v>
      </c>
      <c r="G72" s="4">
        <f t="shared" si="8"/>
        <v>13.2965</v>
      </c>
      <c r="H72" s="11">
        <f t="shared" si="9"/>
        <v>0</v>
      </c>
      <c r="I72" s="55" t="str">
        <f t="shared" si="10"/>
        <v/>
      </c>
      <c r="J72" s="55">
        <f t="shared" si="11"/>
        <v>0</v>
      </c>
      <c r="K72" s="4">
        <f t="shared" si="12"/>
        <v>0</v>
      </c>
      <c r="L72" s="19" t="str">
        <f t="shared" si="13"/>
        <v>🆕 أول ظهور لهذه المادة</v>
      </c>
      <c r="M72" s="12">
        <f>IF(A72="","",IFERROR(INDEX(المدخلات!$M$4:$M$15,MATCH(A72,المدخلات!$L$4:$L$15,0)),""))</f>
        <v>13300</v>
      </c>
      <c r="N72" s="4">
        <f t="shared" si="14"/>
        <v>176843.45</v>
      </c>
      <c r="O72" s="4">
        <f t="shared" si="15"/>
        <v>0</v>
      </c>
    </row>
    <row r="73" spans="1:15">
      <c r="A73" s="11">
        <v>202606</v>
      </c>
      <c r="B73" s="19" t="s">
        <v>271</v>
      </c>
      <c r="C73" s="19" t="s">
        <v>156</v>
      </c>
      <c r="D73" s="55">
        <v>0</v>
      </c>
      <c r="E73" s="56">
        <v>423</v>
      </c>
      <c r="F73" s="19" t="s">
        <v>63</v>
      </c>
      <c r="G73" s="4">
        <f t="shared" si="8"/>
        <v>0</v>
      </c>
      <c r="H73" s="11">
        <f t="shared" si="9"/>
        <v>0</v>
      </c>
      <c r="I73" s="55" t="str">
        <f t="shared" si="10"/>
        <v/>
      </c>
      <c r="J73" s="55">
        <f t="shared" si="11"/>
        <v>0</v>
      </c>
      <c r="K73" s="4">
        <f t="shared" si="12"/>
        <v>0</v>
      </c>
      <c r="L73" s="19" t="str">
        <f t="shared" si="13"/>
        <v>🆕 أول ظهور لهذه المادة</v>
      </c>
      <c r="M73" s="12">
        <f>IF(A73="","",IFERROR(INDEX(المدخلات!$M$4:$M$15,MATCH(A73,المدخلات!$L$4:$L$15,0)),""))</f>
        <v>13300</v>
      </c>
      <c r="N73" s="4">
        <f t="shared" si="14"/>
        <v>0</v>
      </c>
      <c r="O73" s="4">
        <f t="shared" si="15"/>
        <v>0</v>
      </c>
    </row>
    <row r="74" spans="1:15">
      <c r="A74" s="11">
        <v>202606</v>
      </c>
      <c r="B74" s="19" t="s">
        <v>271</v>
      </c>
      <c r="C74" s="19" t="s">
        <v>157</v>
      </c>
      <c r="D74" s="55">
        <v>0</v>
      </c>
      <c r="E74" s="56">
        <v>448</v>
      </c>
      <c r="F74" s="19" t="s">
        <v>63</v>
      </c>
      <c r="G74" s="4">
        <f t="shared" si="8"/>
        <v>0</v>
      </c>
      <c r="H74" s="11">
        <f t="shared" si="9"/>
        <v>0</v>
      </c>
      <c r="I74" s="55" t="str">
        <f t="shared" si="10"/>
        <v/>
      </c>
      <c r="J74" s="55">
        <f t="shared" si="11"/>
        <v>0</v>
      </c>
      <c r="K74" s="4">
        <f t="shared" si="12"/>
        <v>0</v>
      </c>
      <c r="L74" s="19" t="str">
        <f t="shared" si="13"/>
        <v>🆕 أول ظهور لهذه المادة</v>
      </c>
      <c r="M74" s="12">
        <f>IF(A74="","",IFERROR(INDEX(المدخلات!$M$4:$M$15,MATCH(A74,المدخلات!$L$4:$L$15,0)),""))</f>
        <v>13300</v>
      </c>
      <c r="N74" s="4">
        <f t="shared" si="14"/>
        <v>0</v>
      </c>
      <c r="O74" s="4">
        <f t="shared" si="15"/>
        <v>0</v>
      </c>
    </row>
    <row r="75" spans="1:15">
      <c r="A75" s="11">
        <v>202606</v>
      </c>
      <c r="B75" s="19" t="s">
        <v>271</v>
      </c>
      <c r="C75" s="19" t="s">
        <v>158</v>
      </c>
      <c r="D75" s="55">
        <v>0</v>
      </c>
      <c r="E75" s="56">
        <v>448</v>
      </c>
      <c r="F75" s="19" t="s">
        <v>63</v>
      </c>
      <c r="G75" s="4">
        <f t="shared" si="8"/>
        <v>0</v>
      </c>
      <c r="H75" s="11">
        <f t="shared" si="9"/>
        <v>0</v>
      </c>
      <c r="I75" s="55" t="str">
        <f t="shared" si="10"/>
        <v/>
      </c>
      <c r="J75" s="55">
        <f t="shared" si="11"/>
        <v>0</v>
      </c>
      <c r="K75" s="4">
        <f t="shared" si="12"/>
        <v>0</v>
      </c>
      <c r="L75" s="19" t="str">
        <f t="shared" si="13"/>
        <v>🆕 أول ظهور لهذه المادة</v>
      </c>
      <c r="M75" s="12">
        <f>IF(A75="","",IFERROR(INDEX(المدخلات!$M$4:$M$15,MATCH(A75,المدخلات!$L$4:$L$15,0)),""))</f>
        <v>13300</v>
      </c>
      <c r="N75" s="4">
        <f t="shared" si="14"/>
        <v>0</v>
      </c>
      <c r="O75" s="4">
        <f t="shared" si="15"/>
        <v>0</v>
      </c>
    </row>
    <row r="76" spans="1:15">
      <c r="A76" s="11">
        <v>202606</v>
      </c>
      <c r="B76" s="19" t="s">
        <v>271</v>
      </c>
      <c r="C76" s="19" t="s">
        <v>159</v>
      </c>
      <c r="D76" s="55">
        <v>0</v>
      </c>
      <c r="E76" s="56">
        <v>448</v>
      </c>
      <c r="F76" s="19" t="s">
        <v>63</v>
      </c>
      <c r="G76" s="4">
        <f t="shared" si="8"/>
        <v>0</v>
      </c>
      <c r="H76" s="11">
        <f t="shared" si="9"/>
        <v>0</v>
      </c>
      <c r="I76" s="55" t="str">
        <f t="shared" si="10"/>
        <v/>
      </c>
      <c r="J76" s="55">
        <f t="shared" si="11"/>
        <v>0</v>
      </c>
      <c r="K76" s="4">
        <f t="shared" si="12"/>
        <v>0</v>
      </c>
      <c r="L76" s="19" t="str">
        <f t="shared" si="13"/>
        <v>🆕 أول ظهور لهذه المادة</v>
      </c>
      <c r="M76" s="12">
        <f>IF(A76="","",IFERROR(INDEX(المدخلات!$M$4:$M$15,MATCH(A76,المدخلات!$L$4:$L$15,0)),""))</f>
        <v>13300</v>
      </c>
      <c r="N76" s="4">
        <f t="shared" si="14"/>
        <v>0</v>
      </c>
      <c r="O76" s="4">
        <f t="shared" si="15"/>
        <v>0</v>
      </c>
    </row>
    <row r="77" spans="1:15">
      <c r="A77" s="11">
        <v>202606</v>
      </c>
      <c r="B77" s="19" t="s">
        <v>271</v>
      </c>
      <c r="C77" s="19" t="s">
        <v>160</v>
      </c>
      <c r="D77" s="55">
        <v>0</v>
      </c>
      <c r="E77" s="56">
        <v>618</v>
      </c>
      <c r="F77" s="19" t="s">
        <v>63</v>
      </c>
      <c r="G77" s="4">
        <f t="shared" si="8"/>
        <v>0</v>
      </c>
      <c r="H77" s="11">
        <f t="shared" si="9"/>
        <v>0</v>
      </c>
      <c r="I77" s="55" t="str">
        <f t="shared" si="10"/>
        <v/>
      </c>
      <c r="J77" s="55">
        <f t="shared" si="11"/>
        <v>0</v>
      </c>
      <c r="K77" s="4">
        <f t="shared" si="12"/>
        <v>0</v>
      </c>
      <c r="L77" s="19" t="str">
        <f t="shared" si="13"/>
        <v>🆕 أول ظهور لهذه المادة</v>
      </c>
      <c r="M77" s="12">
        <f>IF(A77="","",IFERROR(INDEX(المدخلات!$M$4:$M$15,MATCH(A77,المدخلات!$L$4:$L$15,0)),""))</f>
        <v>13300</v>
      </c>
      <c r="N77" s="4">
        <f t="shared" si="14"/>
        <v>0</v>
      </c>
      <c r="O77" s="4">
        <f t="shared" si="15"/>
        <v>0</v>
      </c>
    </row>
    <row r="78" spans="1:15">
      <c r="A78" s="11">
        <v>202606</v>
      </c>
      <c r="B78" s="19" t="s">
        <v>271</v>
      </c>
      <c r="C78" s="19" t="s">
        <v>161</v>
      </c>
      <c r="D78" s="55">
        <v>0</v>
      </c>
      <c r="E78" s="56">
        <v>0.55000000000000004</v>
      </c>
      <c r="F78" s="19" t="s">
        <v>63</v>
      </c>
      <c r="G78" s="4">
        <f t="shared" si="8"/>
        <v>0</v>
      </c>
      <c r="H78" s="11">
        <f t="shared" si="9"/>
        <v>0</v>
      </c>
      <c r="I78" s="55" t="str">
        <f t="shared" si="10"/>
        <v/>
      </c>
      <c r="J78" s="55">
        <f t="shared" si="11"/>
        <v>0</v>
      </c>
      <c r="K78" s="4">
        <f t="shared" si="12"/>
        <v>0</v>
      </c>
      <c r="L78" s="19" t="str">
        <f t="shared" si="13"/>
        <v>🆕 أول ظهور لهذه المادة</v>
      </c>
      <c r="M78" s="12">
        <f>IF(A78="","",IFERROR(INDEX(المدخلات!$M$4:$M$15,MATCH(A78,المدخلات!$L$4:$L$15,0)),""))</f>
        <v>13300</v>
      </c>
      <c r="N78" s="4">
        <f t="shared" si="14"/>
        <v>0</v>
      </c>
      <c r="O78" s="4">
        <f t="shared" si="15"/>
        <v>0</v>
      </c>
    </row>
    <row r="79" spans="1:15">
      <c r="A79" s="11">
        <v>202606</v>
      </c>
      <c r="B79" s="19" t="s">
        <v>271</v>
      </c>
      <c r="C79" s="19" t="s">
        <v>162</v>
      </c>
      <c r="D79" s="55">
        <v>0</v>
      </c>
      <c r="E79" s="56">
        <v>918</v>
      </c>
      <c r="F79" s="19" t="s">
        <v>63</v>
      </c>
      <c r="G79" s="4">
        <f t="shared" si="8"/>
        <v>0</v>
      </c>
      <c r="H79" s="11">
        <f t="shared" si="9"/>
        <v>0</v>
      </c>
      <c r="I79" s="55" t="str">
        <f t="shared" si="10"/>
        <v/>
      </c>
      <c r="J79" s="55">
        <f t="shared" si="11"/>
        <v>0</v>
      </c>
      <c r="K79" s="4">
        <f t="shared" si="12"/>
        <v>0</v>
      </c>
      <c r="L79" s="19" t="str">
        <f t="shared" si="13"/>
        <v>🆕 أول ظهور لهذه المادة</v>
      </c>
      <c r="M79" s="12">
        <f>IF(A79="","",IFERROR(INDEX(المدخلات!$M$4:$M$15,MATCH(A79,المدخلات!$L$4:$L$15,0)),""))</f>
        <v>13300</v>
      </c>
      <c r="N79" s="4">
        <f t="shared" si="14"/>
        <v>0</v>
      </c>
      <c r="O79" s="4">
        <f t="shared" si="15"/>
        <v>0</v>
      </c>
    </row>
    <row r="80" spans="1:15">
      <c r="A80" s="11">
        <v>202606</v>
      </c>
      <c r="B80" s="19" t="s">
        <v>271</v>
      </c>
      <c r="C80" s="19" t="s">
        <v>163</v>
      </c>
      <c r="D80" s="55">
        <v>0</v>
      </c>
      <c r="E80" s="56">
        <v>191</v>
      </c>
      <c r="F80" s="19" t="s">
        <v>63</v>
      </c>
      <c r="G80" s="4">
        <f t="shared" si="8"/>
        <v>0</v>
      </c>
      <c r="H80" s="11">
        <f t="shared" si="9"/>
        <v>0</v>
      </c>
      <c r="I80" s="55" t="str">
        <f t="shared" si="10"/>
        <v/>
      </c>
      <c r="J80" s="55">
        <f t="shared" si="11"/>
        <v>0</v>
      </c>
      <c r="K80" s="4">
        <f t="shared" si="12"/>
        <v>0</v>
      </c>
      <c r="L80" s="19" t="str">
        <f t="shared" si="13"/>
        <v>🆕 أول ظهور لهذه المادة</v>
      </c>
      <c r="M80" s="12">
        <f>IF(A80="","",IFERROR(INDEX(المدخلات!$M$4:$M$15,MATCH(A80,المدخلات!$L$4:$L$15,0)),""))</f>
        <v>13300</v>
      </c>
      <c r="N80" s="4">
        <f t="shared" si="14"/>
        <v>0</v>
      </c>
      <c r="O80" s="4">
        <f t="shared" si="15"/>
        <v>0</v>
      </c>
    </row>
    <row r="81" spans="1:15">
      <c r="A81" s="11">
        <v>202606</v>
      </c>
      <c r="B81" s="19" t="s">
        <v>271</v>
      </c>
      <c r="C81" s="19" t="s">
        <v>164</v>
      </c>
      <c r="D81" s="55">
        <v>0</v>
      </c>
      <c r="E81" s="56">
        <v>294</v>
      </c>
      <c r="F81" s="19" t="s">
        <v>63</v>
      </c>
      <c r="G81" s="4">
        <f t="shared" si="8"/>
        <v>0</v>
      </c>
      <c r="H81" s="11">
        <f t="shared" si="9"/>
        <v>0</v>
      </c>
      <c r="I81" s="55" t="str">
        <f t="shared" si="10"/>
        <v/>
      </c>
      <c r="J81" s="55">
        <f t="shared" si="11"/>
        <v>0</v>
      </c>
      <c r="K81" s="4">
        <f t="shared" si="12"/>
        <v>0</v>
      </c>
      <c r="L81" s="19" t="str">
        <f t="shared" si="13"/>
        <v>🆕 أول ظهور لهذه المادة</v>
      </c>
      <c r="M81" s="12">
        <f>IF(A81="","",IFERROR(INDEX(المدخلات!$M$4:$M$15,MATCH(A81,المدخلات!$L$4:$L$15,0)),""))</f>
        <v>13300</v>
      </c>
      <c r="N81" s="4">
        <f t="shared" si="14"/>
        <v>0</v>
      </c>
      <c r="O81" s="4">
        <f t="shared" si="15"/>
        <v>0</v>
      </c>
    </row>
    <row r="82" spans="1:15">
      <c r="A82" s="11">
        <v>202606</v>
      </c>
      <c r="B82" s="19" t="s">
        <v>271</v>
      </c>
      <c r="C82" s="19" t="s">
        <v>165</v>
      </c>
      <c r="D82" s="55">
        <v>0</v>
      </c>
      <c r="E82" s="56">
        <v>248</v>
      </c>
      <c r="F82" s="19" t="s">
        <v>63</v>
      </c>
      <c r="G82" s="4">
        <f t="shared" si="8"/>
        <v>0</v>
      </c>
      <c r="H82" s="11">
        <f t="shared" si="9"/>
        <v>0</v>
      </c>
      <c r="I82" s="55" t="str">
        <f t="shared" si="10"/>
        <v/>
      </c>
      <c r="J82" s="55">
        <f t="shared" si="11"/>
        <v>0</v>
      </c>
      <c r="K82" s="4">
        <f t="shared" si="12"/>
        <v>0</v>
      </c>
      <c r="L82" s="19" t="str">
        <f t="shared" si="13"/>
        <v>🆕 أول ظهور لهذه المادة</v>
      </c>
      <c r="M82" s="12">
        <f>IF(A82="","",IFERROR(INDEX(المدخلات!$M$4:$M$15,MATCH(A82,المدخلات!$L$4:$L$15,0)),""))</f>
        <v>13300</v>
      </c>
      <c r="N82" s="4">
        <f t="shared" si="14"/>
        <v>0</v>
      </c>
      <c r="O82" s="4">
        <f t="shared" si="15"/>
        <v>0</v>
      </c>
    </row>
    <row r="83" spans="1:15">
      <c r="A83" s="11">
        <v>202606</v>
      </c>
      <c r="B83" s="19" t="s">
        <v>271</v>
      </c>
      <c r="C83" s="19" t="s">
        <v>166</v>
      </c>
      <c r="D83" s="55">
        <v>0</v>
      </c>
      <c r="E83" s="56">
        <v>669</v>
      </c>
      <c r="F83" s="19" t="s">
        <v>63</v>
      </c>
      <c r="G83" s="4">
        <f t="shared" si="8"/>
        <v>0</v>
      </c>
      <c r="H83" s="11">
        <f t="shared" si="9"/>
        <v>0</v>
      </c>
      <c r="I83" s="55" t="str">
        <f t="shared" si="10"/>
        <v/>
      </c>
      <c r="J83" s="55">
        <f t="shared" si="11"/>
        <v>0</v>
      </c>
      <c r="K83" s="4">
        <f t="shared" si="12"/>
        <v>0</v>
      </c>
      <c r="L83" s="19" t="str">
        <f t="shared" si="13"/>
        <v>🆕 أول ظهور لهذه المادة</v>
      </c>
      <c r="M83" s="12">
        <f>IF(A83="","",IFERROR(INDEX(المدخلات!$M$4:$M$15,MATCH(A83,المدخلات!$L$4:$L$15,0)),""))</f>
        <v>13300</v>
      </c>
      <c r="N83" s="4">
        <f t="shared" si="14"/>
        <v>0</v>
      </c>
      <c r="O83" s="4">
        <f t="shared" si="15"/>
        <v>0</v>
      </c>
    </row>
    <row r="84" spans="1:15">
      <c r="A84" s="11">
        <v>202606</v>
      </c>
      <c r="B84" s="19" t="s">
        <v>271</v>
      </c>
      <c r="C84" s="19" t="s">
        <v>167</v>
      </c>
      <c r="D84" s="55">
        <v>0</v>
      </c>
      <c r="E84" s="56">
        <v>191</v>
      </c>
      <c r="F84" s="19" t="s">
        <v>63</v>
      </c>
      <c r="G84" s="4">
        <f t="shared" si="8"/>
        <v>0</v>
      </c>
      <c r="H84" s="11">
        <f t="shared" si="9"/>
        <v>0</v>
      </c>
      <c r="I84" s="55" t="str">
        <f t="shared" si="10"/>
        <v/>
      </c>
      <c r="J84" s="55">
        <f t="shared" si="11"/>
        <v>0</v>
      </c>
      <c r="K84" s="4">
        <f t="shared" si="12"/>
        <v>0</v>
      </c>
      <c r="L84" s="19" t="str">
        <f t="shared" si="13"/>
        <v>🆕 أول ظهور لهذه المادة</v>
      </c>
      <c r="M84" s="12">
        <f>IF(A84="","",IFERROR(INDEX(المدخلات!$M$4:$M$15,MATCH(A84,المدخلات!$L$4:$L$15,0)),""))</f>
        <v>13300</v>
      </c>
      <c r="N84" s="4">
        <f t="shared" si="14"/>
        <v>0</v>
      </c>
      <c r="O84" s="4">
        <f t="shared" si="15"/>
        <v>0</v>
      </c>
    </row>
    <row r="85" spans="1:15">
      <c r="A85" s="11">
        <v>202606</v>
      </c>
      <c r="B85" s="19" t="s">
        <v>271</v>
      </c>
      <c r="C85" s="19" t="s">
        <v>168</v>
      </c>
      <c r="D85" s="55">
        <v>0</v>
      </c>
      <c r="E85" s="56">
        <v>294</v>
      </c>
      <c r="F85" s="19" t="s">
        <v>63</v>
      </c>
      <c r="G85" s="4">
        <f t="shared" si="8"/>
        <v>0</v>
      </c>
      <c r="H85" s="11">
        <f t="shared" si="9"/>
        <v>0</v>
      </c>
      <c r="I85" s="55" t="str">
        <f t="shared" si="10"/>
        <v/>
      </c>
      <c r="J85" s="55">
        <f t="shared" si="11"/>
        <v>0</v>
      </c>
      <c r="K85" s="4">
        <f t="shared" si="12"/>
        <v>0</v>
      </c>
      <c r="L85" s="19" t="str">
        <f t="shared" si="13"/>
        <v>🆕 أول ظهور لهذه المادة</v>
      </c>
      <c r="M85" s="12">
        <f>IF(A85="","",IFERROR(INDEX(المدخلات!$M$4:$M$15,MATCH(A85,المدخلات!$L$4:$L$15,0)),""))</f>
        <v>13300</v>
      </c>
      <c r="N85" s="4">
        <f t="shared" si="14"/>
        <v>0</v>
      </c>
      <c r="O85" s="4">
        <f t="shared" si="15"/>
        <v>0</v>
      </c>
    </row>
    <row r="86" spans="1:15">
      <c r="A86" s="11">
        <v>202606</v>
      </c>
      <c r="B86" s="19" t="s">
        <v>271</v>
      </c>
      <c r="C86" s="19" t="s">
        <v>169</v>
      </c>
      <c r="D86" s="55">
        <v>0</v>
      </c>
      <c r="E86" s="56">
        <v>294</v>
      </c>
      <c r="F86" s="19" t="s">
        <v>63</v>
      </c>
      <c r="G86" s="4">
        <f t="shared" si="8"/>
        <v>0</v>
      </c>
      <c r="H86" s="11">
        <f t="shared" si="9"/>
        <v>0</v>
      </c>
      <c r="I86" s="55" t="str">
        <f t="shared" si="10"/>
        <v/>
      </c>
      <c r="J86" s="55">
        <f t="shared" si="11"/>
        <v>0</v>
      </c>
      <c r="K86" s="4">
        <f t="shared" si="12"/>
        <v>0</v>
      </c>
      <c r="L86" s="19" t="str">
        <f t="shared" si="13"/>
        <v>🆕 أول ظهور لهذه المادة</v>
      </c>
      <c r="M86" s="12">
        <f>IF(A86="","",IFERROR(INDEX(المدخلات!$M$4:$M$15,MATCH(A86,المدخلات!$L$4:$L$15,0)),""))</f>
        <v>13300</v>
      </c>
      <c r="N86" s="4">
        <f t="shared" si="14"/>
        <v>0</v>
      </c>
      <c r="O86" s="4">
        <f t="shared" si="15"/>
        <v>0</v>
      </c>
    </row>
    <row r="87" spans="1:15">
      <c r="A87" s="11">
        <v>202606</v>
      </c>
      <c r="B87" s="19" t="s">
        <v>271</v>
      </c>
      <c r="C87" s="19" t="s">
        <v>170</v>
      </c>
      <c r="D87" s="55">
        <v>0</v>
      </c>
      <c r="E87" s="56">
        <v>669</v>
      </c>
      <c r="F87" s="19" t="s">
        <v>63</v>
      </c>
      <c r="G87" s="4">
        <f t="shared" si="8"/>
        <v>0</v>
      </c>
      <c r="H87" s="11">
        <f t="shared" si="9"/>
        <v>0</v>
      </c>
      <c r="I87" s="55" t="str">
        <f t="shared" si="10"/>
        <v/>
      </c>
      <c r="J87" s="55">
        <f t="shared" si="11"/>
        <v>0</v>
      </c>
      <c r="K87" s="4">
        <f t="shared" si="12"/>
        <v>0</v>
      </c>
      <c r="L87" s="19" t="str">
        <f t="shared" si="13"/>
        <v>🆕 أول ظهور لهذه المادة</v>
      </c>
      <c r="M87" s="12">
        <f>IF(A87="","",IFERROR(INDEX(المدخلات!$M$4:$M$15,MATCH(A87,المدخلات!$L$4:$L$15,0)),""))</f>
        <v>13300</v>
      </c>
      <c r="N87" s="4">
        <f t="shared" si="14"/>
        <v>0</v>
      </c>
      <c r="O87" s="4">
        <f t="shared" si="15"/>
        <v>0</v>
      </c>
    </row>
    <row r="88" spans="1:15">
      <c r="A88" s="11">
        <v>202606</v>
      </c>
      <c r="B88" s="19" t="s">
        <v>271</v>
      </c>
      <c r="C88" s="19" t="s">
        <v>171</v>
      </c>
      <c r="D88" s="55">
        <v>0</v>
      </c>
      <c r="E88" s="56">
        <v>191</v>
      </c>
      <c r="F88" s="19" t="s">
        <v>63</v>
      </c>
      <c r="G88" s="4">
        <f t="shared" si="8"/>
        <v>0</v>
      </c>
      <c r="H88" s="11">
        <f t="shared" si="9"/>
        <v>0</v>
      </c>
      <c r="I88" s="55" t="str">
        <f t="shared" si="10"/>
        <v/>
      </c>
      <c r="J88" s="55">
        <f t="shared" si="11"/>
        <v>0</v>
      </c>
      <c r="K88" s="4">
        <f t="shared" si="12"/>
        <v>0</v>
      </c>
      <c r="L88" s="19" t="str">
        <f t="shared" si="13"/>
        <v>🆕 أول ظهور لهذه المادة</v>
      </c>
      <c r="M88" s="12">
        <f>IF(A88="","",IFERROR(INDEX(المدخلات!$M$4:$M$15,MATCH(A88,المدخلات!$L$4:$L$15,0)),""))</f>
        <v>13300</v>
      </c>
      <c r="N88" s="4">
        <f t="shared" si="14"/>
        <v>0</v>
      </c>
      <c r="O88" s="4">
        <f t="shared" si="15"/>
        <v>0</v>
      </c>
    </row>
    <row r="89" spans="1:15">
      <c r="A89" s="11">
        <v>202606</v>
      </c>
      <c r="B89" s="19" t="s">
        <v>271</v>
      </c>
      <c r="C89" s="19" t="s">
        <v>172</v>
      </c>
      <c r="D89" s="55">
        <v>0</v>
      </c>
      <c r="E89" s="56">
        <v>294</v>
      </c>
      <c r="F89" s="19" t="s">
        <v>63</v>
      </c>
      <c r="G89" s="4">
        <f t="shared" si="8"/>
        <v>0</v>
      </c>
      <c r="H89" s="11">
        <f t="shared" si="9"/>
        <v>0</v>
      </c>
      <c r="I89" s="55" t="str">
        <f t="shared" si="10"/>
        <v/>
      </c>
      <c r="J89" s="55">
        <f t="shared" si="11"/>
        <v>0</v>
      </c>
      <c r="K89" s="4">
        <f t="shared" si="12"/>
        <v>0</v>
      </c>
      <c r="L89" s="19" t="str">
        <f t="shared" si="13"/>
        <v>🆕 أول ظهور لهذه المادة</v>
      </c>
      <c r="M89" s="12">
        <f>IF(A89="","",IFERROR(INDEX(المدخلات!$M$4:$M$15,MATCH(A89,المدخلات!$L$4:$L$15,0)),""))</f>
        <v>13300</v>
      </c>
      <c r="N89" s="4">
        <f t="shared" si="14"/>
        <v>0</v>
      </c>
      <c r="O89" s="4">
        <f t="shared" si="15"/>
        <v>0</v>
      </c>
    </row>
    <row r="90" spans="1:15">
      <c r="A90" s="11">
        <v>202606</v>
      </c>
      <c r="B90" s="19" t="s">
        <v>271</v>
      </c>
      <c r="C90" s="19" t="s">
        <v>173</v>
      </c>
      <c r="D90" s="55">
        <v>0</v>
      </c>
      <c r="E90" s="56">
        <v>248</v>
      </c>
      <c r="F90" s="19" t="s">
        <v>63</v>
      </c>
      <c r="G90" s="4">
        <f t="shared" si="8"/>
        <v>0</v>
      </c>
      <c r="H90" s="11">
        <f t="shared" si="9"/>
        <v>0</v>
      </c>
      <c r="I90" s="55" t="str">
        <f t="shared" si="10"/>
        <v/>
      </c>
      <c r="J90" s="55">
        <f t="shared" si="11"/>
        <v>0</v>
      </c>
      <c r="K90" s="4">
        <f t="shared" si="12"/>
        <v>0</v>
      </c>
      <c r="L90" s="19" t="str">
        <f t="shared" si="13"/>
        <v>🆕 أول ظهور لهذه المادة</v>
      </c>
      <c r="M90" s="12">
        <f>IF(A90="","",IFERROR(INDEX(المدخلات!$M$4:$M$15,MATCH(A90,المدخلات!$L$4:$L$15,0)),""))</f>
        <v>13300</v>
      </c>
      <c r="N90" s="4">
        <f t="shared" si="14"/>
        <v>0</v>
      </c>
      <c r="O90" s="4">
        <f t="shared" si="15"/>
        <v>0</v>
      </c>
    </row>
    <row r="91" spans="1:15">
      <c r="A91" s="11">
        <v>202606</v>
      </c>
      <c r="B91" s="19" t="s">
        <v>271</v>
      </c>
      <c r="C91" s="19" t="s">
        <v>174</v>
      </c>
      <c r="D91" s="55">
        <v>0</v>
      </c>
      <c r="E91" s="56">
        <v>669</v>
      </c>
      <c r="F91" s="19" t="s">
        <v>63</v>
      </c>
      <c r="G91" s="4">
        <f t="shared" si="8"/>
        <v>0</v>
      </c>
      <c r="H91" s="11">
        <f t="shared" si="9"/>
        <v>0</v>
      </c>
      <c r="I91" s="55" t="str">
        <f t="shared" si="10"/>
        <v/>
      </c>
      <c r="J91" s="55">
        <f t="shared" si="11"/>
        <v>0</v>
      </c>
      <c r="K91" s="4">
        <f t="shared" si="12"/>
        <v>0</v>
      </c>
      <c r="L91" s="19" t="str">
        <f t="shared" si="13"/>
        <v>🆕 أول ظهور لهذه المادة</v>
      </c>
      <c r="M91" s="12">
        <f>IF(A91="","",IFERROR(INDEX(المدخلات!$M$4:$M$15,MATCH(A91,المدخلات!$L$4:$L$15,0)),""))</f>
        <v>13300</v>
      </c>
      <c r="N91" s="4">
        <f t="shared" si="14"/>
        <v>0</v>
      </c>
      <c r="O91" s="4">
        <f t="shared" si="15"/>
        <v>0</v>
      </c>
    </row>
    <row r="92" spans="1:15">
      <c r="A92" s="11">
        <v>202606</v>
      </c>
      <c r="B92" s="19" t="s">
        <v>271</v>
      </c>
      <c r="C92" s="19" t="s">
        <v>175</v>
      </c>
      <c r="D92" s="55">
        <v>0</v>
      </c>
      <c r="E92" s="56">
        <v>185</v>
      </c>
      <c r="F92" s="19" t="s">
        <v>63</v>
      </c>
      <c r="G92" s="4">
        <f t="shared" si="8"/>
        <v>0</v>
      </c>
      <c r="H92" s="11">
        <f t="shared" si="9"/>
        <v>0</v>
      </c>
      <c r="I92" s="55" t="str">
        <f t="shared" si="10"/>
        <v/>
      </c>
      <c r="J92" s="55">
        <f t="shared" si="11"/>
        <v>0</v>
      </c>
      <c r="K92" s="4">
        <f t="shared" si="12"/>
        <v>0</v>
      </c>
      <c r="L92" s="19" t="str">
        <f t="shared" si="13"/>
        <v>🆕 أول ظهور لهذه المادة</v>
      </c>
      <c r="M92" s="12">
        <f>IF(A92="","",IFERROR(INDEX(المدخلات!$M$4:$M$15,MATCH(A92,المدخلات!$L$4:$L$15,0)),""))</f>
        <v>13300</v>
      </c>
      <c r="N92" s="4">
        <f t="shared" si="14"/>
        <v>0</v>
      </c>
      <c r="O92" s="4">
        <f t="shared" si="15"/>
        <v>0</v>
      </c>
    </row>
    <row r="93" spans="1:15">
      <c r="A93" s="11">
        <v>202606</v>
      </c>
      <c r="B93" s="19" t="s">
        <v>271</v>
      </c>
      <c r="C93" s="19" t="s">
        <v>176</v>
      </c>
      <c r="D93" s="55">
        <v>0</v>
      </c>
      <c r="E93" s="56">
        <v>340</v>
      </c>
      <c r="F93" s="19" t="s">
        <v>63</v>
      </c>
      <c r="G93" s="4">
        <f t="shared" si="8"/>
        <v>0</v>
      </c>
      <c r="H93" s="11">
        <f t="shared" si="9"/>
        <v>0</v>
      </c>
      <c r="I93" s="55" t="str">
        <f t="shared" si="10"/>
        <v/>
      </c>
      <c r="J93" s="55">
        <f t="shared" si="11"/>
        <v>0</v>
      </c>
      <c r="K93" s="4">
        <f t="shared" si="12"/>
        <v>0</v>
      </c>
      <c r="L93" s="19" t="str">
        <f t="shared" si="13"/>
        <v>🆕 أول ظهور لهذه المادة</v>
      </c>
      <c r="M93" s="12">
        <f>IF(A93="","",IFERROR(INDEX(المدخلات!$M$4:$M$15,MATCH(A93,المدخلات!$L$4:$L$15,0)),""))</f>
        <v>13300</v>
      </c>
      <c r="N93" s="4">
        <f t="shared" si="14"/>
        <v>0</v>
      </c>
      <c r="O93" s="4">
        <f t="shared" si="15"/>
        <v>0</v>
      </c>
    </row>
    <row r="94" spans="1:15">
      <c r="A94" s="11">
        <v>202606</v>
      </c>
      <c r="B94" s="19" t="s">
        <v>271</v>
      </c>
      <c r="C94" s="19" t="s">
        <v>177</v>
      </c>
      <c r="D94" s="55">
        <v>0</v>
      </c>
      <c r="E94" s="56">
        <v>242</v>
      </c>
      <c r="F94" s="19" t="s">
        <v>63</v>
      </c>
      <c r="G94" s="4">
        <f t="shared" si="8"/>
        <v>0</v>
      </c>
      <c r="H94" s="11">
        <f t="shared" si="9"/>
        <v>0</v>
      </c>
      <c r="I94" s="55" t="str">
        <f t="shared" si="10"/>
        <v/>
      </c>
      <c r="J94" s="55">
        <f t="shared" si="11"/>
        <v>0</v>
      </c>
      <c r="K94" s="4">
        <f t="shared" si="12"/>
        <v>0</v>
      </c>
      <c r="L94" s="19" t="str">
        <f t="shared" si="13"/>
        <v>🆕 أول ظهور لهذه المادة</v>
      </c>
      <c r="M94" s="12">
        <f>IF(A94="","",IFERROR(INDEX(المدخلات!$M$4:$M$15,MATCH(A94,المدخلات!$L$4:$L$15,0)),""))</f>
        <v>13300</v>
      </c>
      <c r="N94" s="4">
        <f t="shared" si="14"/>
        <v>0</v>
      </c>
      <c r="O94" s="4">
        <f t="shared" si="15"/>
        <v>0</v>
      </c>
    </row>
    <row r="95" spans="1:15">
      <c r="A95" s="11">
        <v>202606</v>
      </c>
      <c r="B95" s="19" t="s">
        <v>271</v>
      </c>
      <c r="C95" s="19" t="s">
        <v>299</v>
      </c>
      <c r="D95" s="55">
        <v>0</v>
      </c>
      <c r="E95" s="56">
        <v>0</v>
      </c>
      <c r="F95" s="19" t="s">
        <v>63</v>
      </c>
      <c r="G95" s="4">
        <f t="shared" si="8"/>
        <v>0</v>
      </c>
      <c r="H95" s="11">
        <f t="shared" si="9"/>
        <v>0</v>
      </c>
      <c r="I95" s="55" t="str">
        <f t="shared" si="10"/>
        <v/>
      </c>
      <c r="J95" s="55">
        <f t="shared" si="11"/>
        <v>0</v>
      </c>
      <c r="K95" s="4">
        <f t="shared" si="12"/>
        <v>0</v>
      </c>
      <c r="L95" s="19" t="str">
        <f t="shared" si="13"/>
        <v>🆕 أول ظهور لهذه المادة</v>
      </c>
      <c r="M95" s="12">
        <f>IF(A95="","",IFERROR(INDEX(المدخلات!$M$4:$M$15,MATCH(A95,المدخلات!$L$4:$L$15,0)),""))</f>
        <v>13300</v>
      </c>
      <c r="N95" s="4">
        <f t="shared" si="14"/>
        <v>0</v>
      </c>
      <c r="O95" s="4">
        <f t="shared" si="15"/>
        <v>0</v>
      </c>
    </row>
    <row r="96" spans="1:15">
      <c r="A96" s="11">
        <v>202606</v>
      </c>
      <c r="B96" s="19" t="s">
        <v>271</v>
      </c>
      <c r="C96" s="19" t="s">
        <v>178</v>
      </c>
      <c r="D96" s="55">
        <v>0</v>
      </c>
      <c r="E96" s="56">
        <v>657</v>
      </c>
      <c r="F96" s="19" t="s">
        <v>63</v>
      </c>
      <c r="G96" s="4">
        <f t="shared" si="8"/>
        <v>0</v>
      </c>
      <c r="H96" s="11">
        <f t="shared" si="9"/>
        <v>0</v>
      </c>
      <c r="I96" s="55" t="str">
        <f t="shared" si="10"/>
        <v/>
      </c>
      <c r="J96" s="55">
        <f t="shared" si="11"/>
        <v>0</v>
      </c>
      <c r="K96" s="4">
        <f t="shared" si="12"/>
        <v>0</v>
      </c>
      <c r="L96" s="19" t="str">
        <f t="shared" si="13"/>
        <v>🆕 أول ظهور لهذه المادة</v>
      </c>
      <c r="M96" s="12">
        <f>IF(A96="","",IFERROR(INDEX(المدخلات!$M$4:$M$15,MATCH(A96,المدخلات!$L$4:$L$15,0)),""))</f>
        <v>13300</v>
      </c>
      <c r="N96" s="4">
        <f t="shared" si="14"/>
        <v>0</v>
      </c>
      <c r="O96" s="4">
        <f t="shared" si="15"/>
        <v>0</v>
      </c>
    </row>
    <row r="97" spans="1:15">
      <c r="A97" s="11">
        <v>202606</v>
      </c>
      <c r="B97" s="19" t="s">
        <v>271</v>
      </c>
      <c r="C97" s="19" t="s">
        <v>179</v>
      </c>
      <c r="D97" s="55">
        <v>0</v>
      </c>
      <c r="E97" s="56">
        <v>191</v>
      </c>
      <c r="F97" s="19" t="s">
        <v>63</v>
      </c>
      <c r="G97" s="4">
        <f t="shared" si="8"/>
        <v>0</v>
      </c>
      <c r="H97" s="11">
        <f t="shared" si="9"/>
        <v>0</v>
      </c>
      <c r="I97" s="55" t="str">
        <f t="shared" si="10"/>
        <v/>
      </c>
      <c r="J97" s="55">
        <f t="shared" si="11"/>
        <v>0</v>
      </c>
      <c r="K97" s="4">
        <f t="shared" si="12"/>
        <v>0</v>
      </c>
      <c r="L97" s="19" t="str">
        <f t="shared" si="13"/>
        <v>🆕 أول ظهور لهذه المادة</v>
      </c>
      <c r="M97" s="12">
        <f>IF(A97="","",IFERROR(INDEX(المدخلات!$M$4:$M$15,MATCH(A97,المدخلات!$L$4:$L$15,0)),""))</f>
        <v>13300</v>
      </c>
      <c r="N97" s="4">
        <f t="shared" si="14"/>
        <v>0</v>
      </c>
      <c r="O97" s="4">
        <f t="shared" si="15"/>
        <v>0</v>
      </c>
    </row>
    <row r="98" spans="1:15">
      <c r="A98" s="11">
        <v>202606</v>
      </c>
      <c r="B98" s="19" t="s">
        <v>271</v>
      </c>
      <c r="C98" s="19" t="s">
        <v>180</v>
      </c>
      <c r="D98" s="55">
        <v>0</v>
      </c>
      <c r="E98" s="56">
        <v>294</v>
      </c>
      <c r="F98" s="19" t="s">
        <v>63</v>
      </c>
      <c r="G98" s="4">
        <f t="shared" si="8"/>
        <v>0</v>
      </c>
      <c r="H98" s="11">
        <f t="shared" si="9"/>
        <v>0</v>
      </c>
      <c r="I98" s="55" t="str">
        <f t="shared" si="10"/>
        <v/>
      </c>
      <c r="J98" s="55">
        <f t="shared" si="11"/>
        <v>0</v>
      </c>
      <c r="K98" s="4">
        <f t="shared" si="12"/>
        <v>0</v>
      </c>
      <c r="L98" s="19" t="str">
        <f t="shared" si="13"/>
        <v>🆕 أول ظهور لهذه المادة</v>
      </c>
      <c r="M98" s="12">
        <f>IF(A98="","",IFERROR(INDEX(المدخلات!$M$4:$M$15,MATCH(A98,المدخلات!$L$4:$L$15,0)),""))</f>
        <v>13300</v>
      </c>
      <c r="N98" s="4">
        <f t="shared" si="14"/>
        <v>0</v>
      </c>
      <c r="O98" s="4">
        <f t="shared" si="15"/>
        <v>0</v>
      </c>
    </row>
    <row r="99" spans="1:15">
      <c r="A99" s="11">
        <v>202606</v>
      </c>
      <c r="B99" s="19" t="s">
        <v>271</v>
      </c>
      <c r="C99" s="19" t="s">
        <v>181</v>
      </c>
      <c r="D99" s="55">
        <v>0</v>
      </c>
      <c r="E99" s="56">
        <v>248</v>
      </c>
      <c r="F99" s="19" t="s">
        <v>63</v>
      </c>
      <c r="G99" s="4">
        <f t="shared" si="8"/>
        <v>0</v>
      </c>
      <c r="H99" s="11">
        <f t="shared" si="9"/>
        <v>0</v>
      </c>
      <c r="I99" s="55" t="str">
        <f t="shared" si="10"/>
        <v/>
      </c>
      <c r="J99" s="55">
        <f t="shared" si="11"/>
        <v>0</v>
      </c>
      <c r="K99" s="4">
        <f t="shared" si="12"/>
        <v>0</v>
      </c>
      <c r="L99" s="19" t="str">
        <f t="shared" si="13"/>
        <v>🆕 أول ظهور لهذه المادة</v>
      </c>
      <c r="M99" s="12">
        <f>IF(A99="","",IFERROR(INDEX(المدخلات!$M$4:$M$15,MATCH(A99,المدخلات!$L$4:$L$15,0)),""))</f>
        <v>13300</v>
      </c>
      <c r="N99" s="4">
        <f t="shared" si="14"/>
        <v>0</v>
      </c>
      <c r="O99" s="4">
        <f t="shared" si="15"/>
        <v>0</v>
      </c>
    </row>
    <row r="100" spans="1:15">
      <c r="A100" s="11">
        <v>202606</v>
      </c>
      <c r="B100" s="19" t="s">
        <v>271</v>
      </c>
      <c r="C100" s="19" t="s">
        <v>182</v>
      </c>
      <c r="D100" s="55">
        <v>0</v>
      </c>
      <c r="E100" s="56">
        <v>669</v>
      </c>
      <c r="F100" s="19" t="s">
        <v>63</v>
      </c>
      <c r="G100" s="4">
        <f t="shared" si="8"/>
        <v>0</v>
      </c>
      <c r="H100" s="11">
        <f t="shared" si="9"/>
        <v>0</v>
      </c>
      <c r="I100" s="55" t="str">
        <f t="shared" si="10"/>
        <v/>
      </c>
      <c r="J100" s="55">
        <f t="shared" si="11"/>
        <v>0</v>
      </c>
      <c r="K100" s="4">
        <f t="shared" si="12"/>
        <v>0</v>
      </c>
      <c r="L100" s="19" t="str">
        <f t="shared" si="13"/>
        <v>🆕 أول ظهور لهذه المادة</v>
      </c>
      <c r="M100" s="12">
        <f>IF(A100="","",IFERROR(INDEX(المدخلات!$M$4:$M$15,MATCH(A100,المدخلات!$L$4:$L$15,0)),""))</f>
        <v>13300</v>
      </c>
      <c r="N100" s="4">
        <f t="shared" si="14"/>
        <v>0</v>
      </c>
      <c r="O100" s="4">
        <f t="shared" si="15"/>
        <v>0</v>
      </c>
    </row>
    <row r="101" spans="1:15">
      <c r="A101" s="11">
        <v>202606</v>
      </c>
      <c r="B101" s="19" t="s">
        <v>271</v>
      </c>
      <c r="C101" s="19" t="s">
        <v>183</v>
      </c>
      <c r="D101" s="55">
        <v>24</v>
      </c>
      <c r="E101" s="56">
        <v>5</v>
      </c>
      <c r="F101" s="19" t="s">
        <v>63</v>
      </c>
      <c r="G101" s="4">
        <f t="shared" si="8"/>
        <v>120</v>
      </c>
      <c r="H101" s="11">
        <f t="shared" si="9"/>
        <v>0</v>
      </c>
      <c r="I101" s="55" t="str">
        <f t="shared" si="10"/>
        <v/>
      </c>
      <c r="J101" s="55">
        <f t="shared" si="11"/>
        <v>0</v>
      </c>
      <c r="K101" s="4">
        <f t="shared" si="12"/>
        <v>0</v>
      </c>
      <c r="L101" s="19" t="str">
        <f t="shared" si="13"/>
        <v>🆕 أول ظهور لهذه المادة</v>
      </c>
      <c r="M101" s="12">
        <f>IF(A101="","",IFERROR(INDEX(المدخلات!$M$4:$M$15,MATCH(A101,المدخلات!$L$4:$L$15,0)),""))</f>
        <v>13300</v>
      </c>
      <c r="N101" s="4">
        <f t="shared" si="14"/>
        <v>1596000</v>
      </c>
      <c r="O101" s="4">
        <f t="shared" si="15"/>
        <v>0</v>
      </c>
    </row>
    <row r="102" spans="1:15">
      <c r="A102" s="11">
        <v>202606</v>
      </c>
      <c r="B102" s="19" t="s">
        <v>271</v>
      </c>
      <c r="C102" s="19" t="s">
        <v>185</v>
      </c>
      <c r="D102" s="55">
        <v>576</v>
      </c>
      <c r="E102" s="56">
        <v>3</v>
      </c>
      <c r="F102" s="19" t="s">
        <v>63</v>
      </c>
      <c r="G102" s="4">
        <f t="shared" si="8"/>
        <v>1728</v>
      </c>
      <c r="H102" s="11">
        <f t="shared" si="9"/>
        <v>0</v>
      </c>
      <c r="I102" s="55" t="str">
        <f t="shared" si="10"/>
        <v/>
      </c>
      <c r="J102" s="55">
        <f t="shared" si="11"/>
        <v>0</v>
      </c>
      <c r="K102" s="4">
        <f t="shared" si="12"/>
        <v>0</v>
      </c>
      <c r="L102" s="19" t="str">
        <f t="shared" si="13"/>
        <v>🆕 أول ظهور لهذه المادة</v>
      </c>
      <c r="M102" s="12">
        <f>IF(A102="","",IFERROR(INDEX(المدخلات!$M$4:$M$15,MATCH(A102,المدخلات!$L$4:$L$15,0)),""))</f>
        <v>13300</v>
      </c>
      <c r="N102" s="4">
        <f t="shared" si="14"/>
        <v>22982400</v>
      </c>
      <c r="O102" s="4">
        <f t="shared" si="15"/>
        <v>0</v>
      </c>
    </row>
    <row r="103" spans="1:15">
      <c r="A103" s="11">
        <v>202606</v>
      </c>
      <c r="B103" s="19" t="s">
        <v>271</v>
      </c>
      <c r="C103" s="19" t="s">
        <v>186</v>
      </c>
      <c r="D103" s="55">
        <v>0</v>
      </c>
      <c r="E103" s="56">
        <v>0</v>
      </c>
      <c r="F103" s="19" t="s">
        <v>63</v>
      </c>
      <c r="G103" s="4">
        <f t="shared" si="8"/>
        <v>0</v>
      </c>
      <c r="H103" s="11">
        <f t="shared" si="9"/>
        <v>0</v>
      </c>
      <c r="I103" s="55" t="str">
        <f t="shared" si="10"/>
        <v/>
      </c>
      <c r="J103" s="55">
        <f t="shared" si="11"/>
        <v>0</v>
      </c>
      <c r="K103" s="4">
        <f t="shared" si="12"/>
        <v>0</v>
      </c>
      <c r="L103" s="19" t="str">
        <f t="shared" si="13"/>
        <v>🆕 أول ظهور لهذه المادة</v>
      </c>
      <c r="M103" s="12">
        <f>IF(A103="","",IFERROR(INDEX(المدخلات!$M$4:$M$15,MATCH(A103,المدخلات!$L$4:$L$15,0)),""))</f>
        <v>13300</v>
      </c>
      <c r="N103" s="4">
        <f t="shared" si="14"/>
        <v>0</v>
      </c>
      <c r="O103" s="4">
        <f t="shared" si="15"/>
        <v>0</v>
      </c>
    </row>
    <row r="104" spans="1:15">
      <c r="A104" s="11">
        <v>202606</v>
      </c>
      <c r="B104" s="19" t="s">
        <v>271</v>
      </c>
      <c r="C104" s="19" t="s">
        <v>187</v>
      </c>
      <c r="D104" s="55">
        <v>34</v>
      </c>
      <c r="E104" s="56">
        <v>0.66</v>
      </c>
      <c r="F104" s="19" t="s">
        <v>63</v>
      </c>
      <c r="G104" s="4">
        <f t="shared" si="8"/>
        <v>22.44</v>
      </c>
      <c r="H104" s="11">
        <f t="shared" si="9"/>
        <v>0</v>
      </c>
      <c r="I104" s="55" t="str">
        <f t="shared" si="10"/>
        <v/>
      </c>
      <c r="J104" s="55">
        <f t="shared" si="11"/>
        <v>0</v>
      </c>
      <c r="K104" s="4">
        <f t="shared" si="12"/>
        <v>0</v>
      </c>
      <c r="L104" s="19" t="str">
        <f t="shared" si="13"/>
        <v>🆕 أول ظهور لهذه المادة</v>
      </c>
      <c r="M104" s="12">
        <f>IF(A104="","",IFERROR(INDEX(المدخلات!$M$4:$M$15,MATCH(A104,المدخلات!$L$4:$L$15,0)),""))</f>
        <v>13300</v>
      </c>
      <c r="N104" s="4">
        <f t="shared" si="14"/>
        <v>298452</v>
      </c>
      <c r="O104" s="4">
        <f t="shared" si="15"/>
        <v>0</v>
      </c>
    </row>
    <row r="105" spans="1:15">
      <c r="A105" s="11">
        <v>202606</v>
      </c>
      <c r="B105" s="19" t="s">
        <v>271</v>
      </c>
      <c r="C105" s="19" t="s">
        <v>300</v>
      </c>
      <c r="D105" s="55">
        <v>0</v>
      </c>
      <c r="E105" s="56">
        <v>69</v>
      </c>
      <c r="F105" s="19" t="s">
        <v>63</v>
      </c>
      <c r="G105" s="4">
        <f t="shared" si="8"/>
        <v>0</v>
      </c>
      <c r="H105" s="11">
        <f t="shared" si="9"/>
        <v>0</v>
      </c>
      <c r="I105" s="55" t="str">
        <f t="shared" si="10"/>
        <v/>
      </c>
      <c r="J105" s="55">
        <f t="shared" si="11"/>
        <v>0</v>
      </c>
      <c r="K105" s="4">
        <f t="shared" si="12"/>
        <v>0</v>
      </c>
      <c r="L105" s="19" t="str">
        <f t="shared" si="13"/>
        <v>🆕 أول ظهور لهذه المادة</v>
      </c>
      <c r="M105" s="12">
        <f>IF(A105="","",IFERROR(INDEX(المدخلات!$M$4:$M$15,MATCH(A105,المدخلات!$L$4:$L$15,0)),""))</f>
        <v>13300</v>
      </c>
      <c r="N105" s="4">
        <f t="shared" si="14"/>
        <v>0</v>
      </c>
      <c r="O105" s="4">
        <f t="shared" si="15"/>
        <v>0</v>
      </c>
    </row>
    <row r="106" spans="1:15">
      <c r="A106" s="11">
        <v>202606</v>
      </c>
      <c r="B106" s="19" t="s">
        <v>271</v>
      </c>
      <c r="C106" s="19" t="s">
        <v>301</v>
      </c>
      <c r="D106" s="55">
        <v>0</v>
      </c>
      <c r="E106" s="56">
        <v>105.4</v>
      </c>
      <c r="F106" s="19" t="s">
        <v>63</v>
      </c>
      <c r="G106" s="4">
        <f t="shared" si="8"/>
        <v>0</v>
      </c>
      <c r="H106" s="11">
        <f t="shared" si="9"/>
        <v>0</v>
      </c>
      <c r="I106" s="55" t="str">
        <f t="shared" si="10"/>
        <v/>
      </c>
      <c r="J106" s="55">
        <f t="shared" si="11"/>
        <v>0</v>
      </c>
      <c r="K106" s="4">
        <f t="shared" si="12"/>
        <v>0</v>
      </c>
      <c r="L106" s="19" t="str">
        <f t="shared" si="13"/>
        <v>🆕 أول ظهور لهذه المادة</v>
      </c>
      <c r="M106" s="12">
        <f>IF(A106="","",IFERROR(INDEX(المدخلات!$M$4:$M$15,MATCH(A106,المدخلات!$L$4:$L$15,0)),""))</f>
        <v>13300</v>
      </c>
      <c r="N106" s="4">
        <f t="shared" si="14"/>
        <v>0</v>
      </c>
      <c r="O106" s="4">
        <f t="shared" si="15"/>
        <v>0</v>
      </c>
    </row>
    <row r="107" spans="1:15">
      <c r="A107" s="11">
        <v>202606</v>
      </c>
      <c r="B107" s="19" t="s">
        <v>271</v>
      </c>
      <c r="C107" s="19" t="s">
        <v>302</v>
      </c>
      <c r="D107" s="55">
        <v>0</v>
      </c>
      <c r="E107" s="56">
        <v>60.48</v>
      </c>
      <c r="F107" s="19" t="s">
        <v>63</v>
      </c>
      <c r="G107" s="4">
        <f t="shared" si="8"/>
        <v>0</v>
      </c>
      <c r="H107" s="11">
        <f t="shared" si="9"/>
        <v>0</v>
      </c>
      <c r="I107" s="55" t="str">
        <f t="shared" si="10"/>
        <v/>
      </c>
      <c r="J107" s="55">
        <f t="shared" si="11"/>
        <v>0</v>
      </c>
      <c r="K107" s="4">
        <f t="shared" si="12"/>
        <v>0</v>
      </c>
      <c r="L107" s="19" t="str">
        <f t="shared" si="13"/>
        <v>🆕 أول ظهور لهذه المادة</v>
      </c>
      <c r="M107" s="12">
        <f>IF(A107="","",IFERROR(INDEX(المدخلات!$M$4:$M$15,MATCH(A107,المدخلات!$L$4:$L$15,0)),""))</f>
        <v>13300</v>
      </c>
      <c r="N107" s="4">
        <f t="shared" si="14"/>
        <v>0</v>
      </c>
      <c r="O107" s="4">
        <f t="shared" si="15"/>
        <v>0</v>
      </c>
    </row>
    <row r="108" spans="1:15">
      <c r="A108" s="11">
        <v>202606</v>
      </c>
      <c r="B108" s="19" t="s">
        <v>271</v>
      </c>
      <c r="C108" s="19" t="s">
        <v>188</v>
      </c>
      <c r="D108" s="55">
        <v>1</v>
      </c>
      <c r="E108" s="56">
        <v>0.875</v>
      </c>
      <c r="F108" s="19" t="s">
        <v>63</v>
      </c>
      <c r="G108" s="4">
        <f t="shared" si="8"/>
        <v>0.875</v>
      </c>
      <c r="H108" s="11">
        <f t="shared" si="9"/>
        <v>0</v>
      </c>
      <c r="I108" s="55" t="str">
        <f t="shared" si="10"/>
        <v/>
      </c>
      <c r="J108" s="55">
        <f t="shared" si="11"/>
        <v>0</v>
      </c>
      <c r="K108" s="4">
        <f t="shared" si="12"/>
        <v>0</v>
      </c>
      <c r="L108" s="19" t="str">
        <f t="shared" si="13"/>
        <v>🆕 أول ظهور لهذه المادة</v>
      </c>
      <c r="M108" s="12">
        <f>IF(A108="","",IFERROR(INDEX(المدخلات!$M$4:$M$15,MATCH(A108,المدخلات!$L$4:$L$15,0)),""))</f>
        <v>13300</v>
      </c>
      <c r="N108" s="4">
        <f t="shared" si="14"/>
        <v>11637.5</v>
      </c>
      <c r="O108" s="4">
        <f t="shared" si="15"/>
        <v>0</v>
      </c>
    </row>
    <row r="109" spans="1:15">
      <c r="A109" s="11">
        <v>202606</v>
      </c>
      <c r="B109" s="19" t="s">
        <v>271</v>
      </c>
      <c r="C109" s="19" t="s">
        <v>189</v>
      </c>
      <c r="D109" s="55">
        <v>0</v>
      </c>
      <c r="E109" s="56">
        <v>0.65</v>
      </c>
      <c r="F109" s="19" t="s">
        <v>63</v>
      </c>
      <c r="G109" s="4">
        <f t="shared" si="8"/>
        <v>0</v>
      </c>
      <c r="H109" s="11">
        <f t="shared" si="9"/>
        <v>0</v>
      </c>
      <c r="I109" s="55" t="str">
        <f t="shared" si="10"/>
        <v/>
      </c>
      <c r="J109" s="55">
        <f t="shared" si="11"/>
        <v>0</v>
      </c>
      <c r="K109" s="4">
        <f t="shared" si="12"/>
        <v>0</v>
      </c>
      <c r="L109" s="19" t="str">
        <f t="shared" si="13"/>
        <v>🆕 أول ظهور لهذه المادة</v>
      </c>
      <c r="M109" s="12">
        <f>IF(A109="","",IFERROR(INDEX(المدخلات!$M$4:$M$15,MATCH(A109,المدخلات!$L$4:$L$15,0)),""))</f>
        <v>13300</v>
      </c>
      <c r="N109" s="4">
        <f t="shared" si="14"/>
        <v>0</v>
      </c>
      <c r="O109" s="4">
        <f t="shared" si="15"/>
        <v>0</v>
      </c>
    </row>
    <row r="110" spans="1:15">
      <c r="A110" s="11">
        <v>202606</v>
      </c>
      <c r="B110" s="19" t="s">
        <v>271</v>
      </c>
      <c r="C110" s="19" t="s">
        <v>190</v>
      </c>
      <c r="D110" s="55">
        <v>1</v>
      </c>
      <c r="E110" s="56">
        <v>0.91600000000000004</v>
      </c>
      <c r="F110" s="19" t="s">
        <v>63</v>
      </c>
      <c r="G110" s="4">
        <f t="shared" si="8"/>
        <v>0.91600000000000004</v>
      </c>
      <c r="H110" s="11">
        <f t="shared" si="9"/>
        <v>0</v>
      </c>
      <c r="I110" s="55" t="str">
        <f t="shared" si="10"/>
        <v/>
      </c>
      <c r="J110" s="55">
        <f t="shared" si="11"/>
        <v>0</v>
      </c>
      <c r="K110" s="4">
        <f t="shared" si="12"/>
        <v>0</v>
      </c>
      <c r="L110" s="19" t="str">
        <f t="shared" si="13"/>
        <v>🆕 أول ظهور لهذه المادة</v>
      </c>
      <c r="M110" s="12">
        <f>IF(A110="","",IFERROR(INDEX(المدخلات!$M$4:$M$15,MATCH(A110,المدخلات!$L$4:$L$15,0)),""))</f>
        <v>13300</v>
      </c>
      <c r="N110" s="4">
        <f t="shared" si="14"/>
        <v>12182.800000000001</v>
      </c>
      <c r="O110" s="4">
        <f t="shared" si="15"/>
        <v>0</v>
      </c>
    </row>
    <row r="111" spans="1:15">
      <c r="A111" s="11">
        <v>202606</v>
      </c>
      <c r="B111" s="19" t="s">
        <v>271</v>
      </c>
      <c r="C111" s="19" t="s">
        <v>191</v>
      </c>
      <c r="D111" s="55">
        <v>0.83</v>
      </c>
      <c r="E111" s="56">
        <v>300</v>
      </c>
      <c r="F111" s="19" t="s">
        <v>63</v>
      </c>
      <c r="G111" s="4">
        <f t="shared" si="8"/>
        <v>249</v>
      </c>
      <c r="H111" s="11">
        <f t="shared" si="9"/>
        <v>0</v>
      </c>
      <c r="I111" s="55" t="str">
        <f t="shared" si="10"/>
        <v/>
      </c>
      <c r="J111" s="55">
        <f t="shared" si="11"/>
        <v>0</v>
      </c>
      <c r="K111" s="4">
        <f t="shared" si="12"/>
        <v>0</v>
      </c>
      <c r="L111" s="19" t="str">
        <f t="shared" si="13"/>
        <v>🆕 أول ظهور لهذه المادة</v>
      </c>
      <c r="M111" s="12">
        <f>IF(A111="","",IFERROR(INDEX(المدخلات!$M$4:$M$15,MATCH(A111,المدخلات!$L$4:$L$15,0)),""))</f>
        <v>13300</v>
      </c>
      <c r="N111" s="4">
        <f t="shared" si="14"/>
        <v>3311700</v>
      </c>
      <c r="O111" s="4">
        <f t="shared" si="15"/>
        <v>0</v>
      </c>
    </row>
    <row r="112" spans="1:15">
      <c r="A112" s="11">
        <v>202606</v>
      </c>
      <c r="B112" s="19" t="s">
        <v>271</v>
      </c>
      <c r="C112" s="19" t="s">
        <v>192</v>
      </c>
      <c r="D112" s="55">
        <v>0</v>
      </c>
      <c r="E112" s="56">
        <v>0.5</v>
      </c>
      <c r="F112" s="19" t="s">
        <v>63</v>
      </c>
      <c r="G112" s="4">
        <f t="shared" si="8"/>
        <v>0</v>
      </c>
      <c r="H112" s="11">
        <f t="shared" si="9"/>
        <v>0</v>
      </c>
      <c r="I112" s="55" t="str">
        <f t="shared" si="10"/>
        <v/>
      </c>
      <c r="J112" s="55">
        <f t="shared" si="11"/>
        <v>0</v>
      </c>
      <c r="K112" s="4">
        <f t="shared" si="12"/>
        <v>0</v>
      </c>
      <c r="L112" s="19" t="str">
        <f t="shared" si="13"/>
        <v>🆕 أول ظهور لهذه المادة</v>
      </c>
      <c r="M112" s="12">
        <f>IF(A112="","",IFERROR(INDEX(المدخلات!$M$4:$M$15,MATCH(A112,المدخلات!$L$4:$L$15,0)),""))</f>
        <v>13300</v>
      </c>
      <c r="N112" s="4">
        <f t="shared" si="14"/>
        <v>0</v>
      </c>
      <c r="O112" s="4">
        <f t="shared" si="15"/>
        <v>0</v>
      </c>
    </row>
    <row r="113" spans="1:15">
      <c r="A113" s="11">
        <v>202606</v>
      </c>
      <c r="B113" s="19" t="s">
        <v>271</v>
      </c>
      <c r="C113" s="19" t="s">
        <v>193</v>
      </c>
      <c r="D113" s="55">
        <v>548</v>
      </c>
      <c r="E113" s="56">
        <v>2.5</v>
      </c>
      <c r="F113" s="19" t="s">
        <v>63</v>
      </c>
      <c r="G113" s="4">
        <f t="shared" si="8"/>
        <v>1370</v>
      </c>
      <c r="H113" s="11">
        <f t="shared" si="9"/>
        <v>0</v>
      </c>
      <c r="I113" s="55" t="str">
        <f t="shared" si="10"/>
        <v/>
      </c>
      <c r="J113" s="55">
        <f t="shared" si="11"/>
        <v>0</v>
      </c>
      <c r="K113" s="4">
        <f t="shared" si="12"/>
        <v>0</v>
      </c>
      <c r="L113" s="19" t="str">
        <f t="shared" si="13"/>
        <v>🆕 أول ظهور لهذه المادة</v>
      </c>
      <c r="M113" s="12">
        <f>IF(A113="","",IFERROR(INDEX(المدخلات!$M$4:$M$15,MATCH(A113,المدخلات!$L$4:$L$15,0)),""))</f>
        <v>13300</v>
      </c>
      <c r="N113" s="4">
        <f t="shared" si="14"/>
        <v>18221000</v>
      </c>
      <c r="O113" s="4">
        <f t="shared" si="15"/>
        <v>0</v>
      </c>
    </row>
    <row r="114" spans="1:15">
      <c r="A114" s="11">
        <v>202606</v>
      </c>
      <c r="B114" s="19" t="s">
        <v>271</v>
      </c>
      <c r="C114" s="19" t="s">
        <v>303</v>
      </c>
      <c r="D114" s="55">
        <v>12</v>
      </c>
      <c r="E114" s="56">
        <v>0.21</v>
      </c>
      <c r="F114" s="19" t="s">
        <v>63</v>
      </c>
      <c r="G114" s="4">
        <f t="shared" si="8"/>
        <v>2.52</v>
      </c>
      <c r="H114" s="11">
        <f t="shared" si="9"/>
        <v>0</v>
      </c>
      <c r="I114" s="55" t="str">
        <f t="shared" si="10"/>
        <v/>
      </c>
      <c r="J114" s="55">
        <f t="shared" si="11"/>
        <v>0</v>
      </c>
      <c r="K114" s="4">
        <f t="shared" si="12"/>
        <v>0</v>
      </c>
      <c r="L114" s="19" t="str">
        <f t="shared" si="13"/>
        <v>🆕 أول ظهور لهذه المادة</v>
      </c>
      <c r="M114" s="12">
        <f>IF(A114="","",IFERROR(INDEX(المدخلات!$M$4:$M$15,MATCH(A114,المدخلات!$L$4:$L$15,0)),""))</f>
        <v>13300</v>
      </c>
      <c r="N114" s="4">
        <f t="shared" si="14"/>
        <v>33516</v>
      </c>
      <c r="O114" s="4">
        <f t="shared" si="15"/>
        <v>0</v>
      </c>
    </row>
    <row r="115" spans="1:15">
      <c r="A115" s="11">
        <v>202606</v>
      </c>
      <c r="B115" s="19" t="s">
        <v>271</v>
      </c>
      <c r="C115" s="19" t="s">
        <v>194</v>
      </c>
      <c r="D115" s="55">
        <v>337.5</v>
      </c>
      <c r="E115" s="56">
        <v>1.35</v>
      </c>
      <c r="F115" s="19" t="s">
        <v>63</v>
      </c>
      <c r="G115" s="4">
        <f t="shared" si="8"/>
        <v>455.62500000000006</v>
      </c>
      <c r="H115" s="11">
        <f t="shared" si="9"/>
        <v>0</v>
      </c>
      <c r="I115" s="55" t="str">
        <f t="shared" si="10"/>
        <v/>
      </c>
      <c r="J115" s="55">
        <f t="shared" si="11"/>
        <v>0</v>
      </c>
      <c r="K115" s="4">
        <f t="shared" si="12"/>
        <v>0</v>
      </c>
      <c r="L115" s="19" t="str">
        <f t="shared" si="13"/>
        <v>🆕 أول ظهور لهذه المادة</v>
      </c>
      <c r="M115" s="12">
        <f>IF(A115="","",IFERROR(INDEX(المدخلات!$M$4:$M$15,MATCH(A115,المدخلات!$L$4:$L$15,0)),""))</f>
        <v>13300</v>
      </c>
      <c r="N115" s="4">
        <f t="shared" si="14"/>
        <v>6059812.5000000009</v>
      </c>
      <c r="O115" s="4">
        <f t="shared" si="15"/>
        <v>0</v>
      </c>
    </row>
    <row r="116" spans="1:15">
      <c r="A116" s="11">
        <v>202606</v>
      </c>
      <c r="B116" s="19" t="s">
        <v>271</v>
      </c>
      <c r="C116" s="19" t="s">
        <v>304</v>
      </c>
      <c r="D116" s="55">
        <v>0</v>
      </c>
      <c r="E116" s="56">
        <v>450</v>
      </c>
      <c r="F116" s="19" t="s">
        <v>63</v>
      </c>
      <c r="G116" s="4">
        <f t="shared" si="8"/>
        <v>0</v>
      </c>
      <c r="H116" s="11">
        <f t="shared" si="9"/>
        <v>0</v>
      </c>
      <c r="I116" s="55" t="str">
        <f t="shared" si="10"/>
        <v/>
      </c>
      <c r="J116" s="55">
        <f t="shared" si="11"/>
        <v>0</v>
      </c>
      <c r="K116" s="4">
        <f t="shared" si="12"/>
        <v>0</v>
      </c>
      <c r="L116" s="19" t="str">
        <f t="shared" si="13"/>
        <v>🆕 أول ظهور لهذه المادة</v>
      </c>
      <c r="M116" s="12">
        <f>IF(A116="","",IFERROR(INDEX(المدخلات!$M$4:$M$15,MATCH(A116,المدخلات!$L$4:$L$15,0)),""))</f>
        <v>13300</v>
      </c>
      <c r="N116" s="4">
        <f t="shared" si="14"/>
        <v>0</v>
      </c>
      <c r="O116" s="4">
        <f t="shared" si="15"/>
        <v>0</v>
      </c>
    </row>
    <row r="117" spans="1:15">
      <c r="A117" s="11">
        <v>202606</v>
      </c>
      <c r="B117" s="19" t="s">
        <v>271</v>
      </c>
      <c r="C117" s="19" t="s">
        <v>195</v>
      </c>
      <c r="D117" s="55">
        <v>0</v>
      </c>
      <c r="E117" s="56">
        <v>2</v>
      </c>
      <c r="F117" s="19" t="s">
        <v>63</v>
      </c>
      <c r="G117" s="4">
        <f t="shared" si="8"/>
        <v>0</v>
      </c>
      <c r="H117" s="11">
        <f t="shared" si="9"/>
        <v>0</v>
      </c>
      <c r="I117" s="55" t="str">
        <f t="shared" si="10"/>
        <v/>
      </c>
      <c r="J117" s="55">
        <f t="shared" si="11"/>
        <v>0</v>
      </c>
      <c r="K117" s="4">
        <f t="shared" si="12"/>
        <v>0</v>
      </c>
      <c r="L117" s="19" t="str">
        <f t="shared" si="13"/>
        <v>🆕 أول ظهور لهذه المادة</v>
      </c>
      <c r="M117" s="12">
        <f>IF(A117="","",IFERROR(INDEX(المدخلات!$M$4:$M$15,MATCH(A117,المدخلات!$L$4:$L$15,0)),""))</f>
        <v>13300</v>
      </c>
      <c r="N117" s="4">
        <f t="shared" si="14"/>
        <v>0</v>
      </c>
      <c r="O117" s="4">
        <f t="shared" si="15"/>
        <v>0</v>
      </c>
    </row>
    <row r="118" spans="1:15">
      <c r="A118" s="11">
        <v>202606</v>
      </c>
      <c r="B118" s="19" t="s">
        <v>271</v>
      </c>
      <c r="C118" s="19" t="s">
        <v>196</v>
      </c>
      <c r="D118" s="55">
        <v>0</v>
      </c>
      <c r="E118" s="56">
        <v>89.3</v>
      </c>
      <c r="F118" s="19" t="s">
        <v>63</v>
      </c>
      <c r="G118" s="4">
        <f t="shared" si="8"/>
        <v>0</v>
      </c>
      <c r="H118" s="11">
        <f t="shared" si="9"/>
        <v>0</v>
      </c>
      <c r="I118" s="55" t="str">
        <f t="shared" si="10"/>
        <v/>
      </c>
      <c r="J118" s="55">
        <f t="shared" si="11"/>
        <v>0</v>
      </c>
      <c r="K118" s="4">
        <f t="shared" si="12"/>
        <v>0</v>
      </c>
      <c r="L118" s="19" t="str">
        <f t="shared" si="13"/>
        <v>🆕 أول ظهور لهذه المادة</v>
      </c>
      <c r="M118" s="12">
        <f>IF(A118="","",IFERROR(INDEX(المدخلات!$M$4:$M$15,MATCH(A118,المدخلات!$L$4:$L$15,0)),""))</f>
        <v>13300</v>
      </c>
      <c r="N118" s="4">
        <f t="shared" si="14"/>
        <v>0</v>
      </c>
      <c r="O118" s="4">
        <f t="shared" si="15"/>
        <v>0</v>
      </c>
    </row>
    <row r="119" spans="1:15">
      <c r="A119" s="11">
        <v>202606</v>
      </c>
      <c r="B119" s="19" t="s">
        <v>271</v>
      </c>
      <c r="C119" s="19" t="s">
        <v>197</v>
      </c>
      <c r="D119" s="55">
        <v>3</v>
      </c>
      <c r="E119" s="56">
        <v>2</v>
      </c>
      <c r="F119" s="19" t="s">
        <v>63</v>
      </c>
      <c r="G119" s="4">
        <f t="shared" si="8"/>
        <v>6</v>
      </c>
      <c r="H119" s="11">
        <f t="shared" si="9"/>
        <v>0</v>
      </c>
      <c r="I119" s="55" t="str">
        <f t="shared" si="10"/>
        <v/>
      </c>
      <c r="J119" s="55">
        <f t="shared" si="11"/>
        <v>0</v>
      </c>
      <c r="K119" s="4">
        <f t="shared" si="12"/>
        <v>0</v>
      </c>
      <c r="L119" s="19" t="str">
        <f t="shared" si="13"/>
        <v>🆕 أول ظهور لهذه المادة</v>
      </c>
      <c r="M119" s="12">
        <f>IF(A119="","",IFERROR(INDEX(المدخلات!$M$4:$M$15,MATCH(A119,المدخلات!$L$4:$L$15,0)),""))</f>
        <v>13300</v>
      </c>
      <c r="N119" s="4">
        <f t="shared" si="14"/>
        <v>79800</v>
      </c>
      <c r="O119" s="4">
        <f t="shared" si="15"/>
        <v>0</v>
      </c>
    </row>
    <row r="120" spans="1:15">
      <c r="A120" s="11">
        <v>202606</v>
      </c>
      <c r="B120" s="19" t="s">
        <v>271</v>
      </c>
      <c r="C120" s="19" t="s">
        <v>305</v>
      </c>
      <c r="D120" s="55">
        <v>0</v>
      </c>
      <c r="E120" s="56">
        <v>1.625</v>
      </c>
      <c r="F120" s="19" t="s">
        <v>63</v>
      </c>
      <c r="G120" s="4">
        <f t="shared" si="8"/>
        <v>0</v>
      </c>
      <c r="H120" s="11">
        <f t="shared" si="9"/>
        <v>0</v>
      </c>
      <c r="I120" s="55" t="str">
        <f t="shared" si="10"/>
        <v/>
      </c>
      <c r="J120" s="55">
        <f t="shared" si="11"/>
        <v>0</v>
      </c>
      <c r="K120" s="4">
        <f t="shared" si="12"/>
        <v>0</v>
      </c>
      <c r="L120" s="19" t="str">
        <f t="shared" si="13"/>
        <v>🆕 أول ظهور لهذه المادة</v>
      </c>
      <c r="M120" s="12">
        <f>IF(A120="","",IFERROR(INDEX(المدخلات!$M$4:$M$15,MATCH(A120,المدخلات!$L$4:$L$15,0)),""))</f>
        <v>13300</v>
      </c>
      <c r="N120" s="4">
        <f t="shared" si="14"/>
        <v>0</v>
      </c>
      <c r="O120" s="4">
        <f t="shared" si="15"/>
        <v>0</v>
      </c>
    </row>
    <row r="121" spans="1:15">
      <c r="A121" s="11">
        <v>202606</v>
      </c>
      <c r="B121" s="19" t="s">
        <v>271</v>
      </c>
      <c r="C121" s="19" t="s">
        <v>198</v>
      </c>
      <c r="D121" s="55">
        <v>6</v>
      </c>
      <c r="E121" s="56">
        <v>3</v>
      </c>
      <c r="F121" s="19" t="s">
        <v>63</v>
      </c>
      <c r="G121" s="4">
        <f t="shared" si="8"/>
        <v>18</v>
      </c>
      <c r="H121" s="11">
        <f t="shared" si="9"/>
        <v>0</v>
      </c>
      <c r="I121" s="55" t="str">
        <f t="shared" si="10"/>
        <v/>
      </c>
      <c r="J121" s="55">
        <f t="shared" si="11"/>
        <v>0</v>
      </c>
      <c r="K121" s="4">
        <f t="shared" si="12"/>
        <v>0</v>
      </c>
      <c r="L121" s="19" t="str">
        <f t="shared" si="13"/>
        <v>🆕 أول ظهور لهذه المادة</v>
      </c>
      <c r="M121" s="12">
        <f>IF(A121="","",IFERROR(INDEX(المدخلات!$M$4:$M$15,MATCH(A121,المدخلات!$L$4:$L$15,0)),""))</f>
        <v>13300</v>
      </c>
      <c r="N121" s="4">
        <f t="shared" si="14"/>
        <v>239400</v>
      </c>
      <c r="O121" s="4">
        <f t="shared" si="15"/>
        <v>0</v>
      </c>
    </row>
    <row r="122" spans="1:15">
      <c r="A122" s="11">
        <v>202606</v>
      </c>
      <c r="B122" s="19" t="s">
        <v>271</v>
      </c>
      <c r="C122" s="19" t="s">
        <v>199</v>
      </c>
      <c r="D122" s="55">
        <v>16.5</v>
      </c>
      <c r="E122" s="56">
        <v>3.335</v>
      </c>
      <c r="F122" s="19" t="s">
        <v>63</v>
      </c>
      <c r="G122" s="4">
        <f t="shared" si="8"/>
        <v>55.027499999999996</v>
      </c>
      <c r="H122" s="11">
        <f t="shared" si="9"/>
        <v>0</v>
      </c>
      <c r="I122" s="55" t="str">
        <f t="shared" si="10"/>
        <v/>
      </c>
      <c r="J122" s="55">
        <f t="shared" si="11"/>
        <v>0</v>
      </c>
      <c r="K122" s="4">
        <f t="shared" si="12"/>
        <v>0</v>
      </c>
      <c r="L122" s="19" t="str">
        <f t="shared" si="13"/>
        <v>🆕 أول ظهور لهذه المادة</v>
      </c>
      <c r="M122" s="12">
        <f>IF(A122="","",IFERROR(INDEX(المدخلات!$M$4:$M$15,MATCH(A122,المدخلات!$L$4:$L$15,0)),""))</f>
        <v>13300</v>
      </c>
      <c r="N122" s="4">
        <f t="shared" si="14"/>
        <v>731865.75</v>
      </c>
      <c r="O122" s="4">
        <f t="shared" si="15"/>
        <v>0</v>
      </c>
    </row>
    <row r="123" spans="1:15">
      <c r="A123" s="11">
        <v>202606</v>
      </c>
      <c r="B123" s="19" t="s">
        <v>271</v>
      </c>
      <c r="C123" s="19" t="s">
        <v>306</v>
      </c>
      <c r="D123" s="55">
        <v>60</v>
      </c>
      <c r="E123" s="56">
        <v>0.21</v>
      </c>
      <c r="F123" s="19" t="s">
        <v>63</v>
      </c>
      <c r="G123" s="4">
        <f t="shared" si="8"/>
        <v>12.6</v>
      </c>
      <c r="H123" s="11">
        <f t="shared" si="9"/>
        <v>0</v>
      </c>
      <c r="I123" s="55" t="str">
        <f t="shared" si="10"/>
        <v/>
      </c>
      <c r="J123" s="55">
        <f t="shared" si="11"/>
        <v>0</v>
      </c>
      <c r="K123" s="4">
        <f t="shared" si="12"/>
        <v>0</v>
      </c>
      <c r="L123" s="19" t="str">
        <f t="shared" si="13"/>
        <v>🆕 أول ظهور لهذه المادة</v>
      </c>
      <c r="M123" s="12">
        <f>IF(A123="","",IFERROR(INDEX(المدخلات!$M$4:$M$15,MATCH(A123,المدخلات!$L$4:$L$15,0)),""))</f>
        <v>13300</v>
      </c>
      <c r="N123" s="4">
        <f t="shared" si="14"/>
        <v>167580</v>
      </c>
      <c r="O123" s="4">
        <f t="shared" si="15"/>
        <v>0</v>
      </c>
    </row>
    <row r="124" spans="1:15">
      <c r="A124" s="11">
        <v>202606</v>
      </c>
      <c r="B124" s="19" t="s">
        <v>271</v>
      </c>
      <c r="C124" s="19" t="s">
        <v>200</v>
      </c>
      <c r="D124" s="55">
        <v>207.5</v>
      </c>
      <c r="E124" s="56">
        <v>0.65</v>
      </c>
      <c r="F124" s="19" t="s">
        <v>63</v>
      </c>
      <c r="G124" s="4">
        <f t="shared" si="8"/>
        <v>134.875</v>
      </c>
      <c r="H124" s="11">
        <f t="shared" si="9"/>
        <v>0</v>
      </c>
      <c r="I124" s="55" t="str">
        <f t="shared" si="10"/>
        <v/>
      </c>
      <c r="J124" s="55">
        <f t="shared" si="11"/>
        <v>0</v>
      </c>
      <c r="K124" s="4">
        <f t="shared" si="12"/>
        <v>0</v>
      </c>
      <c r="L124" s="19" t="str">
        <f t="shared" si="13"/>
        <v>🆕 أول ظهور لهذه المادة</v>
      </c>
      <c r="M124" s="12">
        <f>IF(A124="","",IFERROR(INDEX(المدخلات!$M$4:$M$15,MATCH(A124,المدخلات!$L$4:$L$15,0)),""))</f>
        <v>13300</v>
      </c>
      <c r="N124" s="4">
        <f t="shared" si="14"/>
        <v>1793837.5</v>
      </c>
      <c r="O124" s="4">
        <f t="shared" si="15"/>
        <v>0</v>
      </c>
    </row>
    <row r="125" spans="1:15">
      <c r="A125" s="11">
        <v>202606</v>
      </c>
      <c r="B125" s="19" t="s">
        <v>271</v>
      </c>
      <c r="C125" s="19" t="s">
        <v>307</v>
      </c>
      <c r="D125" s="55">
        <v>0</v>
      </c>
      <c r="E125" s="56">
        <v>3250</v>
      </c>
      <c r="F125" s="19" t="s">
        <v>62</v>
      </c>
      <c r="G125" s="4">
        <f t="shared" si="8"/>
        <v>0</v>
      </c>
      <c r="H125" s="11">
        <f t="shared" si="9"/>
        <v>0</v>
      </c>
      <c r="I125" s="55" t="str">
        <f t="shared" si="10"/>
        <v/>
      </c>
      <c r="J125" s="55">
        <f t="shared" si="11"/>
        <v>0</v>
      </c>
      <c r="K125" s="4">
        <f t="shared" si="12"/>
        <v>0</v>
      </c>
      <c r="L125" s="19" t="str">
        <f t="shared" si="13"/>
        <v>🆕 أول ظهور لهذه المادة</v>
      </c>
      <c r="M125" s="12">
        <f>IF(A125="","",IFERROR(INDEX(المدخلات!$M$4:$M$15,MATCH(A125,المدخلات!$L$4:$L$15,0)),""))</f>
        <v>13300</v>
      </c>
      <c r="N125" s="4">
        <f t="shared" si="14"/>
        <v>0</v>
      </c>
      <c r="O125" s="4">
        <f t="shared" si="15"/>
        <v>0</v>
      </c>
    </row>
    <row r="126" spans="1:15">
      <c r="A126" s="11">
        <v>202606</v>
      </c>
      <c r="B126" s="19" t="s">
        <v>271</v>
      </c>
      <c r="C126" s="19" t="s">
        <v>308</v>
      </c>
      <c r="D126" s="55">
        <v>0</v>
      </c>
      <c r="E126" s="56">
        <v>1700</v>
      </c>
      <c r="F126" s="19" t="s">
        <v>62</v>
      </c>
      <c r="G126" s="4">
        <f t="shared" si="8"/>
        <v>0</v>
      </c>
      <c r="H126" s="11">
        <f t="shared" si="9"/>
        <v>0</v>
      </c>
      <c r="I126" s="55" t="str">
        <f t="shared" si="10"/>
        <v/>
      </c>
      <c r="J126" s="55">
        <f t="shared" si="11"/>
        <v>0</v>
      </c>
      <c r="K126" s="4">
        <f t="shared" si="12"/>
        <v>0</v>
      </c>
      <c r="L126" s="19" t="str">
        <f t="shared" si="13"/>
        <v>🆕 أول ظهور لهذه المادة</v>
      </c>
      <c r="M126" s="12">
        <f>IF(A126="","",IFERROR(INDEX(المدخلات!$M$4:$M$15,MATCH(A126,المدخلات!$L$4:$L$15,0)),""))</f>
        <v>13300</v>
      </c>
      <c r="N126" s="4">
        <f t="shared" si="14"/>
        <v>0</v>
      </c>
      <c r="O126" s="4">
        <f t="shared" si="15"/>
        <v>0</v>
      </c>
    </row>
    <row r="127" spans="1:15">
      <c r="A127" s="11">
        <v>202606</v>
      </c>
      <c r="B127" s="19" t="s">
        <v>271</v>
      </c>
      <c r="C127" s="19" t="s">
        <v>309</v>
      </c>
      <c r="D127" s="55">
        <v>0</v>
      </c>
      <c r="E127" s="56">
        <v>10000</v>
      </c>
      <c r="F127" s="19" t="s">
        <v>62</v>
      </c>
      <c r="G127" s="4">
        <f t="shared" si="8"/>
        <v>0</v>
      </c>
      <c r="H127" s="11">
        <f t="shared" si="9"/>
        <v>0</v>
      </c>
      <c r="I127" s="55" t="str">
        <f t="shared" si="10"/>
        <v/>
      </c>
      <c r="J127" s="55">
        <f t="shared" si="11"/>
        <v>0</v>
      </c>
      <c r="K127" s="4">
        <f t="shared" si="12"/>
        <v>0</v>
      </c>
      <c r="L127" s="19" t="str">
        <f t="shared" si="13"/>
        <v>🆕 أول ظهور لهذه المادة</v>
      </c>
      <c r="M127" s="12">
        <f>IF(A127="","",IFERROR(INDEX(المدخلات!$M$4:$M$15,MATCH(A127,المدخلات!$L$4:$L$15,0)),""))</f>
        <v>13300</v>
      </c>
      <c r="N127" s="4">
        <f t="shared" si="14"/>
        <v>0</v>
      </c>
      <c r="O127" s="4">
        <f t="shared" si="15"/>
        <v>0</v>
      </c>
    </row>
    <row r="128" spans="1:15">
      <c r="A128" s="11">
        <v>202606</v>
      </c>
      <c r="B128" s="19" t="s">
        <v>271</v>
      </c>
      <c r="C128" s="19" t="s">
        <v>201</v>
      </c>
      <c r="D128" s="55">
        <v>6.4</v>
      </c>
      <c r="E128" s="56">
        <v>108000</v>
      </c>
      <c r="F128" s="19" t="s">
        <v>62</v>
      </c>
      <c r="G128" s="4">
        <f t="shared" si="8"/>
        <v>691200</v>
      </c>
      <c r="H128" s="11">
        <f t="shared" si="9"/>
        <v>0</v>
      </c>
      <c r="I128" s="55" t="str">
        <f t="shared" si="10"/>
        <v/>
      </c>
      <c r="J128" s="55">
        <f t="shared" si="11"/>
        <v>0</v>
      </c>
      <c r="K128" s="4">
        <f t="shared" si="12"/>
        <v>0</v>
      </c>
      <c r="L128" s="19" t="str">
        <f t="shared" si="13"/>
        <v>🆕 أول ظهور لهذه المادة</v>
      </c>
      <c r="M128" s="12">
        <f>IF(A128="","",IFERROR(INDEX(المدخلات!$M$4:$M$15,MATCH(A128,المدخلات!$L$4:$L$15,0)),""))</f>
        <v>13300</v>
      </c>
      <c r="N128" s="4">
        <f t="shared" si="14"/>
        <v>691200</v>
      </c>
      <c r="O128" s="4">
        <f t="shared" si="15"/>
        <v>0</v>
      </c>
    </row>
    <row r="129" spans="1:15">
      <c r="A129" s="11">
        <v>202606</v>
      </c>
      <c r="B129" s="19" t="s">
        <v>271</v>
      </c>
      <c r="C129" s="19" t="s">
        <v>202</v>
      </c>
      <c r="D129" s="55">
        <v>0</v>
      </c>
      <c r="E129" s="56">
        <v>360000</v>
      </c>
      <c r="F129" s="19" t="s">
        <v>62</v>
      </c>
      <c r="G129" s="4">
        <f t="shared" si="8"/>
        <v>0</v>
      </c>
      <c r="H129" s="11">
        <f t="shared" si="9"/>
        <v>0</v>
      </c>
      <c r="I129" s="55" t="str">
        <f t="shared" si="10"/>
        <v/>
      </c>
      <c r="J129" s="55">
        <f t="shared" si="11"/>
        <v>0</v>
      </c>
      <c r="K129" s="4">
        <f t="shared" si="12"/>
        <v>0</v>
      </c>
      <c r="L129" s="19" t="str">
        <f t="shared" si="13"/>
        <v>🆕 أول ظهور لهذه المادة</v>
      </c>
      <c r="M129" s="12">
        <f>IF(A129="","",IFERROR(INDEX(المدخلات!$M$4:$M$15,MATCH(A129,المدخلات!$L$4:$L$15,0)),""))</f>
        <v>13300</v>
      </c>
      <c r="N129" s="4">
        <f t="shared" si="14"/>
        <v>0</v>
      </c>
      <c r="O129" s="4">
        <f t="shared" si="15"/>
        <v>0</v>
      </c>
    </row>
    <row r="130" spans="1:15">
      <c r="A130" s="11">
        <v>202606</v>
      </c>
      <c r="B130" s="19" t="s">
        <v>271</v>
      </c>
      <c r="C130" s="19" t="s">
        <v>203</v>
      </c>
      <c r="D130" s="55">
        <v>0</v>
      </c>
      <c r="E130" s="56">
        <v>25000</v>
      </c>
      <c r="F130" s="19" t="s">
        <v>62</v>
      </c>
      <c r="G130" s="4">
        <f t="shared" si="8"/>
        <v>0</v>
      </c>
      <c r="H130" s="11">
        <f t="shared" si="9"/>
        <v>0</v>
      </c>
      <c r="I130" s="55" t="str">
        <f t="shared" si="10"/>
        <v/>
      </c>
      <c r="J130" s="55">
        <f t="shared" si="11"/>
        <v>0</v>
      </c>
      <c r="K130" s="4">
        <f t="shared" si="12"/>
        <v>0</v>
      </c>
      <c r="L130" s="19" t="str">
        <f t="shared" si="13"/>
        <v>🆕 أول ظهور لهذه المادة</v>
      </c>
      <c r="M130" s="12">
        <f>IF(A130="","",IFERROR(INDEX(المدخلات!$M$4:$M$15,MATCH(A130,المدخلات!$L$4:$L$15,0)),""))</f>
        <v>13300</v>
      </c>
      <c r="N130" s="4">
        <f t="shared" si="14"/>
        <v>0</v>
      </c>
      <c r="O130" s="4">
        <f t="shared" si="15"/>
        <v>0</v>
      </c>
    </row>
    <row r="131" spans="1:15">
      <c r="A131" s="11">
        <v>202606</v>
      </c>
      <c r="B131" s="19" t="s">
        <v>271</v>
      </c>
      <c r="C131" s="19" t="s">
        <v>204</v>
      </c>
      <c r="D131" s="55">
        <v>27</v>
      </c>
      <c r="E131" s="56">
        <v>50000</v>
      </c>
      <c r="F131" s="19" t="s">
        <v>62</v>
      </c>
      <c r="G131" s="4">
        <f t="shared" si="8"/>
        <v>1350000</v>
      </c>
      <c r="H131" s="11">
        <f t="shared" si="9"/>
        <v>0</v>
      </c>
      <c r="I131" s="55" t="str">
        <f t="shared" si="10"/>
        <v/>
      </c>
      <c r="J131" s="55">
        <f t="shared" si="11"/>
        <v>0</v>
      </c>
      <c r="K131" s="4">
        <f t="shared" si="12"/>
        <v>0</v>
      </c>
      <c r="L131" s="19" t="str">
        <f t="shared" si="13"/>
        <v>🆕 أول ظهور لهذه المادة</v>
      </c>
      <c r="M131" s="12">
        <f>IF(A131="","",IFERROR(INDEX(المدخلات!$M$4:$M$15,MATCH(A131,المدخلات!$L$4:$L$15,0)),""))</f>
        <v>13300</v>
      </c>
      <c r="N131" s="4">
        <f t="shared" si="14"/>
        <v>1350000</v>
      </c>
      <c r="O131" s="4">
        <f t="shared" si="15"/>
        <v>0</v>
      </c>
    </row>
    <row r="132" spans="1:15">
      <c r="A132" s="11">
        <v>202606</v>
      </c>
      <c r="B132" s="19" t="s">
        <v>271</v>
      </c>
      <c r="C132" s="19" t="s">
        <v>205</v>
      </c>
      <c r="D132" s="55">
        <v>15.25</v>
      </c>
      <c r="E132" s="56">
        <v>72000</v>
      </c>
      <c r="F132" s="19" t="s">
        <v>62</v>
      </c>
      <c r="G132" s="4">
        <f t="shared" si="8"/>
        <v>1098000</v>
      </c>
      <c r="H132" s="11">
        <f t="shared" si="9"/>
        <v>0</v>
      </c>
      <c r="I132" s="55" t="str">
        <f t="shared" si="10"/>
        <v/>
      </c>
      <c r="J132" s="55">
        <f t="shared" si="11"/>
        <v>0</v>
      </c>
      <c r="K132" s="4">
        <f t="shared" si="12"/>
        <v>0</v>
      </c>
      <c r="L132" s="19" t="str">
        <f t="shared" si="13"/>
        <v>🆕 أول ظهور لهذه المادة</v>
      </c>
      <c r="M132" s="12">
        <f>IF(A132="","",IFERROR(INDEX(المدخلات!$M$4:$M$15,MATCH(A132,المدخلات!$L$4:$L$15,0)),""))</f>
        <v>13300</v>
      </c>
      <c r="N132" s="4">
        <f t="shared" si="14"/>
        <v>1098000</v>
      </c>
      <c r="O132" s="4">
        <f t="shared" si="15"/>
        <v>0</v>
      </c>
    </row>
    <row r="133" spans="1:15">
      <c r="A133" s="11">
        <v>202606</v>
      </c>
      <c r="B133" s="19" t="s">
        <v>271</v>
      </c>
      <c r="C133" s="19" t="s">
        <v>310</v>
      </c>
      <c r="D133" s="55">
        <v>0</v>
      </c>
      <c r="E133" s="56">
        <v>28000</v>
      </c>
      <c r="F133" s="19" t="s">
        <v>62</v>
      </c>
      <c r="G133" s="4">
        <f t="shared" ref="G133:G196" si="16">IF(OR(D133="",E133=""),"",D133*E133)</f>
        <v>0</v>
      </c>
      <c r="H133" s="11">
        <f t="shared" ref="H133:H196" si="17">IF(C133="","",IFERROR(_xlfn.MAXIFS($A$5:$A$2003,$C$5:$C$2003,C133,$A$5:$A$2003,"&lt;"&amp;A133),0))</f>
        <v>0</v>
      </c>
      <c r="I133" s="55" t="str">
        <f t="shared" ref="I133:I196" si="18">IF(OR(H133="",H133=0),"",IFERROR(SUMIFS($D$5:$D$2003,$C$5:$C$2003,C133,$A$5:$A$2003,H133),""))</f>
        <v/>
      </c>
      <c r="J133" s="55">
        <f t="shared" ref="J133:J196" si="19">IF(C133="","",IF(I133="",0,MAX(I133-D133,0)))</f>
        <v>0</v>
      </c>
      <c r="K133" s="4">
        <f t="shared" ref="K133:K196" si="20">IF(J133="","",J133*E133)</f>
        <v>0</v>
      </c>
      <c r="L133" s="19" t="str">
        <f t="shared" ref="L133:L196" si="21">IF(C133="","",IF(COUNTIFS($A$5:$A$2003,A133,$C$5:$C$2003,C133)&gt;1,"⚠️ مادة مكررة بنفس الشهر",IF(OR(H133="",H133=0),"🆕 أول ظهور لهذه المادة",IF(D133&gt;I133,"ℹ️ زيادة كمية (شراء/تصحيح) - لا تُحتسب استهلاكاً",IF(D133=I133,"➖ لا تغيير","")))))</f>
        <v>🆕 أول ظهور لهذه المادة</v>
      </c>
      <c r="M133" s="12">
        <f>IF(A133="","",IFERROR(INDEX(المدخلات!$M$4:$M$15,MATCH(A133,المدخلات!$L$4:$L$15,0)),""))</f>
        <v>13300</v>
      </c>
      <c r="N133" s="4">
        <f t="shared" ref="N133:N196" si="22">IF(OR(G133="",F133=""),"",IF(F133="دولار أمريكي",IF(M133="","⚠️ لا يوجد سعر صرف",G133*M133),G133))</f>
        <v>0</v>
      </c>
      <c r="O133" s="4">
        <f t="shared" ref="O133:O196" si="23">IF(OR(K133="",F133=""),"",IF(F133="دولار أمريكي",IF(M133="","⚠️ لا يوجد سعر صرف",K133*M133),K133))</f>
        <v>0</v>
      </c>
    </row>
    <row r="134" spans="1:15">
      <c r="A134" s="11">
        <v>202606</v>
      </c>
      <c r="B134" s="19" t="s">
        <v>271</v>
      </c>
      <c r="C134" s="19" t="s">
        <v>311</v>
      </c>
      <c r="D134" s="55">
        <v>10</v>
      </c>
      <c r="E134" s="56">
        <v>8500</v>
      </c>
      <c r="F134" s="19" t="s">
        <v>62</v>
      </c>
      <c r="G134" s="4">
        <f t="shared" si="16"/>
        <v>85000</v>
      </c>
      <c r="H134" s="11">
        <f t="shared" si="17"/>
        <v>0</v>
      </c>
      <c r="I134" s="55" t="str">
        <f t="shared" si="18"/>
        <v/>
      </c>
      <c r="J134" s="55">
        <f t="shared" si="19"/>
        <v>0</v>
      </c>
      <c r="K134" s="4">
        <f t="shared" si="20"/>
        <v>0</v>
      </c>
      <c r="L134" s="19" t="str">
        <f t="shared" si="21"/>
        <v>🆕 أول ظهور لهذه المادة</v>
      </c>
      <c r="M134" s="12">
        <f>IF(A134="","",IFERROR(INDEX(المدخلات!$M$4:$M$15,MATCH(A134,المدخلات!$L$4:$L$15,0)),""))</f>
        <v>13300</v>
      </c>
      <c r="N134" s="4">
        <f t="shared" si="22"/>
        <v>85000</v>
      </c>
      <c r="O134" s="4">
        <f t="shared" si="23"/>
        <v>0</v>
      </c>
    </row>
    <row r="135" spans="1:15">
      <c r="A135" s="11">
        <v>202606</v>
      </c>
      <c r="B135" s="19" t="s">
        <v>271</v>
      </c>
      <c r="C135" s="19" t="s">
        <v>206</v>
      </c>
      <c r="D135" s="55">
        <v>0</v>
      </c>
      <c r="E135" s="56">
        <v>120000</v>
      </c>
      <c r="F135" s="19" t="s">
        <v>62</v>
      </c>
      <c r="G135" s="4">
        <f t="shared" si="16"/>
        <v>0</v>
      </c>
      <c r="H135" s="11">
        <f t="shared" si="17"/>
        <v>0</v>
      </c>
      <c r="I135" s="55" t="str">
        <f t="shared" si="18"/>
        <v/>
      </c>
      <c r="J135" s="55">
        <f t="shared" si="19"/>
        <v>0</v>
      </c>
      <c r="K135" s="4">
        <f t="shared" si="20"/>
        <v>0</v>
      </c>
      <c r="L135" s="19" t="str">
        <f t="shared" si="21"/>
        <v>🆕 أول ظهور لهذه المادة</v>
      </c>
      <c r="M135" s="12">
        <f>IF(A135="","",IFERROR(INDEX(المدخلات!$M$4:$M$15,MATCH(A135,المدخلات!$L$4:$L$15,0)),""))</f>
        <v>13300</v>
      </c>
      <c r="N135" s="4">
        <f t="shared" si="22"/>
        <v>0</v>
      </c>
      <c r="O135" s="4">
        <f t="shared" si="23"/>
        <v>0</v>
      </c>
    </row>
    <row r="136" spans="1:15">
      <c r="A136" s="11">
        <v>202606</v>
      </c>
      <c r="B136" s="19" t="s">
        <v>271</v>
      </c>
      <c r="C136" s="19" t="s">
        <v>312</v>
      </c>
      <c r="D136" s="55">
        <v>23</v>
      </c>
      <c r="E136" s="56">
        <v>9500</v>
      </c>
      <c r="F136" s="19" t="s">
        <v>62</v>
      </c>
      <c r="G136" s="4">
        <f t="shared" si="16"/>
        <v>218500</v>
      </c>
      <c r="H136" s="11">
        <f t="shared" si="17"/>
        <v>0</v>
      </c>
      <c r="I136" s="55" t="str">
        <f t="shared" si="18"/>
        <v/>
      </c>
      <c r="J136" s="55">
        <f t="shared" si="19"/>
        <v>0</v>
      </c>
      <c r="K136" s="4">
        <f t="shared" si="20"/>
        <v>0</v>
      </c>
      <c r="L136" s="19" t="str">
        <f t="shared" si="21"/>
        <v>🆕 أول ظهور لهذه المادة</v>
      </c>
      <c r="M136" s="12">
        <f>IF(A136="","",IFERROR(INDEX(المدخلات!$M$4:$M$15,MATCH(A136,المدخلات!$L$4:$L$15,0)),""))</f>
        <v>13300</v>
      </c>
      <c r="N136" s="4">
        <f t="shared" si="22"/>
        <v>218500</v>
      </c>
      <c r="O136" s="4">
        <f t="shared" si="23"/>
        <v>0</v>
      </c>
    </row>
    <row r="137" spans="1:15">
      <c r="A137" s="11">
        <v>202606</v>
      </c>
      <c r="B137" s="19" t="s">
        <v>271</v>
      </c>
      <c r="C137" s="19" t="s">
        <v>313</v>
      </c>
      <c r="D137" s="55">
        <v>245</v>
      </c>
      <c r="E137" s="56">
        <v>3000</v>
      </c>
      <c r="F137" s="19" t="s">
        <v>62</v>
      </c>
      <c r="G137" s="4">
        <f t="shared" si="16"/>
        <v>735000</v>
      </c>
      <c r="H137" s="11">
        <f t="shared" si="17"/>
        <v>0</v>
      </c>
      <c r="I137" s="55" t="str">
        <f t="shared" si="18"/>
        <v/>
      </c>
      <c r="J137" s="55">
        <f t="shared" si="19"/>
        <v>0</v>
      </c>
      <c r="K137" s="4">
        <f t="shared" si="20"/>
        <v>0</v>
      </c>
      <c r="L137" s="19" t="str">
        <f t="shared" si="21"/>
        <v>🆕 أول ظهور لهذه المادة</v>
      </c>
      <c r="M137" s="12">
        <f>IF(A137="","",IFERROR(INDEX(المدخلات!$M$4:$M$15,MATCH(A137,المدخلات!$L$4:$L$15,0)),""))</f>
        <v>13300</v>
      </c>
      <c r="N137" s="4">
        <f t="shared" si="22"/>
        <v>735000</v>
      </c>
      <c r="O137" s="4">
        <f t="shared" si="23"/>
        <v>0</v>
      </c>
    </row>
    <row r="138" spans="1:15">
      <c r="A138" s="11">
        <v>202606</v>
      </c>
      <c r="B138" s="19" t="s">
        <v>271</v>
      </c>
      <c r="C138" s="19" t="s">
        <v>207</v>
      </c>
      <c r="D138" s="55">
        <v>0</v>
      </c>
      <c r="E138" s="56">
        <v>0</v>
      </c>
      <c r="F138" s="19" t="s">
        <v>62</v>
      </c>
      <c r="G138" s="4">
        <f t="shared" si="16"/>
        <v>0</v>
      </c>
      <c r="H138" s="11">
        <f t="shared" si="17"/>
        <v>0</v>
      </c>
      <c r="I138" s="55" t="str">
        <f t="shared" si="18"/>
        <v/>
      </c>
      <c r="J138" s="55">
        <f t="shared" si="19"/>
        <v>0</v>
      </c>
      <c r="K138" s="4">
        <f t="shared" si="20"/>
        <v>0</v>
      </c>
      <c r="L138" s="19" t="str">
        <f t="shared" si="21"/>
        <v>🆕 أول ظهور لهذه المادة</v>
      </c>
      <c r="M138" s="12">
        <f>IF(A138="","",IFERROR(INDEX(المدخلات!$M$4:$M$15,MATCH(A138,المدخلات!$L$4:$L$15,0)),""))</f>
        <v>13300</v>
      </c>
      <c r="N138" s="4">
        <f t="shared" si="22"/>
        <v>0</v>
      </c>
      <c r="O138" s="4">
        <f t="shared" si="23"/>
        <v>0</v>
      </c>
    </row>
    <row r="139" spans="1:15">
      <c r="A139" s="11">
        <v>202606</v>
      </c>
      <c r="B139" s="19" t="s">
        <v>271</v>
      </c>
      <c r="C139" s="19" t="s">
        <v>208</v>
      </c>
      <c r="D139" s="55">
        <v>0</v>
      </c>
      <c r="E139" s="56">
        <v>139200</v>
      </c>
      <c r="F139" s="19" t="s">
        <v>62</v>
      </c>
      <c r="G139" s="4">
        <f t="shared" si="16"/>
        <v>0</v>
      </c>
      <c r="H139" s="11">
        <f t="shared" si="17"/>
        <v>0</v>
      </c>
      <c r="I139" s="55" t="str">
        <f t="shared" si="18"/>
        <v/>
      </c>
      <c r="J139" s="55">
        <f t="shared" si="19"/>
        <v>0</v>
      </c>
      <c r="K139" s="4">
        <f t="shared" si="20"/>
        <v>0</v>
      </c>
      <c r="L139" s="19" t="str">
        <f t="shared" si="21"/>
        <v>🆕 أول ظهور لهذه المادة</v>
      </c>
      <c r="M139" s="12">
        <f>IF(A139="","",IFERROR(INDEX(المدخلات!$M$4:$M$15,MATCH(A139,المدخلات!$L$4:$L$15,0)),""))</f>
        <v>13300</v>
      </c>
      <c r="N139" s="4">
        <f t="shared" si="22"/>
        <v>0</v>
      </c>
      <c r="O139" s="4">
        <f t="shared" si="23"/>
        <v>0</v>
      </c>
    </row>
    <row r="140" spans="1:15">
      <c r="A140" s="11">
        <v>202606</v>
      </c>
      <c r="B140" s="19" t="s">
        <v>271</v>
      </c>
      <c r="C140" s="19" t="s">
        <v>209</v>
      </c>
      <c r="D140" s="55">
        <v>0.42</v>
      </c>
      <c r="E140" s="56">
        <v>74400</v>
      </c>
      <c r="F140" s="19" t="s">
        <v>62</v>
      </c>
      <c r="G140" s="4">
        <f t="shared" si="16"/>
        <v>31248</v>
      </c>
      <c r="H140" s="11">
        <f t="shared" si="17"/>
        <v>0</v>
      </c>
      <c r="I140" s="55" t="str">
        <f t="shared" si="18"/>
        <v/>
      </c>
      <c r="J140" s="55">
        <f t="shared" si="19"/>
        <v>0</v>
      </c>
      <c r="K140" s="4">
        <f t="shared" si="20"/>
        <v>0</v>
      </c>
      <c r="L140" s="19" t="str">
        <f t="shared" si="21"/>
        <v>🆕 أول ظهور لهذه المادة</v>
      </c>
      <c r="M140" s="12">
        <f>IF(A140="","",IFERROR(INDEX(المدخلات!$M$4:$M$15,MATCH(A140,المدخلات!$L$4:$L$15,0)),""))</f>
        <v>13300</v>
      </c>
      <c r="N140" s="4">
        <f t="shared" si="22"/>
        <v>31248</v>
      </c>
      <c r="O140" s="4">
        <f t="shared" si="23"/>
        <v>0</v>
      </c>
    </row>
    <row r="141" spans="1:15">
      <c r="A141" s="11">
        <v>202606</v>
      </c>
      <c r="B141" s="19" t="s">
        <v>271</v>
      </c>
      <c r="C141" s="19" t="s">
        <v>210</v>
      </c>
      <c r="D141" s="55">
        <v>6</v>
      </c>
      <c r="E141" s="56">
        <v>8125</v>
      </c>
      <c r="F141" s="19" t="s">
        <v>62</v>
      </c>
      <c r="G141" s="4">
        <f t="shared" si="16"/>
        <v>48750</v>
      </c>
      <c r="H141" s="11">
        <f t="shared" si="17"/>
        <v>0</v>
      </c>
      <c r="I141" s="55" t="str">
        <f t="shared" si="18"/>
        <v/>
      </c>
      <c r="J141" s="55">
        <f t="shared" si="19"/>
        <v>0</v>
      </c>
      <c r="K141" s="4">
        <f t="shared" si="20"/>
        <v>0</v>
      </c>
      <c r="L141" s="19" t="str">
        <f t="shared" si="21"/>
        <v>🆕 أول ظهور لهذه المادة</v>
      </c>
      <c r="M141" s="12">
        <f>IF(A141="","",IFERROR(INDEX(المدخلات!$M$4:$M$15,MATCH(A141,المدخلات!$L$4:$L$15,0)),""))</f>
        <v>13300</v>
      </c>
      <c r="N141" s="4">
        <f t="shared" si="22"/>
        <v>48750</v>
      </c>
      <c r="O141" s="4">
        <f t="shared" si="23"/>
        <v>0</v>
      </c>
    </row>
    <row r="142" spans="1:15">
      <c r="A142" s="11">
        <v>202606</v>
      </c>
      <c r="B142" s="19" t="s">
        <v>271</v>
      </c>
      <c r="C142" s="19" t="s">
        <v>314</v>
      </c>
      <c r="D142" s="55">
        <v>0</v>
      </c>
      <c r="E142" s="56">
        <v>168000</v>
      </c>
      <c r="F142" s="19" t="s">
        <v>62</v>
      </c>
      <c r="G142" s="4">
        <f t="shared" si="16"/>
        <v>0</v>
      </c>
      <c r="H142" s="11">
        <f t="shared" si="17"/>
        <v>0</v>
      </c>
      <c r="I142" s="55" t="str">
        <f t="shared" si="18"/>
        <v/>
      </c>
      <c r="J142" s="55">
        <f t="shared" si="19"/>
        <v>0</v>
      </c>
      <c r="K142" s="4">
        <f t="shared" si="20"/>
        <v>0</v>
      </c>
      <c r="L142" s="19" t="str">
        <f t="shared" si="21"/>
        <v>🆕 أول ظهور لهذه المادة</v>
      </c>
      <c r="M142" s="12">
        <f>IF(A142="","",IFERROR(INDEX(المدخلات!$M$4:$M$15,MATCH(A142,المدخلات!$L$4:$L$15,0)),""))</f>
        <v>13300</v>
      </c>
      <c r="N142" s="4">
        <f t="shared" si="22"/>
        <v>0</v>
      </c>
      <c r="O142" s="4">
        <f t="shared" si="23"/>
        <v>0</v>
      </c>
    </row>
    <row r="143" spans="1:15">
      <c r="A143" s="11">
        <v>202606</v>
      </c>
      <c r="B143" s="19" t="s">
        <v>271</v>
      </c>
      <c r="C143" s="19" t="s">
        <v>211</v>
      </c>
      <c r="D143" s="55">
        <v>0</v>
      </c>
      <c r="E143" s="56">
        <v>117000</v>
      </c>
      <c r="F143" s="19" t="s">
        <v>62</v>
      </c>
      <c r="G143" s="4">
        <f t="shared" si="16"/>
        <v>0</v>
      </c>
      <c r="H143" s="11">
        <f t="shared" si="17"/>
        <v>0</v>
      </c>
      <c r="I143" s="55" t="str">
        <f t="shared" si="18"/>
        <v/>
      </c>
      <c r="J143" s="55">
        <f t="shared" si="19"/>
        <v>0</v>
      </c>
      <c r="K143" s="4">
        <f t="shared" si="20"/>
        <v>0</v>
      </c>
      <c r="L143" s="19" t="str">
        <f t="shared" si="21"/>
        <v>🆕 أول ظهور لهذه المادة</v>
      </c>
      <c r="M143" s="12">
        <f>IF(A143="","",IFERROR(INDEX(المدخلات!$M$4:$M$15,MATCH(A143,المدخلات!$L$4:$L$15,0)),""))</f>
        <v>13300</v>
      </c>
      <c r="N143" s="4">
        <f t="shared" si="22"/>
        <v>0</v>
      </c>
      <c r="O143" s="4">
        <f t="shared" si="23"/>
        <v>0</v>
      </c>
    </row>
    <row r="144" spans="1:15">
      <c r="A144" s="11">
        <v>202606</v>
      </c>
      <c r="B144" s="19" t="s">
        <v>271</v>
      </c>
      <c r="C144" s="19" t="s">
        <v>212</v>
      </c>
      <c r="D144" s="55">
        <v>0</v>
      </c>
      <c r="E144" s="56">
        <v>0</v>
      </c>
      <c r="F144" s="19" t="s">
        <v>62</v>
      </c>
      <c r="G144" s="4">
        <f t="shared" si="16"/>
        <v>0</v>
      </c>
      <c r="H144" s="11">
        <f t="shared" si="17"/>
        <v>0</v>
      </c>
      <c r="I144" s="55" t="str">
        <f t="shared" si="18"/>
        <v/>
      </c>
      <c r="J144" s="55">
        <f t="shared" si="19"/>
        <v>0</v>
      </c>
      <c r="K144" s="4">
        <f t="shared" si="20"/>
        <v>0</v>
      </c>
      <c r="L144" s="19" t="str">
        <f t="shared" si="21"/>
        <v>🆕 أول ظهور لهذه المادة</v>
      </c>
      <c r="M144" s="12">
        <f>IF(A144="","",IFERROR(INDEX(المدخلات!$M$4:$M$15,MATCH(A144,المدخلات!$L$4:$L$15,0)),""))</f>
        <v>13300</v>
      </c>
      <c r="N144" s="4">
        <f t="shared" si="22"/>
        <v>0</v>
      </c>
      <c r="O144" s="4">
        <f t="shared" si="23"/>
        <v>0</v>
      </c>
    </row>
    <row r="145" spans="1:15">
      <c r="A145" s="11">
        <v>202606</v>
      </c>
      <c r="B145" s="19" t="s">
        <v>271</v>
      </c>
      <c r="C145" s="19" t="s">
        <v>213</v>
      </c>
      <c r="D145" s="55">
        <v>0</v>
      </c>
      <c r="E145" s="56">
        <v>0</v>
      </c>
      <c r="F145" s="19" t="s">
        <v>62</v>
      </c>
      <c r="G145" s="4">
        <f t="shared" si="16"/>
        <v>0</v>
      </c>
      <c r="H145" s="11">
        <f t="shared" si="17"/>
        <v>0</v>
      </c>
      <c r="I145" s="55" t="str">
        <f t="shared" si="18"/>
        <v/>
      </c>
      <c r="J145" s="55">
        <f t="shared" si="19"/>
        <v>0</v>
      </c>
      <c r="K145" s="4">
        <f t="shared" si="20"/>
        <v>0</v>
      </c>
      <c r="L145" s="19" t="str">
        <f t="shared" si="21"/>
        <v>🆕 أول ظهور لهذه المادة</v>
      </c>
      <c r="M145" s="12">
        <f>IF(A145="","",IFERROR(INDEX(المدخلات!$M$4:$M$15,MATCH(A145,المدخلات!$L$4:$L$15,0)),""))</f>
        <v>13300</v>
      </c>
      <c r="N145" s="4">
        <f t="shared" si="22"/>
        <v>0</v>
      </c>
      <c r="O145" s="4">
        <f t="shared" si="23"/>
        <v>0</v>
      </c>
    </row>
    <row r="146" spans="1:15">
      <c r="A146" s="11">
        <v>202606</v>
      </c>
      <c r="B146" s="19" t="s">
        <v>271</v>
      </c>
      <c r="C146" s="19" t="s">
        <v>315</v>
      </c>
      <c r="D146" s="55">
        <v>4315</v>
      </c>
      <c r="E146" s="56">
        <v>0</v>
      </c>
      <c r="F146" s="19" t="s">
        <v>62</v>
      </c>
      <c r="G146" s="4">
        <f t="shared" si="16"/>
        <v>0</v>
      </c>
      <c r="H146" s="11">
        <f t="shared" si="17"/>
        <v>0</v>
      </c>
      <c r="I146" s="55" t="str">
        <f t="shared" si="18"/>
        <v/>
      </c>
      <c r="J146" s="55">
        <f t="shared" si="19"/>
        <v>0</v>
      </c>
      <c r="K146" s="4">
        <f t="shared" si="20"/>
        <v>0</v>
      </c>
      <c r="L146" s="19" t="str">
        <f t="shared" si="21"/>
        <v>🆕 أول ظهور لهذه المادة</v>
      </c>
      <c r="M146" s="12">
        <f>IF(A146="","",IFERROR(INDEX(المدخلات!$M$4:$M$15,MATCH(A146,المدخلات!$L$4:$L$15,0)),""))</f>
        <v>13300</v>
      </c>
      <c r="N146" s="4">
        <f t="shared" si="22"/>
        <v>0</v>
      </c>
      <c r="O146" s="4">
        <f t="shared" si="23"/>
        <v>0</v>
      </c>
    </row>
    <row r="147" spans="1:15">
      <c r="A147" s="11">
        <v>202606</v>
      </c>
      <c r="B147" s="19" t="s">
        <v>271</v>
      </c>
      <c r="C147" s="19" t="s">
        <v>316</v>
      </c>
      <c r="D147" s="55">
        <v>43</v>
      </c>
      <c r="E147" s="56">
        <v>0</v>
      </c>
      <c r="F147" s="19" t="s">
        <v>62</v>
      </c>
      <c r="G147" s="4">
        <f t="shared" si="16"/>
        <v>0</v>
      </c>
      <c r="H147" s="11">
        <f t="shared" si="17"/>
        <v>0</v>
      </c>
      <c r="I147" s="55" t="str">
        <f t="shared" si="18"/>
        <v/>
      </c>
      <c r="J147" s="55">
        <f t="shared" si="19"/>
        <v>0</v>
      </c>
      <c r="K147" s="4">
        <f t="shared" si="20"/>
        <v>0</v>
      </c>
      <c r="L147" s="19" t="str">
        <f t="shared" si="21"/>
        <v>🆕 أول ظهور لهذه المادة</v>
      </c>
      <c r="M147" s="12">
        <f>IF(A147="","",IFERROR(INDEX(المدخلات!$M$4:$M$15,MATCH(A147,المدخلات!$L$4:$L$15,0)),""))</f>
        <v>13300</v>
      </c>
      <c r="N147" s="4">
        <f t="shared" si="22"/>
        <v>0</v>
      </c>
      <c r="O147" s="4">
        <f t="shared" si="23"/>
        <v>0</v>
      </c>
    </row>
    <row r="148" spans="1:15">
      <c r="A148" s="11">
        <v>202606</v>
      </c>
      <c r="B148" s="19" t="s">
        <v>271</v>
      </c>
      <c r="C148" s="19" t="s">
        <v>317</v>
      </c>
      <c r="D148" s="55">
        <v>0</v>
      </c>
      <c r="E148" s="56">
        <v>0</v>
      </c>
      <c r="F148" s="19" t="s">
        <v>62</v>
      </c>
      <c r="G148" s="4">
        <f t="shared" si="16"/>
        <v>0</v>
      </c>
      <c r="H148" s="11">
        <f t="shared" si="17"/>
        <v>0</v>
      </c>
      <c r="I148" s="55" t="str">
        <f t="shared" si="18"/>
        <v/>
      </c>
      <c r="J148" s="55">
        <f t="shared" si="19"/>
        <v>0</v>
      </c>
      <c r="K148" s="4">
        <f t="shared" si="20"/>
        <v>0</v>
      </c>
      <c r="L148" s="19" t="str">
        <f t="shared" si="21"/>
        <v>🆕 أول ظهور لهذه المادة</v>
      </c>
      <c r="M148" s="12">
        <f>IF(A148="","",IFERROR(INDEX(المدخلات!$M$4:$M$15,MATCH(A148,المدخلات!$L$4:$L$15,0)),""))</f>
        <v>13300</v>
      </c>
      <c r="N148" s="4">
        <f t="shared" si="22"/>
        <v>0</v>
      </c>
      <c r="O148" s="4">
        <f t="shared" si="23"/>
        <v>0</v>
      </c>
    </row>
    <row r="149" spans="1:15">
      <c r="A149" s="11">
        <v>202606</v>
      </c>
      <c r="B149" s="19" t="s">
        <v>271</v>
      </c>
      <c r="C149" s="19" t="s">
        <v>318</v>
      </c>
      <c r="D149" s="55">
        <v>-0.33</v>
      </c>
      <c r="E149" s="56">
        <v>105000</v>
      </c>
      <c r="F149" s="19" t="s">
        <v>62</v>
      </c>
      <c r="G149" s="4">
        <f t="shared" si="16"/>
        <v>-34650</v>
      </c>
      <c r="H149" s="11">
        <f t="shared" si="17"/>
        <v>0</v>
      </c>
      <c r="I149" s="55" t="str">
        <f t="shared" si="18"/>
        <v/>
      </c>
      <c r="J149" s="55">
        <f t="shared" si="19"/>
        <v>0</v>
      </c>
      <c r="K149" s="4">
        <f t="shared" si="20"/>
        <v>0</v>
      </c>
      <c r="L149" s="19" t="str">
        <f t="shared" si="21"/>
        <v>🆕 أول ظهور لهذه المادة</v>
      </c>
      <c r="M149" s="12">
        <f>IF(A149="","",IFERROR(INDEX(المدخلات!$M$4:$M$15,MATCH(A149,المدخلات!$L$4:$L$15,0)),""))</f>
        <v>13300</v>
      </c>
      <c r="N149" s="4">
        <f t="shared" si="22"/>
        <v>-34650</v>
      </c>
      <c r="O149" s="4">
        <f t="shared" si="23"/>
        <v>0</v>
      </c>
    </row>
    <row r="150" spans="1:15">
      <c r="A150" s="11">
        <v>202606</v>
      </c>
      <c r="B150" s="19" t="s">
        <v>271</v>
      </c>
      <c r="C150" s="19" t="s">
        <v>214</v>
      </c>
      <c r="D150" s="55">
        <v>0</v>
      </c>
      <c r="E150" s="56">
        <v>0</v>
      </c>
      <c r="F150" s="19" t="s">
        <v>62</v>
      </c>
      <c r="G150" s="4">
        <f t="shared" si="16"/>
        <v>0</v>
      </c>
      <c r="H150" s="11">
        <f t="shared" si="17"/>
        <v>0</v>
      </c>
      <c r="I150" s="55" t="str">
        <f t="shared" si="18"/>
        <v/>
      </c>
      <c r="J150" s="55">
        <f t="shared" si="19"/>
        <v>0</v>
      </c>
      <c r="K150" s="4">
        <f t="shared" si="20"/>
        <v>0</v>
      </c>
      <c r="L150" s="19" t="str">
        <f t="shared" si="21"/>
        <v>🆕 أول ظهور لهذه المادة</v>
      </c>
      <c r="M150" s="12">
        <f>IF(A150="","",IFERROR(INDEX(المدخلات!$M$4:$M$15,MATCH(A150,المدخلات!$L$4:$L$15,0)),""))</f>
        <v>13300</v>
      </c>
      <c r="N150" s="4">
        <f t="shared" si="22"/>
        <v>0</v>
      </c>
      <c r="O150" s="4">
        <f t="shared" si="23"/>
        <v>0</v>
      </c>
    </row>
    <row r="151" spans="1:15">
      <c r="A151" s="11">
        <v>202606</v>
      </c>
      <c r="B151" s="19" t="s">
        <v>271</v>
      </c>
      <c r="C151" s="19" t="s">
        <v>215</v>
      </c>
      <c r="D151" s="55">
        <v>5</v>
      </c>
      <c r="E151" s="56">
        <v>90000</v>
      </c>
      <c r="F151" s="19" t="s">
        <v>62</v>
      </c>
      <c r="G151" s="4">
        <f t="shared" si="16"/>
        <v>450000</v>
      </c>
      <c r="H151" s="11">
        <f t="shared" si="17"/>
        <v>0</v>
      </c>
      <c r="I151" s="55" t="str">
        <f t="shared" si="18"/>
        <v/>
      </c>
      <c r="J151" s="55">
        <f t="shared" si="19"/>
        <v>0</v>
      </c>
      <c r="K151" s="4">
        <f t="shared" si="20"/>
        <v>0</v>
      </c>
      <c r="L151" s="19" t="str">
        <f t="shared" si="21"/>
        <v>🆕 أول ظهور لهذه المادة</v>
      </c>
      <c r="M151" s="12">
        <f>IF(A151="","",IFERROR(INDEX(المدخلات!$M$4:$M$15,MATCH(A151,المدخلات!$L$4:$L$15,0)),""))</f>
        <v>13300</v>
      </c>
      <c r="N151" s="4">
        <f t="shared" si="22"/>
        <v>450000</v>
      </c>
      <c r="O151" s="4">
        <f t="shared" si="23"/>
        <v>0</v>
      </c>
    </row>
    <row r="152" spans="1:15">
      <c r="A152" s="11">
        <v>202606</v>
      </c>
      <c r="B152" s="19" t="s">
        <v>271</v>
      </c>
      <c r="C152" s="19" t="s">
        <v>216</v>
      </c>
      <c r="D152" s="55">
        <v>0</v>
      </c>
      <c r="E152" s="56">
        <v>0</v>
      </c>
      <c r="F152" s="19" t="s">
        <v>62</v>
      </c>
      <c r="G152" s="4">
        <f t="shared" si="16"/>
        <v>0</v>
      </c>
      <c r="H152" s="11">
        <f t="shared" si="17"/>
        <v>0</v>
      </c>
      <c r="I152" s="55" t="str">
        <f t="shared" si="18"/>
        <v/>
      </c>
      <c r="J152" s="55">
        <f t="shared" si="19"/>
        <v>0</v>
      </c>
      <c r="K152" s="4">
        <f t="shared" si="20"/>
        <v>0</v>
      </c>
      <c r="L152" s="19" t="str">
        <f t="shared" si="21"/>
        <v>🆕 أول ظهور لهذه المادة</v>
      </c>
      <c r="M152" s="12">
        <f>IF(A152="","",IFERROR(INDEX(المدخلات!$M$4:$M$15,MATCH(A152,المدخلات!$L$4:$L$15,0)),""))</f>
        <v>13300</v>
      </c>
      <c r="N152" s="4">
        <f t="shared" si="22"/>
        <v>0</v>
      </c>
      <c r="O152" s="4">
        <f t="shared" si="23"/>
        <v>0</v>
      </c>
    </row>
    <row r="153" spans="1:15">
      <c r="A153" s="11">
        <v>202606</v>
      </c>
      <c r="B153" s="19" t="s">
        <v>271</v>
      </c>
      <c r="C153" s="19" t="s">
        <v>217</v>
      </c>
      <c r="D153" s="55">
        <v>0</v>
      </c>
      <c r="E153" s="56">
        <v>100000</v>
      </c>
      <c r="F153" s="19" t="s">
        <v>62</v>
      </c>
      <c r="G153" s="4">
        <f t="shared" si="16"/>
        <v>0</v>
      </c>
      <c r="H153" s="11">
        <f t="shared" si="17"/>
        <v>0</v>
      </c>
      <c r="I153" s="55" t="str">
        <f t="shared" si="18"/>
        <v/>
      </c>
      <c r="J153" s="55">
        <f t="shared" si="19"/>
        <v>0</v>
      </c>
      <c r="K153" s="4">
        <f t="shared" si="20"/>
        <v>0</v>
      </c>
      <c r="L153" s="19" t="str">
        <f t="shared" si="21"/>
        <v>🆕 أول ظهور لهذه المادة</v>
      </c>
      <c r="M153" s="12">
        <f>IF(A153="","",IFERROR(INDEX(المدخلات!$M$4:$M$15,MATCH(A153,المدخلات!$L$4:$L$15,0)),""))</f>
        <v>13300</v>
      </c>
      <c r="N153" s="4">
        <f t="shared" si="22"/>
        <v>0</v>
      </c>
      <c r="O153" s="4">
        <f t="shared" si="23"/>
        <v>0</v>
      </c>
    </row>
    <row r="154" spans="1:15">
      <c r="A154" s="11">
        <v>202606</v>
      </c>
      <c r="B154" s="19" t="s">
        <v>271</v>
      </c>
      <c r="C154" s="19" t="s">
        <v>218</v>
      </c>
      <c r="D154" s="55">
        <v>0</v>
      </c>
      <c r="E154" s="56">
        <v>307000</v>
      </c>
      <c r="F154" s="19" t="s">
        <v>62</v>
      </c>
      <c r="G154" s="4">
        <f t="shared" si="16"/>
        <v>0</v>
      </c>
      <c r="H154" s="11">
        <f t="shared" si="17"/>
        <v>0</v>
      </c>
      <c r="I154" s="55" t="str">
        <f t="shared" si="18"/>
        <v/>
      </c>
      <c r="J154" s="55">
        <f t="shared" si="19"/>
        <v>0</v>
      </c>
      <c r="K154" s="4">
        <f t="shared" si="20"/>
        <v>0</v>
      </c>
      <c r="L154" s="19" t="str">
        <f t="shared" si="21"/>
        <v>🆕 أول ظهور لهذه المادة</v>
      </c>
      <c r="M154" s="12">
        <f>IF(A154="","",IFERROR(INDEX(المدخلات!$M$4:$M$15,MATCH(A154,المدخلات!$L$4:$L$15,0)),""))</f>
        <v>13300</v>
      </c>
      <c r="N154" s="4">
        <f t="shared" si="22"/>
        <v>0</v>
      </c>
      <c r="O154" s="4">
        <f t="shared" si="23"/>
        <v>0</v>
      </c>
    </row>
    <row r="155" spans="1:15">
      <c r="A155" s="11">
        <v>202606</v>
      </c>
      <c r="B155" s="19" t="s">
        <v>271</v>
      </c>
      <c r="C155" s="19" t="s">
        <v>219</v>
      </c>
      <c r="D155" s="55">
        <v>0.5</v>
      </c>
      <c r="E155" s="56">
        <v>156000</v>
      </c>
      <c r="F155" s="19" t="s">
        <v>62</v>
      </c>
      <c r="G155" s="4">
        <f t="shared" si="16"/>
        <v>78000</v>
      </c>
      <c r="H155" s="11">
        <f t="shared" si="17"/>
        <v>0</v>
      </c>
      <c r="I155" s="55" t="str">
        <f t="shared" si="18"/>
        <v/>
      </c>
      <c r="J155" s="55">
        <f t="shared" si="19"/>
        <v>0</v>
      </c>
      <c r="K155" s="4">
        <f t="shared" si="20"/>
        <v>0</v>
      </c>
      <c r="L155" s="19" t="str">
        <f t="shared" si="21"/>
        <v>🆕 أول ظهور لهذه المادة</v>
      </c>
      <c r="M155" s="12">
        <f>IF(A155="","",IFERROR(INDEX(المدخلات!$M$4:$M$15,MATCH(A155,المدخلات!$L$4:$L$15,0)),""))</f>
        <v>13300</v>
      </c>
      <c r="N155" s="4">
        <f t="shared" si="22"/>
        <v>78000</v>
      </c>
      <c r="O155" s="4">
        <f t="shared" si="23"/>
        <v>0</v>
      </c>
    </row>
    <row r="156" spans="1:15">
      <c r="A156" s="11">
        <v>202606</v>
      </c>
      <c r="B156" s="19" t="s">
        <v>271</v>
      </c>
      <c r="C156" s="19" t="s">
        <v>220</v>
      </c>
      <c r="D156" s="55">
        <v>2</v>
      </c>
      <c r="E156" s="56">
        <v>90000</v>
      </c>
      <c r="F156" s="19" t="s">
        <v>62</v>
      </c>
      <c r="G156" s="4">
        <f t="shared" si="16"/>
        <v>180000</v>
      </c>
      <c r="H156" s="11">
        <f t="shared" si="17"/>
        <v>0</v>
      </c>
      <c r="I156" s="55" t="str">
        <f t="shared" si="18"/>
        <v/>
      </c>
      <c r="J156" s="55">
        <f t="shared" si="19"/>
        <v>0</v>
      </c>
      <c r="K156" s="4">
        <f t="shared" si="20"/>
        <v>0</v>
      </c>
      <c r="L156" s="19" t="str">
        <f t="shared" si="21"/>
        <v>🆕 أول ظهور لهذه المادة</v>
      </c>
      <c r="M156" s="12">
        <f>IF(A156="","",IFERROR(INDEX(المدخلات!$M$4:$M$15,MATCH(A156,المدخلات!$L$4:$L$15,0)),""))</f>
        <v>13300</v>
      </c>
      <c r="N156" s="4">
        <f t="shared" si="22"/>
        <v>180000</v>
      </c>
      <c r="O156" s="4">
        <f t="shared" si="23"/>
        <v>0</v>
      </c>
    </row>
    <row r="157" spans="1:15">
      <c r="A157" s="11">
        <v>202606</v>
      </c>
      <c r="B157" s="19" t="s">
        <v>271</v>
      </c>
      <c r="C157" s="19" t="s">
        <v>221</v>
      </c>
      <c r="D157" s="55">
        <v>0</v>
      </c>
      <c r="E157" s="56">
        <v>82000</v>
      </c>
      <c r="F157" s="19" t="s">
        <v>62</v>
      </c>
      <c r="G157" s="4">
        <f t="shared" si="16"/>
        <v>0</v>
      </c>
      <c r="H157" s="11">
        <f t="shared" si="17"/>
        <v>0</v>
      </c>
      <c r="I157" s="55" t="str">
        <f t="shared" si="18"/>
        <v/>
      </c>
      <c r="J157" s="55">
        <f t="shared" si="19"/>
        <v>0</v>
      </c>
      <c r="K157" s="4">
        <f t="shared" si="20"/>
        <v>0</v>
      </c>
      <c r="L157" s="19" t="str">
        <f t="shared" si="21"/>
        <v>🆕 أول ظهور لهذه المادة</v>
      </c>
      <c r="M157" s="12">
        <f>IF(A157="","",IFERROR(INDEX(المدخلات!$M$4:$M$15,MATCH(A157,المدخلات!$L$4:$L$15,0)),""))</f>
        <v>13300</v>
      </c>
      <c r="N157" s="4">
        <f t="shared" si="22"/>
        <v>0</v>
      </c>
      <c r="O157" s="4">
        <f t="shared" si="23"/>
        <v>0</v>
      </c>
    </row>
    <row r="158" spans="1:15">
      <c r="A158" s="11">
        <v>202606</v>
      </c>
      <c r="B158" s="19" t="s">
        <v>271</v>
      </c>
      <c r="C158" s="19" t="s">
        <v>222</v>
      </c>
      <c r="D158" s="55">
        <v>0</v>
      </c>
      <c r="E158" s="56">
        <v>275</v>
      </c>
      <c r="F158" s="19" t="s">
        <v>62</v>
      </c>
      <c r="G158" s="4">
        <f t="shared" si="16"/>
        <v>0</v>
      </c>
      <c r="H158" s="11">
        <f t="shared" si="17"/>
        <v>0</v>
      </c>
      <c r="I158" s="55" t="str">
        <f t="shared" si="18"/>
        <v/>
      </c>
      <c r="J158" s="55">
        <f t="shared" si="19"/>
        <v>0</v>
      </c>
      <c r="K158" s="4">
        <f t="shared" si="20"/>
        <v>0</v>
      </c>
      <c r="L158" s="19" t="str">
        <f t="shared" si="21"/>
        <v>🆕 أول ظهور لهذه المادة</v>
      </c>
      <c r="M158" s="12">
        <f>IF(A158="","",IFERROR(INDEX(المدخلات!$M$4:$M$15,MATCH(A158,المدخلات!$L$4:$L$15,0)),""))</f>
        <v>13300</v>
      </c>
      <c r="N158" s="4">
        <f t="shared" si="22"/>
        <v>0</v>
      </c>
      <c r="O158" s="4">
        <f t="shared" si="23"/>
        <v>0</v>
      </c>
    </row>
    <row r="159" spans="1:15">
      <c r="A159" s="11">
        <v>202606</v>
      </c>
      <c r="B159" s="19" t="s">
        <v>271</v>
      </c>
      <c r="C159" s="19" t="s">
        <v>223</v>
      </c>
      <c r="D159" s="55">
        <v>0</v>
      </c>
      <c r="E159" s="56">
        <v>0</v>
      </c>
      <c r="F159" s="19" t="s">
        <v>62</v>
      </c>
      <c r="G159" s="4">
        <f t="shared" si="16"/>
        <v>0</v>
      </c>
      <c r="H159" s="11">
        <f t="shared" si="17"/>
        <v>0</v>
      </c>
      <c r="I159" s="55" t="str">
        <f t="shared" si="18"/>
        <v/>
      </c>
      <c r="J159" s="55">
        <f t="shared" si="19"/>
        <v>0</v>
      </c>
      <c r="K159" s="4">
        <f t="shared" si="20"/>
        <v>0</v>
      </c>
      <c r="L159" s="19" t="str">
        <f t="shared" si="21"/>
        <v>🆕 أول ظهور لهذه المادة</v>
      </c>
      <c r="M159" s="12">
        <f>IF(A159="","",IFERROR(INDEX(المدخلات!$M$4:$M$15,MATCH(A159,المدخلات!$L$4:$L$15,0)),""))</f>
        <v>13300</v>
      </c>
      <c r="N159" s="4">
        <f t="shared" si="22"/>
        <v>0</v>
      </c>
      <c r="O159" s="4">
        <f t="shared" si="23"/>
        <v>0</v>
      </c>
    </row>
    <row r="160" spans="1:15">
      <c r="A160" s="11">
        <v>202606</v>
      </c>
      <c r="B160" s="19" t="s">
        <v>271</v>
      </c>
      <c r="C160" s="19" t="s">
        <v>224</v>
      </c>
      <c r="D160" s="55">
        <v>1</v>
      </c>
      <c r="E160" s="56">
        <v>20000</v>
      </c>
      <c r="F160" s="19" t="s">
        <v>62</v>
      </c>
      <c r="G160" s="4">
        <f t="shared" si="16"/>
        <v>20000</v>
      </c>
      <c r="H160" s="11">
        <f t="shared" si="17"/>
        <v>0</v>
      </c>
      <c r="I160" s="55" t="str">
        <f t="shared" si="18"/>
        <v/>
      </c>
      <c r="J160" s="55">
        <f t="shared" si="19"/>
        <v>0</v>
      </c>
      <c r="K160" s="4">
        <f t="shared" si="20"/>
        <v>0</v>
      </c>
      <c r="L160" s="19" t="str">
        <f t="shared" si="21"/>
        <v>🆕 أول ظهور لهذه المادة</v>
      </c>
      <c r="M160" s="12">
        <f>IF(A160="","",IFERROR(INDEX(المدخلات!$M$4:$M$15,MATCH(A160,المدخلات!$L$4:$L$15,0)),""))</f>
        <v>13300</v>
      </c>
      <c r="N160" s="4">
        <f t="shared" si="22"/>
        <v>20000</v>
      </c>
      <c r="O160" s="4">
        <f t="shared" si="23"/>
        <v>0</v>
      </c>
    </row>
    <row r="161" spans="1:15">
      <c r="A161" s="11">
        <v>202606</v>
      </c>
      <c r="B161" s="19" t="s">
        <v>271</v>
      </c>
      <c r="C161" s="19" t="s">
        <v>225</v>
      </c>
      <c r="D161" s="55">
        <v>0</v>
      </c>
      <c r="E161" s="56">
        <v>22500</v>
      </c>
      <c r="F161" s="19" t="s">
        <v>62</v>
      </c>
      <c r="G161" s="4">
        <f t="shared" si="16"/>
        <v>0</v>
      </c>
      <c r="H161" s="11">
        <f t="shared" si="17"/>
        <v>0</v>
      </c>
      <c r="I161" s="55" t="str">
        <f t="shared" si="18"/>
        <v/>
      </c>
      <c r="J161" s="55">
        <f t="shared" si="19"/>
        <v>0</v>
      </c>
      <c r="K161" s="4">
        <f t="shared" si="20"/>
        <v>0</v>
      </c>
      <c r="L161" s="19" t="str">
        <f t="shared" si="21"/>
        <v>🆕 أول ظهور لهذه المادة</v>
      </c>
      <c r="M161" s="12">
        <f>IF(A161="","",IFERROR(INDEX(المدخلات!$M$4:$M$15,MATCH(A161,المدخلات!$L$4:$L$15,0)),""))</f>
        <v>13300</v>
      </c>
      <c r="N161" s="4">
        <f t="shared" si="22"/>
        <v>0</v>
      </c>
      <c r="O161" s="4">
        <f t="shared" si="23"/>
        <v>0</v>
      </c>
    </row>
    <row r="162" spans="1:15">
      <c r="A162" s="11">
        <v>202606</v>
      </c>
      <c r="B162" s="19" t="s">
        <v>271</v>
      </c>
      <c r="C162" s="19" t="s">
        <v>226</v>
      </c>
      <c r="D162" s="55">
        <v>-19</v>
      </c>
      <c r="E162" s="56">
        <v>11000</v>
      </c>
      <c r="F162" s="19" t="s">
        <v>62</v>
      </c>
      <c r="G162" s="4">
        <f t="shared" si="16"/>
        <v>-209000</v>
      </c>
      <c r="H162" s="11">
        <f t="shared" si="17"/>
        <v>0</v>
      </c>
      <c r="I162" s="55" t="str">
        <f t="shared" si="18"/>
        <v/>
      </c>
      <c r="J162" s="55">
        <f t="shared" si="19"/>
        <v>0</v>
      </c>
      <c r="K162" s="4">
        <f t="shared" si="20"/>
        <v>0</v>
      </c>
      <c r="L162" s="19" t="str">
        <f t="shared" si="21"/>
        <v>🆕 أول ظهور لهذه المادة</v>
      </c>
      <c r="M162" s="12">
        <f>IF(A162="","",IFERROR(INDEX(المدخلات!$M$4:$M$15,MATCH(A162,المدخلات!$L$4:$L$15,0)),""))</f>
        <v>13300</v>
      </c>
      <c r="N162" s="4">
        <f t="shared" si="22"/>
        <v>-209000</v>
      </c>
      <c r="O162" s="4">
        <f t="shared" si="23"/>
        <v>0</v>
      </c>
    </row>
    <row r="163" spans="1:15">
      <c r="A163" s="11">
        <v>202606</v>
      </c>
      <c r="B163" s="19" t="s">
        <v>271</v>
      </c>
      <c r="C163" s="19" t="s">
        <v>319</v>
      </c>
      <c r="D163" s="55">
        <v>67</v>
      </c>
      <c r="E163" s="56">
        <v>5700</v>
      </c>
      <c r="F163" s="19" t="s">
        <v>62</v>
      </c>
      <c r="G163" s="4">
        <f t="shared" si="16"/>
        <v>381900</v>
      </c>
      <c r="H163" s="11">
        <f t="shared" si="17"/>
        <v>0</v>
      </c>
      <c r="I163" s="55" t="str">
        <f t="shared" si="18"/>
        <v/>
      </c>
      <c r="J163" s="55">
        <f t="shared" si="19"/>
        <v>0</v>
      </c>
      <c r="K163" s="4">
        <f t="shared" si="20"/>
        <v>0</v>
      </c>
      <c r="L163" s="19" t="str">
        <f t="shared" si="21"/>
        <v>🆕 أول ظهور لهذه المادة</v>
      </c>
      <c r="M163" s="12">
        <f>IF(A163="","",IFERROR(INDEX(المدخلات!$M$4:$M$15,MATCH(A163,المدخلات!$L$4:$L$15,0)),""))</f>
        <v>13300</v>
      </c>
      <c r="N163" s="4">
        <f t="shared" si="22"/>
        <v>381900</v>
      </c>
      <c r="O163" s="4">
        <f t="shared" si="23"/>
        <v>0</v>
      </c>
    </row>
    <row r="164" spans="1:15">
      <c r="A164" s="11">
        <v>202606</v>
      </c>
      <c r="B164" s="19" t="s">
        <v>271</v>
      </c>
      <c r="C164" s="19" t="s">
        <v>320</v>
      </c>
      <c r="D164" s="55">
        <v>114</v>
      </c>
      <c r="E164" s="56">
        <v>38400</v>
      </c>
      <c r="F164" s="19" t="s">
        <v>62</v>
      </c>
      <c r="G164" s="4">
        <f t="shared" si="16"/>
        <v>4377600</v>
      </c>
      <c r="H164" s="11">
        <f t="shared" si="17"/>
        <v>0</v>
      </c>
      <c r="I164" s="55" t="str">
        <f t="shared" si="18"/>
        <v/>
      </c>
      <c r="J164" s="55">
        <f t="shared" si="19"/>
        <v>0</v>
      </c>
      <c r="K164" s="4">
        <f t="shared" si="20"/>
        <v>0</v>
      </c>
      <c r="L164" s="19" t="str">
        <f t="shared" si="21"/>
        <v>🆕 أول ظهور لهذه المادة</v>
      </c>
      <c r="M164" s="12">
        <f>IF(A164="","",IFERROR(INDEX(المدخلات!$M$4:$M$15,MATCH(A164,المدخلات!$L$4:$L$15,0)),""))</f>
        <v>13300</v>
      </c>
      <c r="N164" s="4">
        <f t="shared" si="22"/>
        <v>4377600</v>
      </c>
      <c r="O164" s="4">
        <f t="shared" si="23"/>
        <v>0</v>
      </c>
    </row>
    <row r="165" spans="1:15">
      <c r="A165" s="11">
        <v>202606</v>
      </c>
      <c r="B165" s="19" t="s">
        <v>271</v>
      </c>
      <c r="C165" s="19" t="s">
        <v>321</v>
      </c>
      <c r="D165" s="55">
        <v>71</v>
      </c>
      <c r="E165" s="56">
        <v>680</v>
      </c>
      <c r="F165" s="19" t="s">
        <v>62</v>
      </c>
      <c r="G165" s="4">
        <f t="shared" si="16"/>
        <v>48280</v>
      </c>
      <c r="H165" s="11">
        <f t="shared" si="17"/>
        <v>0</v>
      </c>
      <c r="I165" s="55" t="str">
        <f t="shared" si="18"/>
        <v/>
      </c>
      <c r="J165" s="55">
        <f t="shared" si="19"/>
        <v>0</v>
      </c>
      <c r="K165" s="4">
        <f t="shared" si="20"/>
        <v>0</v>
      </c>
      <c r="L165" s="19" t="str">
        <f t="shared" si="21"/>
        <v>🆕 أول ظهور لهذه المادة</v>
      </c>
      <c r="M165" s="12">
        <f>IF(A165="","",IFERROR(INDEX(المدخلات!$M$4:$M$15,MATCH(A165,المدخلات!$L$4:$L$15,0)),""))</f>
        <v>13300</v>
      </c>
      <c r="N165" s="4">
        <f t="shared" si="22"/>
        <v>48280</v>
      </c>
      <c r="O165" s="4">
        <f t="shared" si="23"/>
        <v>0</v>
      </c>
    </row>
    <row r="166" spans="1:15">
      <c r="A166" s="11">
        <v>202606</v>
      </c>
      <c r="B166" s="19" t="s">
        <v>271</v>
      </c>
      <c r="C166" s="19" t="s">
        <v>227</v>
      </c>
      <c r="D166" s="55">
        <v>-0.08</v>
      </c>
      <c r="E166" s="56">
        <v>320000</v>
      </c>
      <c r="F166" s="19" t="s">
        <v>62</v>
      </c>
      <c r="G166" s="4">
        <f t="shared" si="16"/>
        <v>-25600</v>
      </c>
      <c r="H166" s="11">
        <f t="shared" si="17"/>
        <v>0</v>
      </c>
      <c r="I166" s="55" t="str">
        <f t="shared" si="18"/>
        <v/>
      </c>
      <c r="J166" s="55">
        <f t="shared" si="19"/>
        <v>0</v>
      </c>
      <c r="K166" s="4">
        <f t="shared" si="20"/>
        <v>0</v>
      </c>
      <c r="L166" s="19" t="str">
        <f t="shared" si="21"/>
        <v>🆕 أول ظهور لهذه المادة</v>
      </c>
      <c r="M166" s="12">
        <f>IF(A166="","",IFERROR(INDEX(المدخلات!$M$4:$M$15,MATCH(A166,المدخلات!$L$4:$L$15,0)),""))</f>
        <v>13300</v>
      </c>
      <c r="N166" s="4">
        <f t="shared" si="22"/>
        <v>-25600</v>
      </c>
      <c r="O166" s="4">
        <f t="shared" si="23"/>
        <v>0</v>
      </c>
    </row>
    <row r="167" spans="1:15">
      <c r="A167" s="11">
        <v>202606</v>
      </c>
      <c r="B167" s="19" t="s">
        <v>271</v>
      </c>
      <c r="C167" s="19" t="s">
        <v>228</v>
      </c>
      <c r="D167" s="55">
        <v>2.42</v>
      </c>
      <c r="E167" s="56">
        <v>300000</v>
      </c>
      <c r="F167" s="19" t="s">
        <v>62</v>
      </c>
      <c r="G167" s="4">
        <f t="shared" si="16"/>
        <v>726000</v>
      </c>
      <c r="H167" s="11">
        <f t="shared" si="17"/>
        <v>0</v>
      </c>
      <c r="I167" s="55" t="str">
        <f t="shared" si="18"/>
        <v/>
      </c>
      <c r="J167" s="55">
        <f t="shared" si="19"/>
        <v>0</v>
      </c>
      <c r="K167" s="4">
        <f t="shared" si="20"/>
        <v>0</v>
      </c>
      <c r="L167" s="19" t="str">
        <f t="shared" si="21"/>
        <v>🆕 أول ظهور لهذه المادة</v>
      </c>
      <c r="M167" s="12">
        <f>IF(A167="","",IFERROR(INDEX(المدخلات!$M$4:$M$15,MATCH(A167,المدخلات!$L$4:$L$15,0)),""))</f>
        <v>13300</v>
      </c>
      <c r="N167" s="4">
        <f t="shared" si="22"/>
        <v>726000</v>
      </c>
      <c r="O167" s="4">
        <f t="shared" si="23"/>
        <v>0</v>
      </c>
    </row>
    <row r="168" spans="1:15">
      <c r="A168" s="11">
        <v>202606</v>
      </c>
      <c r="B168" s="19" t="s">
        <v>271</v>
      </c>
      <c r="C168" s="19" t="s">
        <v>229</v>
      </c>
      <c r="D168" s="55">
        <v>0.17</v>
      </c>
      <c r="E168" s="56">
        <v>152000</v>
      </c>
      <c r="F168" s="19" t="s">
        <v>62</v>
      </c>
      <c r="G168" s="4">
        <f t="shared" si="16"/>
        <v>25840.000000000004</v>
      </c>
      <c r="H168" s="11">
        <f t="shared" si="17"/>
        <v>0</v>
      </c>
      <c r="I168" s="55" t="str">
        <f t="shared" si="18"/>
        <v/>
      </c>
      <c r="J168" s="55">
        <f t="shared" si="19"/>
        <v>0</v>
      </c>
      <c r="K168" s="4">
        <f t="shared" si="20"/>
        <v>0</v>
      </c>
      <c r="L168" s="19" t="str">
        <f t="shared" si="21"/>
        <v>🆕 أول ظهور لهذه المادة</v>
      </c>
      <c r="M168" s="12">
        <f>IF(A168="","",IFERROR(INDEX(المدخلات!$M$4:$M$15,MATCH(A168,المدخلات!$L$4:$L$15,0)),""))</f>
        <v>13300</v>
      </c>
      <c r="N168" s="4">
        <f t="shared" si="22"/>
        <v>25840.000000000004</v>
      </c>
      <c r="O168" s="4">
        <f t="shared" si="23"/>
        <v>0</v>
      </c>
    </row>
    <row r="169" spans="1:15">
      <c r="A169" s="11">
        <v>202606</v>
      </c>
      <c r="B169" s="19" t="s">
        <v>271</v>
      </c>
      <c r="C169" s="19" t="s">
        <v>230</v>
      </c>
      <c r="D169" s="55">
        <v>0</v>
      </c>
      <c r="E169" s="56">
        <v>0</v>
      </c>
      <c r="F169" s="19" t="s">
        <v>62</v>
      </c>
      <c r="G169" s="4">
        <f t="shared" si="16"/>
        <v>0</v>
      </c>
      <c r="H169" s="11">
        <f t="shared" si="17"/>
        <v>0</v>
      </c>
      <c r="I169" s="55" t="str">
        <f t="shared" si="18"/>
        <v/>
      </c>
      <c r="J169" s="55">
        <f t="shared" si="19"/>
        <v>0</v>
      </c>
      <c r="K169" s="4">
        <f t="shared" si="20"/>
        <v>0</v>
      </c>
      <c r="L169" s="19" t="str">
        <f t="shared" si="21"/>
        <v>🆕 أول ظهور لهذه المادة</v>
      </c>
      <c r="M169" s="12">
        <f>IF(A169="","",IFERROR(INDEX(المدخلات!$M$4:$M$15,MATCH(A169,المدخلات!$L$4:$L$15,0)),""))</f>
        <v>13300</v>
      </c>
      <c r="N169" s="4">
        <f t="shared" si="22"/>
        <v>0</v>
      </c>
      <c r="O169" s="4">
        <f t="shared" si="23"/>
        <v>0</v>
      </c>
    </row>
    <row r="170" spans="1:15">
      <c r="A170" s="11">
        <v>202606</v>
      </c>
      <c r="B170" s="19" t="s">
        <v>271</v>
      </c>
      <c r="C170" s="19" t="s">
        <v>231</v>
      </c>
      <c r="D170" s="55">
        <v>1</v>
      </c>
      <c r="E170" s="56">
        <v>10000</v>
      </c>
      <c r="F170" s="19" t="s">
        <v>62</v>
      </c>
      <c r="G170" s="4">
        <f t="shared" si="16"/>
        <v>10000</v>
      </c>
      <c r="H170" s="11">
        <f t="shared" si="17"/>
        <v>0</v>
      </c>
      <c r="I170" s="55" t="str">
        <f t="shared" si="18"/>
        <v/>
      </c>
      <c r="J170" s="55">
        <f t="shared" si="19"/>
        <v>0</v>
      </c>
      <c r="K170" s="4">
        <f t="shared" si="20"/>
        <v>0</v>
      </c>
      <c r="L170" s="19" t="str">
        <f t="shared" si="21"/>
        <v>🆕 أول ظهور لهذه المادة</v>
      </c>
      <c r="M170" s="12">
        <f>IF(A170="","",IFERROR(INDEX(المدخلات!$M$4:$M$15,MATCH(A170,المدخلات!$L$4:$L$15,0)),""))</f>
        <v>13300</v>
      </c>
      <c r="N170" s="4">
        <f t="shared" si="22"/>
        <v>10000</v>
      </c>
      <c r="O170" s="4">
        <f t="shared" si="23"/>
        <v>0</v>
      </c>
    </row>
    <row r="171" spans="1:15">
      <c r="A171" s="11">
        <v>202606</v>
      </c>
      <c r="B171" s="19" t="s">
        <v>271</v>
      </c>
      <c r="C171" s="19" t="s">
        <v>322</v>
      </c>
      <c r="D171" s="55">
        <v>13</v>
      </c>
      <c r="E171" s="56">
        <v>8000</v>
      </c>
      <c r="F171" s="19" t="s">
        <v>62</v>
      </c>
      <c r="G171" s="4">
        <f t="shared" si="16"/>
        <v>104000</v>
      </c>
      <c r="H171" s="11">
        <f t="shared" si="17"/>
        <v>0</v>
      </c>
      <c r="I171" s="55" t="str">
        <f t="shared" si="18"/>
        <v/>
      </c>
      <c r="J171" s="55">
        <f t="shared" si="19"/>
        <v>0</v>
      </c>
      <c r="K171" s="4">
        <f t="shared" si="20"/>
        <v>0</v>
      </c>
      <c r="L171" s="19" t="str">
        <f t="shared" si="21"/>
        <v>🆕 أول ظهور لهذه المادة</v>
      </c>
      <c r="M171" s="12">
        <f>IF(A171="","",IFERROR(INDEX(المدخلات!$M$4:$M$15,MATCH(A171,المدخلات!$L$4:$L$15,0)),""))</f>
        <v>13300</v>
      </c>
      <c r="N171" s="4">
        <f t="shared" si="22"/>
        <v>104000</v>
      </c>
      <c r="O171" s="4">
        <f t="shared" si="23"/>
        <v>0</v>
      </c>
    </row>
    <row r="172" spans="1:15">
      <c r="A172" s="11">
        <v>202606</v>
      </c>
      <c r="B172" s="19" t="s">
        <v>271</v>
      </c>
      <c r="C172" s="19" t="s">
        <v>323</v>
      </c>
      <c r="D172" s="55">
        <v>0</v>
      </c>
      <c r="E172" s="56">
        <v>0</v>
      </c>
      <c r="F172" s="19" t="s">
        <v>62</v>
      </c>
      <c r="G172" s="4">
        <f t="shared" si="16"/>
        <v>0</v>
      </c>
      <c r="H172" s="11">
        <f t="shared" si="17"/>
        <v>0</v>
      </c>
      <c r="I172" s="55" t="str">
        <f t="shared" si="18"/>
        <v/>
      </c>
      <c r="J172" s="55">
        <f t="shared" si="19"/>
        <v>0</v>
      </c>
      <c r="K172" s="4">
        <f t="shared" si="20"/>
        <v>0</v>
      </c>
      <c r="L172" s="19" t="str">
        <f t="shared" si="21"/>
        <v>🆕 أول ظهور لهذه المادة</v>
      </c>
      <c r="M172" s="12">
        <f>IF(A172="","",IFERROR(INDEX(المدخلات!$M$4:$M$15,MATCH(A172,المدخلات!$L$4:$L$15,0)),""))</f>
        <v>13300</v>
      </c>
      <c r="N172" s="4">
        <f t="shared" si="22"/>
        <v>0</v>
      </c>
      <c r="O172" s="4">
        <f t="shared" si="23"/>
        <v>0</v>
      </c>
    </row>
    <row r="173" spans="1:15">
      <c r="A173" s="11">
        <v>202606</v>
      </c>
      <c r="B173" s="19" t="s">
        <v>271</v>
      </c>
      <c r="C173" s="19" t="s">
        <v>324</v>
      </c>
      <c r="D173" s="55">
        <v>761.5</v>
      </c>
      <c r="E173" s="56">
        <v>7200</v>
      </c>
      <c r="F173" s="19" t="s">
        <v>62</v>
      </c>
      <c r="G173" s="4">
        <f t="shared" si="16"/>
        <v>5482800</v>
      </c>
      <c r="H173" s="11">
        <f t="shared" si="17"/>
        <v>0</v>
      </c>
      <c r="I173" s="55" t="str">
        <f t="shared" si="18"/>
        <v/>
      </c>
      <c r="J173" s="55">
        <f t="shared" si="19"/>
        <v>0</v>
      </c>
      <c r="K173" s="4">
        <f t="shared" si="20"/>
        <v>0</v>
      </c>
      <c r="L173" s="19" t="str">
        <f t="shared" si="21"/>
        <v>🆕 أول ظهور لهذه المادة</v>
      </c>
      <c r="M173" s="12">
        <f>IF(A173="","",IFERROR(INDEX(المدخلات!$M$4:$M$15,MATCH(A173,المدخلات!$L$4:$L$15,0)),""))</f>
        <v>13300</v>
      </c>
      <c r="N173" s="4">
        <f t="shared" si="22"/>
        <v>5482800</v>
      </c>
      <c r="O173" s="4">
        <f t="shared" si="23"/>
        <v>0</v>
      </c>
    </row>
    <row r="174" spans="1:15">
      <c r="A174" s="11">
        <v>202606</v>
      </c>
      <c r="B174" s="19" t="s">
        <v>271</v>
      </c>
      <c r="C174" s="19" t="s">
        <v>325</v>
      </c>
      <c r="D174" s="55">
        <v>134</v>
      </c>
      <c r="E174" s="56">
        <v>25000</v>
      </c>
      <c r="F174" s="19" t="s">
        <v>62</v>
      </c>
      <c r="G174" s="4">
        <f t="shared" si="16"/>
        <v>3350000</v>
      </c>
      <c r="H174" s="11">
        <f t="shared" si="17"/>
        <v>0</v>
      </c>
      <c r="I174" s="55" t="str">
        <f t="shared" si="18"/>
        <v/>
      </c>
      <c r="J174" s="55">
        <f t="shared" si="19"/>
        <v>0</v>
      </c>
      <c r="K174" s="4">
        <f t="shared" si="20"/>
        <v>0</v>
      </c>
      <c r="L174" s="19" t="str">
        <f t="shared" si="21"/>
        <v>🆕 أول ظهور لهذه المادة</v>
      </c>
      <c r="M174" s="12">
        <f>IF(A174="","",IFERROR(INDEX(المدخلات!$M$4:$M$15,MATCH(A174,المدخلات!$L$4:$L$15,0)),""))</f>
        <v>13300</v>
      </c>
      <c r="N174" s="4">
        <f t="shared" si="22"/>
        <v>3350000</v>
      </c>
      <c r="O174" s="4">
        <f t="shared" si="23"/>
        <v>0</v>
      </c>
    </row>
    <row r="175" spans="1:15">
      <c r="A175" s="11">
        <v>202606</v>
      </c>
      <c r="B175" s="19" t="s">
        <v>271</v>
      </c>
      <c r="C175" s="19" t="s">
        <v>326</v>
      </c>
      <c r="D175" s="55">
        <v>124</v>
      </c>
      <c r="E175" s="56">
        <v>6250</v>
      </c>
      <c r="F175" s="19" t="s">
        <v>62</v>
      </c>
      <c r="G175" s="4">
        <f t="shared" si="16"/>
        <v>775000</v>
      </c>
      <c r="H175" s="11">
        <f t="shared" si="17"/>
        <v>0</v>
      </c>
      <c r="I175" s="55" t="str">
        <f t="shared" si="18"/>
        <v/>
      </c>
      <c r="J175" s="55">
        <f t="shared" si="19"/>
        <v>0</v>
      </c>
      <c r="K175" s="4">
        <f t="shared" si="20"/>
        <v>0</v>
      </c>
      <c r="L175" s="19" t="str">
        <f t="shared" si="21"/>
        <v>🆕 أول ظهور لهذه المادة</v>
      </c>
      <c r="M175" s="12">
        <f>IF(A175="","",IFERROR(INDEX(المدخلات!$M$4:$M$15,MATCH(A175,المدخلات!$L$4:$L$15,0)),""))</f>
        <v>13300</v>
      </c>
      <c r="N175" s="4">
        <f t="shared" si="22"/>
        <v>775000</v>
      </c>
      <c r="O175" s="4">
        <f t="shared" si="23"/>
        <v>0</v>
      </c>
    </row>
    <row r="176" spans="1:15">
      <c r="A176" s="11">
        <v>202606</v>
      </c>
      <c r="B176" s="19" t="s">
        <v>271</v>
      </c>
      <c r="C176" s="19" t="s">
        <v>327</v>
      </c>
      <c r="D176" s="55">
        <v>321</v>
      </c>
      <c r="E176" s="56">
        <v>1080</v>
      </c>
      <c r="F176" s="19" t="s">
        <v>62</v>
      </c>
      <c r="G176" s="4">
        <f t="shared" si="16"/>
        <v>346680</v>
      </c>
      <c r="H176" s="11">
        <f t="shared" si="17"/>
        <v>0</v>
      </c>
      <c r="I176" s="55" t="str">
        <f t="shared" si="18"/>
        <v/>
      </c>
      <c r="J176" s="55">
        <f t="shared" si="19"/>
        <v>0</v>
      </c>
      <c r="K176" s="4">
        <f t="shared" si="20"/>
        <v>0</v>
      </c>
      <c r="L176" s="19" t="str">
        <f t="shared" si="21"/>
        <v>🆕 أول ظهور لهذه المادة</v>
      </c>
      <c r="M176" s="12">
        <f>IF(A176="","",IFERROR(INDEX(المدخلات!$M$4:$M$15,MATCH(A176,المدخلات!$L$4:$L$15,0)),""))</f>
        <v>13300</v>
      </c>
      <c r="N176" s="4">
        <f t="shared" si="22"/>
        <v>346680</v>
      </c>
      <c r="O176" s="4">
        <f t="shared" si="23"/>
        <v>0</v>
      </c>
    </row>
    <row r="177" spans="1:15">
      <c r="A177" s="11">
        <v>202606</v>
      </c>
      <c r="B177" s="19" t="s">
        <v>271</v>
      </c>
      <c r="C177" s="19" t="s">
        <v>232</v>
      </c>
      <c r="D177" s="55">
        <v>0</v>
      </c>
      <c r="E177" s="56">
        <v>0</v>
      </c>
      <c r="F177" s="19" t="s">
        <v>62</v>
      </c>
      <c r="G177" s="4">
        <f t="shared" si="16"/>
        <v>0</v>
      </c>
      <c r="H177" s="11">
        <f t="shared" si="17"/>
        <v>0</v>
      </c>
      <c r="I177" s="55" t="str">
        <f t="shared" si="18"/>
        <v/>
      </c>
      <c r="J177" s="55">
        <f t="shared" si="19"/>
        <v>0</v>
      </c>
      <c r="K177" s="4">
        <f t="shared" si="20"/>
        <v>0</v>
      </c>
      <c r="L177" s="19" t="str">
        <f t="shared" si="21"/>
        <v>🆕 أول ظهور لهذه المادة</v>
      </c>
      <c r="M177" s="12">
        <f>IF(A177="","",IFERROR(INDEX(المدخلات!$M$4:$M$15,MATCH(A177,المدخلات!$L$4:$L$15,0)),""))</f>
        <v>13300</v>
      </c>
      <c r="N177" s="4">
        <f t="shared" si="22"/>
        <v>0</v>
      </c>
      <c r="O177" s="4">
        <f t="shared" si="23"/>
        <v>0</v>
      </c>
    </row>
    <row r="178" spans="1:15">
      <c r="A178" s="11">
        <v>202606</v>
      </c>
      <c r="B178" s="19" t="s">
        <v>271</v>
      </c>
      <c r="C178" s="19" t="s">
        <v>233</v>
      </c>
      <c r="D178" s="55">
        <v>0</v>
      </c>
      <c r="E178" s="56">
        <v>0</v>
      </c>
      <c r="F178" s="19" t="s">
        <v>62</v>
      </c>
      <c r="G178" s="4">
        <f t="shared" si="16"/>
        <v>0</v>
      </c>
      <c r="H178" s="11">
        <f t="shared" si="17"/>
        <v>0</v>
      </c>
      <c r="I178" s="55" t="str">
        <f t="shared" si="18"/>
        <v/>
      </c>
      <c r="J178" s="55">
        <f t="shared" si="19"/>
        <v>0</v>
      </c>
      <c r="K178" s="4">
        <f t="shared" si="20"/>
        <v>0</v>
      </c>
      <c r="L178" s="19" t="str">
        <f t="shared" si="21"/>
        <v>🆕 أول ظهور لهذه المادة</v>
      </c>
      <c r="M178" s="12">
        <f>IF(A178="","",IFERROR(INDEX(المدخلات!$M$4:$M$15,MATCH(A178,المدخلات!$L$4:$L$15,0)),""))</f>
        <v>13300</v>
      </c>
      <c r="N178" s="4">
        <f t="shared" si="22"/>
        <v>0</v>
      </c>
      <c r="O178" s="4">
        <f t="shared" si="23"/>
        <v>0</v>
      </c>
    </row>
    <row r="179" spans="1:15">
      <c r="A179" s="11">
        <v>202606</v>
      </c>
      <c r="B179" s="19" t="s">
        <v>271</v>
      </c>
      <c r="C179" s="19" t="s">
        <v>234</v>
      </c>
      <c r="D179" s="55">
        <v>0</v>
      </c>
      <c r="E179" s="56">
        <v>21000</v>
      </c>
      <c r="F179" s="19" t="s">
        <v>62</v>
      </c>
      <c r="G179" s="4">
        <f t="shared" si="16"/>
        <v>0</v>
      </c>
      <c r="H179" s="11">
        <f t="shared" si="17"/>
        <v>0</v>
      </c>
      <c r="I179" s="55" t="str">
        <f t="shared" si="18"/>
        <v/>
      </c>
      <c r="J179" s="55">
        <f t="shared" si="19"/>
        <v>0</v>
      </c>
      <c r="K179" s="4">
        <f t="shared" si="20"/>
        <v>0</v>
      </c>
      <c r="L179" s="19" t="str">
        <f t="shared" si="21"/>
        <v>🆕 أول ظهور لهذه المادة</v>
      </c>
      <c r="M179" s="12">
        <f>IF(A179="","",IFERROR(INDEX(المدخلات!$M$4:$M$15,MATCH(A179,المدخلات!$L$4:$L$15,0)),""))</f>
        <v>13300</v>
      </c>
      <c r="N179" s="4">
        <f t="shared" si="22"/>
        <v>0</v>
      </c>
      <c r="O179" s="4">
        <f t="shared" si="23"/>
        <v>0</v>
      </c>
    </row>
    <row r="180" spans="1:15">
      <c r="A180" s="11">
        <v>202606</v>
      </c>
      <c r="B180" s="19" t="s">
        <v>271</v>
      </c>
      <c r="C180" s="19" t="s">
        <v>235</v>
      </c>
      <c r="D180" s="55">
        <v>1</v>
      </c>
      <c r="E180" s="56">
        <v>4500</v>
      </c>
      <c r="F180" s="19" t="s">
        <v>62</v>
      </c>
      <c r="G180" s="4">
        <f t="shared" si="16"/>
        <v>4500</v>
      </c>
      <c r="H180" s="11">
        <f t="shared" si="17"/>
        <v>0</v>
      </c>
      <c r="I180" s="55" t="str">
        <f t="shared" si="18"/>
        <v/>
      </c>
      <c r="J180" s="55">
        <f t="shared" si="19"/>
        <v>0</v>
      </c>
      <c r="K180" s="4">
        <f t="shared" si="20"/>
        <v>0</v>
      </c>
      <c r="L180" s="19" t="str">
        <f t="shared" si="21"/>
        <v>🆕 أول ظهور لهذه المادة</v>
      </c>
      <c r="M180" s="12">
        <f>IF(A180="","",IFERROR(INDEX(المدخلات!$M$4:$M$15,MATCH(A180,المدخلات!$L$4:$L$15,0)),""))</f>
        <v>13300</v>
      </c>
      <c r="N180" s="4">
        <f t="shared" si="22"/>
        <v>4500</v>
      </c>
      <c r="O180" s="4">
        <f t="shared" si="23"/>
        <v>0</v>
      </c>
    </row>
    <row r="181" spans="1:15">
      <c r="A181" s="11">
        <v>202606</v>
      </c>
      <c r="B181" s="19" t="s">
        <v>271</v>
      </c>
      <c r="C181" s="19" t="s">
        <v>328</v>
      </c>
      <c r="D181" s="55">
        <v>0</v>
      </c>
      <c r="E181" s="56">
        <v>0</v>
      </c>
      <c r="F181" s="19" t="s">
        <v>62</v>
      </c>
      <c r="G181" s="4">
        <f t="shared" si="16"/>
        <v>0</v>
      </c>
      <c r="H181" s="11">
        <f t="shared" si="17"/>
        <v>0</v>
      </c>
      <c r="I181" s="55" t="str">
        <f t="shared" si="18"/>
        <v/>
      </c>
      <c r="J181" s="55">
        <f t="shared" si="19"/>
        <v>0</v>
      </c>
      <c r="K181" s="4">
        <f t="shared" si="20"/>
        <v>0</v>
      </c>
      <c r="L181" s="19" t="str">
        <f t="shared" si="21"/>
        <v>🆕 أول ظهور لهذه المادة</v>
      </c>
      <c r="M181" s="12">
        <f>IF(A181="","",IFERROR(INDEX(المدخلات!$M$4:$M$15,MATCH(A181,المدخلات!$L$4:$L$15,0)),""))</f>
        <v>13300</v>
      </c>
      <c r="N181" s="4">
        <f t="shared" si="22"/>
        <v>0</v>
      </c>
      <c r="O181" s="4">
        <f t="shared" si="23"/>
        <v>0</v>
      </c>
    </row>
    <row r="182" spans="1:15">
      <c r="A182" s="11">
        <v>202606</v>
      </c>
      <c r="B182" s="19" t="s">
        <v>271</v>
      </c>
      <c r="C182" s="19" t="s">
        <v>236</v>
      </c>
      <c r="D182" s="55">
        <v>45</v>
      </c>
      <c r="E182" s="56">
        <v>9000</v>
      </c>
      <c r="F182" s="19" t="s">
        <v>62</v>
      </c>
      <c r="G182" s="4">
        <f t="shared" si="16"/>
        <v>405000</v>
      </c>
      <c r="H182" s="11">
        <f t="shared" si="17"/>
        <v>0</v>
      </c>
      <c r="I182" s="55" t="str">
        <f t="shared" si="18"/>
        <v/>
      </c>
      <c r="J182" s="55">
        <f t="shared" si="19"/>
        <v>0</v>
      </c>
      <c r="K182" s="4">
        <f t="shared" si="20"/>
        <v>0</v>
      </c>
      <c r="L182" s="19" t="str">
        <f t="shared" si="21"/>
        <v>🆕 أول ظهور لهذه المادة</v>
      </c>
      <c r="M182" s="12">
        <f>IF(A182="","",IFERROR(INDEX(المدخلات!$M$4:$M$15,MATCH(A182,المدخلات!$L$4:$L$15,0)),""))</f>
        <v>13300</v>
      </c>
      <c r="N182" s="4">
        <f t="shared" si="22"/>
        <v>405000</v>
      </c>
      <c r="O182" s="4">
        <f t="shared" si="23"/>
        <v>0</v>
      </c>
    </row>
    <row r="183" spans="1:15">
      <c r="A183" s="11">
        <v>202606</v>
      </c>
      <c r="B183" s="19" t="s">
        <v>271</v>
      </c>
      <c r="C183" s="19" t="s">
        <v>237</v>
      </c>
      <c r="D183" s="55">
        <v>0</v>
      </c>
      <c r="E183" s="56">
        <v>200000</v>
      </c>
      <c r="F183" s="19" t="s">
        <v>62</v>
      </c>
      <c r="G183" s="4">
        <f t="shared" si="16"/>
        <v>0</v>
      </c>
      <c r="H183" s="11">
        <f t="shared" si="17"/>
        <v>0</v>
      </c>
      <c r="I183" s="55" t="str">
        <f t="shared" si="18"/>
        <v/>
      </c>
      <c r="J183" s="55">
        <f t="shared" si="19"/>
        <v>0</v>
      </c>
      <c r="K183" s="4">
        <f t="shared" si="20"/>
        <v>0</v>
      </c>
      <c r="L183" s="19" t="str">
        <f t="shared" si="21"/>
        <v>🆕 أول ظهور لهذه المادة</v>
      </c>
      <c r="M183" s="12">
        <f>IF(A183="","",IFERROR(INDEX(المدخلات!$M$4:$M$15,MATCH(A183,المدخلات!$L$4:$L$15,0)),""))</f>
        <v>13300</v>
      </c>
      <c r="N183" s="4">
        <f t="shared" si="22"/>
        <v>0</v>
      </c>
      <c r="O183" s="4">
        <f t="shared" si="23"/>
        <v>0</v>
      </c>
    </row>
    <row r="184" spans="1:15">
      <c r="A184" s="11">
        <v>202606</v>
      </c>
      <c r="B184" s="19" t="s">
        <v>271</v>
      </c>
      <c r="C184" s="19" t="s">
        <v>329</v>
      </c>
      <c r="D184" s="55">
        <v>19.87</v>
      </c>
      <c r="E184" s="56">
        <v>84000</v>
      </c>
      <c r="F184" s="19" t="s">
        <v>62</v>
      </c>
      <c r="G184" s="4">
        <f t="shared" si="16"/>
        <v>1669080</v>
      </c>
      <c r="H184" s="11">
        <f t="shared" si="17"/>
        <v>0</v>
      </c>
      <c r="I184" s="55" t="str">
        <f t="shared" si="18"/>
        <v/>
      </c>
      <c r="J184" s="55">
        <f t="shared" si="19"/>
        <v>0</v>
      </c>
      <c r="K184" s="4">
        <f t="shared" si="20"/>
        <v>0</v>
      </c>
      <c r="L184" s="19" t="str">
        <f t="shared" si="21"/>
        <v>🆕 أول ظهور لهذه المادة</v>
      </c>
      <c r="M184" s="12">
        <f>IF(A184="","",IFERROR(INDEX(المدخلات!$M$4:$M$15,MATCH(A184,المدخلات!$L$4:$L$15,0)),""))</f>
        <v>13300</v>
      </c>
      <c r="N184" s="4">
        <f t="shared" si="22"/>
        <v>1669080</v>
      </c>
      <c r="O184" s="4">
        <f t="shared" si="23"/>
        <v>0</v>
      </c>
    </row>
    <row r="185" spans="1:15">
      <c r="A185" s="11">
        <v>202606</v>
      </c>
      <c r="B185" s="19" t="s">
        <v>271</v>
      </c>
      <c r="C185" s="19" t="s">
        <v>330</v>
      </c>
      <c r="D185" s="55">
        <v>11.16</v>
      </c>
      <c r="E185" s="56">
        <v>126000</v>
      </c>
      <c r="F185" s="19" t="s">
        <v>62</v>
      </c>
      <c r="G185" s="4">
        <f t="shared" si="16"/>
        <v>1406160</v>
      </c>
      <c r="H185" s="11">
        <f t="shared" si="17"/>
        <v>0</v>
      </c>
      <c r="I185" s="55" t="str">
        <f t="shared" si="18"/>
        <v/>
      </c>
      <c r="J185" s="55">
        <f t="shared" si="19"/>
        <v>0</v>
      </c>
      <c r="K185" s="4">
        <f t="shared" si="20"/>
        <v>0</v>
      </c>
      <c r="L185" s="19" t="str">
        <f t="shared" si="21"/>
        <v>🆕 أول ظهور لهذه المادة</v>
      </c>
      <c r="M185" s="12">
        <f>IF(A185="","",IFERROR(INDEX(المدخلات!$M$4:$M$15,MATCH(A185,المدخلات!$L$4:$L$15,0)),""))</f>
        <v>13300</v>
      </c>
      <c r="N185" s="4">
        <f t="shared" si="22"/>
        <v>1406160</v>
      </c>
      <c r="O185" s="4">
        <f t="shared" si="23"/>
        <v>0</v>
      </c>
    </row>
    <row r="186" spans="1:15">
      <c r="A186" s="11">
        <v>202606</v>
      </c>
      <c r="B186" s="19" t="s">
        <v>271</v>
      </c>
      <c r="C186" s="19" t="s">
        <v>238</v>
      </c>
      <c r="D186" s="55">
        <v>93.75</v>
      </c>
      <c r="E186" s="56">
        <v>96000</v>
      </c>
      <c r="F186" s="19" t="s">
        <v>62</v>
      </c>
      <c r="G186" s="4">
        <f t="shared" si="16"/>
        <v>9000000</v>
      </c>
      <c r="H186" s="11">
        <f t="shared" si="17"/>
        <v>0</v>
      </c>
      <c r="I186" s="55" t="str">
        <f t="shared" si="18"/>
        <v/>
      </c>
      <c r="J186" s="55">
        <f t="shared" si="19"/>
        <v>0</v>
      </c>
      <c r="K186" s="4">
        <f t="shared" si="20"/>
        <v>0</v>
      </c>
      <c r="L186" s="19" t="str">
        <f t="shared" si="21"/>
        <v>🆕 أول ظهور لهذه المادة</v>
      </c>
      <c r="M186" s="12">
        <f>IF(A186="","",IFERROR(INDEX(المدخلات!$M$4:$M$15,MATCH(A186,المدخلات!$L$4:$L$15,0)),""))</f>
        <v>13300</v>
      </c>
      <c r="N186" s="4">
        <f t="shared" si="22"/>
        <v>9000000</v>
      </c>
      <c r="O186" s="4">
        <f t="shared" si="23"/>
        <v>0</v>
      </c>
    </row>
    <row r="187" spans="1:15">
      <c r="A187" s="11">
        <v>202606</v>
      </c>
      <c r="B187" s="19" t="s">
        <v>271</v>
      </c>
      <c r="C187" s="19" t="s">
        <v>239</v>
      </c>
      <c r="D187" s="55">
        <v>80</v>
      </c>
      <c r="E187" s="56">
        <v>15000</v>
      </c>
      <c r="F187" s="19" t="s">
        <v>62</v>
      </c>
      <c r="G187" s="4">
        <f t="shared" si="16"/>
        <v>1200000</v>
      </c>
      <c r="H187" s="11">
        <f t="shared" si="17"/>
        <v>0</v>
      </c>
      <c r="I187" s="55" t="str">
        <f t="shared" si="18"/>
        <v/>
      </c>
      <c r="J187" s="55">
        <f t="shared" si="19"/>
        <v>0</v>
      </c>
      <c r="K187" s="4">
        <f t="shared" si="20"/>
        <v>0</v>
      </c>
      <c r="L187" s="19" t="str">
        <f t="shared" si="21"/>
        <v>🆕 أول ظهور لهذه المادة</v>
      </c>
      <c r="M187" s="12">
        <f>IF(A187="","",IFERROR(INDEX(المدخلات!$M$4:$M$15,MATCH(A187,المدخلات!$L$4:$L$15,0)),""))</f>
        <v>13300</v>
      </c>
      <c r="N187" s="4">
        <f t="shared" si="22"/>
        <v>1200000</v>
      </c>
      <c r="O187" s="4">
        <f t="shared" si="23"/>
        <v>0</v>
      </c>
    </row>
    <row r="188" spans="1:15">
      <c r="A188" s="11">
        <v>202606</v>
      </c>
      <c r="B188" s="19" t="s">
        <v>271</v>
      </c>
      <c r="C188" s="19" t="s">
        <v>240</v>
      </c>
      <c r="D188" s="55">
        <v>0</v>
      </c>
      <c r="E188" s="56">
        <v>170000</v>
      </c>
      <c r="F188" s="19" t="s">
        <v>62</v>
      </c>
      <c r="G188" s="4">
        <f t="shared" si="16"/>
        <v>0</v>
      </c>
      <c r="H188" s="11">
        <f t="shared" si="17"/>
        <v>0</v>
      </c>
      <c r="I188" s="55" t="str">
        <f t="shared" si="18"/>
        <v/>
      </c>
      <c r="J188" s="55">
        <f t="shared" si="19"/>
        <v>0</v>
      </c>
      <c r="K188" s="4">
        <f t="shared" si="20"/>
        <v>0</v>
      </c>
      <c r="L188" s="19" t="str">
        <f t="shared" si="21"/>
        <v>🆕 أول ظهور لهذه المادة</v>
      </c>
      <c r="M188" s="12">
        <f>IF(A188="","",IFERROR(INDEX(المدخلات!$M$4:$M$15,MATCH(A188,المدخلات!$L$4:$L$15,0)),""))</f>
        <v>13300</v>
      </c>
      <c r="N188" s="4">
        <f t="shared" si="22"/>
        <v>0</v>
      </c>
      <c r="O188" s="4">
        <f t="shared" si="23"/>
        <v>0</v>
      </c>
    </row>
    <row r="189" spans="1:15">
      <c r="A189" s="11">
        <v>202606</v>
      </c>
      <c r="B189" s="19" t="s">
        <v>271</v>
      </c>
      <c r="C189" s="19" t="s">
        <v>331</v>
      </c>
      <c r="D189" s="55">
        <v>230</v>
      </c>
      <c r="E189" s="56">
        <v>0</v>
      </c>
      <c r="F189" s="19" t="s">
        <v>62</v>
      </c>
      <c r="G189" s="4">
        <f t="shared" si="16"/>
        <v>0</v>
      </c>
      <c r="H189" s="11">
        <f t="shared" si="17"/>
        <v>0</v>
      </c>
      <c r="I189" s="55" t="str">
        <f t="shared" si="18"/>
        <v/>
      </c>
      <c r="J189" s="55">
        <f t="shared" si="19"/>
        <v>0</v>
      </c>
      <c r="K189" s="4">
        <f t="shared" si="20"/>
        <v>0</v>
      </c>
      <c r="L189" s="19" t="str">
        <f t="shared" si="21"/>
        <v>🆕 أول ظهور لهذه المادة</v>
      </c>
      <c r="M189" s="12">
        <f>IF(A189="","",IFERROR(INDEX(المدخلات!$M$4:$M$15,MATCH(A189,المدخلات!$L$4:$L$15,0)),""))</f>
        <v>13300</v>
      </c>
      <c r="N189" s="4">
        <f t="shared" si="22"/>
        <v>0</v>
      </c>
      <c r="O189" s="4">
        <f t="shared" si="23"/>
        <v>0</v>
      </c>
    </row>
    <row r="190" spans="1:15">
      <c r="A190" s="11">
        <v>202606</v>
      </c>
      <c r="B190" s="19" t="s">
        <v>271</v>
      </c>
      <c r="C190" s="19" t="s">
        <v>241</v>
      </c>
      <c r="D190" s="55">
        <v>0</v>
      </c>
      <c r="E190" s="56">
        <v>0</v>
      </c>
      <c r="F190" s="19" t="s">
        <v>62</v>
      </c>
      <c r="G190" s="4">
        <f t="shared" si="16"/>
        <v>0</v>
      </c>
      <c r="H190" s="11">
        <f t="shared" si="17"/>
        <v>0</v>
      </c>
      <c r="I190" s="55" t="str">
        <f t="shared" si="18"/>
        <v/>
      </c>
      <c r="J190" s="55">
        <f t="shared" si="19"/>
        <v>0</v>
      </c>
      <c r="K190" s="4">
        <f t="shared" si="20"/>
        <v>0</v>
      </c>
      <c r="L190" s="19" t="str">
        <f t="shared" si="21"/>
        <v>🆕 أول ظهور لهذه المادة</v>
      </c>
      <c r="M190" s="12">
        <f>IF(A190="","",IFERROR(INDEX(المدخلات!$M$4:$M$15,MATCH(A190,المدخلات!$L$4:$L$15,0)),""))</f>
        <v>13300</v>
      </c>
      <c r="N190" s="4">
        <f t="shared" si="22"/>
        <v>0</v>
      </c>
      <c r="O190" s="4">
        <f t="shared" si="23"/>
        <v>0</v>
      </c>
    </row>
    <row r="191" spans="1:15">
      <c r="A191" s="11">
        <v>202606</v>
      </c>
      <c r="B191" s="19" t="s">
        <v>271</v>
      </c>
      <c r="C191" s="19" t="s">
        <v>332</v>
      </c>
      <c r="D191" s="55">
        <v>3521</v>
      </c>
      <c r="E191" s="56">
        <v>0</v>
      </c>
      <c r="F191" s="19" t="s">
        <v>62</v>
      </c>
      <c r="G191" s="4">
        <f t="shared" si="16"/>
        <v>0</v>
      </c>
      <c r="H191" s="11">
        <f t="shared" si="17"/>
        <v>0</v>
      </c>
      <c r="I191" s="55" t="str">
        <f t="shared" si="18"/>
        <v/>
      </c>
      <c r="J191" s="55">
        <f t="shared" si="19"/>
        <v>0</v>
      </c>
      <c r="K191" s="4">
        <f t="shared" si="20"/>
        <v>0</v>
      </c>
      <c r="L191" s="19" t="str">
        <f t="shared" si="21"/>
        <v>🆕 أول ظهور لهذه المادة</v>
      </c>
      <c r="M191" s="12">
        <f>IF(A191="","",IFERROR(INDEX(المدخلات!$M$4:$M$15,MATCH(A191,المدخلات!$L$4:$L$15,0)),""))</f>
        <v>13300</v>
      </c>
      <c r="N191" s="4">
        <f t="shared" si="22"/>
        <v>0</v>
      </c>
      <c r="O191" s="4">
        <f t="shared" si="23"/>
        <v>0</v>
      </c>
    </row>
    <row r="192" spans="1:15">
      <c r="A192" s="11">
        <v>202606</v>
      </c>
      <c r="B192" s="19" t="s">
        <v>271</v>
      </c>
      <c r="C192" s="19" t="s">
        <v>333</v>
      </c>
      <c r="D192" s="55">
        <v>138</v>
      </c>
      <c r="E192" s="56">
        <v>0</v>
      </c>
      <c r="F192" s="19" t="s">
        <v>62</v>
      </c>
      <c r="G192" s="4">
        <f t="shared" si="16"/>
        <v>0</v>
      </c>
      <c r="H192" s="11">
        <f t="shared" si="17"/>
        <v>0</v>
      </c>
      <c r="I192" s="55" t="str">
        <f t="shared" si="18"/>
        <v/>
      </c>
      <c r="J192" s="55">
        <f t="shared" si="19"/>
        <v>0</v>
      </c>
      <c r="K192" s="4">
        <f t="shared" si="20"/>
        <v>0</v>
      </c>
      <c r="L192" s="19" t="str">
        <f t="shared" si="21"/>
        <v>🆕 أول ظهور لهذه المادة</v>
      </c>
      <c r="M192" s="12">
        <f>IF(A192="","",IFERROR(INDEX(المدخلات!$M$4:$M$15,MATCH(A192,المدخلات!$L$4:$L$15,0)),""))</f>
        <v>13300</v>
      </c>
      <c r="N192" s="4">
        <f t="shared" si="22"/>
        <v>0</v>
      </c>
      <c r="O192" s="4">
        <f t="shared" si="23"/>
        <v>0</v>
      </c>
    </row>
    <row r="193" spans="1:15">
      <c r="A193" s="11">
        <v>202606</v>
      </c>
      <c r="B193" s="19" t="s">
        <v>271</v>
      </c>
      <c r="C193" s="19" t="s">
        <v>242</v>
      </c>
      <c r="D193" s="55">
        <v>0</v>
      </c>
      <c r="E193" s="56">
        <v>3000</v>
      </c>
      <c r="F193" s="19" t="s">
        <v>62</v>
      </c>
      <c r="G193" s="4">
        <f t="shared" si="16"/>
        <v>0</v>
      </c>
      <c r="H193" s="11">
        <f t="shared" si="17"/>
        <v>0</v>
      </c>
      <c r="I193" s="55" t="str">
        <f t="shared" si="18"/>
        <v/>
      </c>
      <c r="J193" s="55">
        <f t="shared" si="19"/>
        <v>0</v>
      </c>
      <c r="K193" s="4">
        <f t="shared" si="20"/>
        <v>0</v>
      </c>
      <c r="L193" s="19" t="str">
        <f t="shared" si="21"/>
        <v>🆕 أول ظهور لهذه المادة</v>
      </c>
      <c r="M193" s="12">
        <f>IF(A193="","",IFERROR(INDEX(المدخلات!$M$4:$M$15,MATCH(A193,المدخلات!$L$4:$L$15,0)),""))</f>
        <v>13300</v>
      </c>
      <c r="N193" s="4">
        <f t="shared" si="22"/>
        <v>0</v>
      </c>
      <c r="O193" s="4">
        <f t="shared" si="23"/>
        <v>0</v>
      </c>
    </row>
    <row r="194" spans="1:15">
      <c r="A194" s="11">
        <v>202606</v>
      </c>
      <c r="B194" s="19" t="s">
        <v>271</v>
      </c>
      <c r="C194" s="19" t="s">
        <v>334</v>
      </c>
      <c r="D194" s="55">
        <v>1</v>
      </c>
      <c r="E194" s="56">
        <v>302400</v>
      </c>
      <c r="F194" s="19" t="s">
        <v>62</v>
      </c>
      <c r="G194" s="4">
        <f t="shared" si="16"/>
        <v>302400</v>
      </c>
      <c r="H194" s="11">
        <f t="shared" si="17"/>
        <v>0</v>
      </c>
      <c r="I194" s="55" t="str">
        <f t="shared" si="18"/>
        <v/>
      </c>
      <c r="J194" s="55">
        <f t="shared" si="19"/>
        <v>0</v>
      </c>
      <c r="K194" s="4">
        <f t="shared" si="20"/>
        <v>0</v>
      </c>
      <c r="L194" s="19" t="str">
        <f t="shared" si="21"/>
        <v>🆕 أول ظهور لهذه المادة</v>
      </c>
      <c r="M194" s="12">
        <f>IF(A194="","",IFERROR(INDEX(المدخلات!$M$4:$M$15,MATCH(A194,المدخلات!$L$4:$L$15,0)),""))</f>
        <v>13300</v>
      </c>
      <c r="N194" s="4">
        <f t="shared" si="22"/>
        <v>302400</v>
      </c>
      <c r="O194" s="4">
        <f t="shared" si="23"/>
        <v>0</v>
      </c>
    </row>
    <row r="195" spans="1:15">
      <c r="A195" s="11">
        <v>202606</v>
      </c>
      <c r="B195" s="19" t="s">
        <v>271</v>
      </c>
      <c r="C195" s="19" t="s">
        <v>243</v>
      </c>
      <c r="D195" s="55">
        <v>908</v>
      </c>
      <c r="E195" s="56">
        <v>7500</v>
      </c>
      <c r="F195" s="19" t="s">
        <v>62</v>
      </c>
      <c r="G195" s="4">
        <f t="shared" si="16"/>
        <v>6810000</v>
      </c>
      <c r="H195" s="11">
        <f t="shared" si="17"/>
        <v>0</v>
      </c>
      <c r="I195" s="55" t="str">
        <f t="shared" si="18"/>
        <v/>
      </c>
      <c r="J195" s="55">
        <f t="shared" si="19"/>
        <v>0</v>
      </c>
      <c r="K195" s="4">
        <f t="shared" si="20"/>
        <v>0</v>
      </c>
      <c r="L195" s="19" t="str">
        <f t="shared" si="21"/>
        <v>🆕 أول ظهور لهذه المادة</v>
      </c>
      <c r="M195" s="12">
        <f>IF(A195="","",IFERROR(INDEX(المدخلات!$M$4:$M$15,MATCH(A195,المدخلات!$L$4:$L$15,0)),""))</f>
        <v>13300</v>
      </c>
      <c r="N195" s="4">
        <f t="shared" si="22"/>
        <v>6810000</v>
      </c>
      <c r="O195" s="4">
        <f t="shared" si="23"/>
        <v>0</v>
      </c>
    </row>
    <row r="196" spans="1:15">
      <c r="A196" s="11">
        <v>202606</v>
      </c>
      <c r="B196" s="19" t="s">
        <v>271</v>
      </c>
      <c r="C196" s="19" t="s">
        <v>244</v>
      </c>
      <c r="D196" s="55">
        <v>7.9</v>
      </c>
      <c r="E196" s="56">
        <v>17000</v>
      </c>
      <c r="F196" s="19" t="s">
        <v>62</v>
      </c>
      <c r="G196" s="4">
        <f t="shared" si="16"/>
        <v>134300</v>
      </c>
      <c r="H196" s="11">
        <f t="shared" si="17"/>
        <v>0</v>
      </c>
      <c r="I196" s="55" t="str">
        <f t="shared" si="18"/>
        <v/>
      </c>
      <c r="J196" s="55">
        <f t="shared" si="19"/>
        <v>0</v>
      </c>
      <c r="K196" s="4">
        <f t="shared" si="20"/>
        <v>0</v>
      </c>
      <c r="L196" s="19" t="str">
        <f t="shared" si="21"/>
        <v>🆕 أول ظهور لهذه المادة</v>
      </c>
      <c r="M196" s="12">
        <f>IF(A196="","",IFERROR(INDEX(المدخلات!$M$4:$M$15,MATCH(A196,المدخلات!$L$4:$L$15,0)),""))</f>
        <v>13300</v>
      </c>
      <c r="N196" s="4">
        <f t="shared" si="22"/>
        <v>134300</v>
      </c>
      <c r="O196" s="4">
        <f t="shared" si="23"/>
        <v>0</v>
      </c>
    </row>
    <row r="197" spans="1:15">
      <c r="A197" s="11">
        <v>202606</v>
      </c>
      <c r="B197" s="19" t="s">
        <v>271</v>
      </c>
      <c r="C197" s="19" t="s">
        <v>245</v>
      </c>
      <c r="D197" s="55">
        <v>71.599999999999994</v>
      </c>
      <c r="E197" s="56">
        <v>35000</v>
      </c>
      <c r="F197" s="19" t="s">
        <v>62</v>
      </c>
      <c r="G197" s="4">
        <f t="shared" ref="G197:G260" si="24">IF(OR(D197="",E197=""),"",D197*E197)</f>
        <v>2506000</v>
      </c>
      <c r="H197" s="11">
        <f t="shared" ref="H197:H260" si="25">IF(C197="","",IFERROR(_xlfn.MAXIFS($A$5:$A$2003,$C$5:$C$2003,C197,$A$5:$A$2003,"&lt;"&amp;A197),0))</f>
        <v>0</v>
      </c>
      <c r="I197" s="55" t="str">
        <f t="shared" ref="I197:I260" si="26">IF(OR(H197="",H197=0),"",IFERROR(SUMIFS($D$5:$D$2003,$C$5:$C$2003,C197,$A$5:$A$2003,H197),""))</f>
        <v/>
      </c>
      <c r="J197" s="55">
        <f t="shared" ref="J197:J260" si="27">IF(C197="","",IF(I197="",0,MAX(I197-D197,0)))</f>
        <v>0</v>
      </c>
      <c r="K197" s="4">
        <f t="shared" ref="K197:K260" si="28">IF(J197="","",J197*E197)</f>
        <v>0</v>
      </c>
      <c r="L197" s="19" t="str">
        <f t="shared" ref="L197:L260" si="29">IF(C197="","",IF(COUNTIFS($A$5:$A$2003,A197,$C$5:$C$2003,C197)&gt;1,"⚠️ مادة مكررة بنفس الشهر",IF(OR(H197="",H197=0),"🆕 أول ظهور لهذه المادة",IF(D197&gt;I197,"ℹ️ زيادة كمية (شراء/تصحيح) - لا تُحتسب استهلاكاً",IF(D197=I197,"➖ لا تغيير","")))))</f>
        <v>🆕 أول ظهور لهذه المادة</v>
      </c>
      <c r="M197" s="12">
        <f>IF(A197="","",IFERROR(INDEX(المدخلات!$M$4:$M$15,MATCH(A197,المدخلات!$L$4:$L$15,0)),""))</f>
        <v>13300</v>
      </c>
      <c r="N197" s="4">
        <f t="shared" ref="N197:N260" si="30">IF(OR(G197="",F197=""),"",IF(F197="دولار أمريكي",IF(M197="","⚠️ لا يوجد سعر صرف",G197*M197),G197))</f>
        <v>2506000</v>
      </c>
      <c r="O197" s="4">
        <f t="shared" ref="O197:O260" si="31">IF(OR(K197="",F197=""),"",IF(F197="دولار أمريكي",IF(M197="","⚠️ لا يوجد سعر صرف",K197*M197),K197))</f>
        <v>0</v>
      </c>
    </row>
    <row r="198" spans="1:15">
      <c r="A198" s="11">
        <v>202606</v>
      </c>
      <c r="B198" s="19" t="s">
        <v>271</v>
      </c>
      <c r="C198" s="19" t="s">
        <v>246</v>
      </c>
      <c r="D198" s="55">
        <v>0</v>
      </c>
      <c r="E198" s="56">
        <v>16000</v>
      </c>
      <c r="F198" s="19" t="s">
        <v>62</v>
      </c>
      <c r="G198" s="4">
        <f t="shared" si="24"/>
        <v>0</v>
      </c>
      <c r="H198" s="11">
        <f t="shared" si="25"/>
        <v>0</v>
      </c>
      <c r="I198" s="55" t="str">
        <f t="shared" si="26"/>
        <v/>
      </c>
      <c r="J198" s="55">
        <f t="shared" si="27"/>
        <v>0</v>
      </c>
      <c r="K198" s="4">
        <f t="shared" si="28"/>
        <v>0</v>
      </c>
      <c r="L198" s="19" t="str">
        <f t="shared" si="29"/>
        <v>🆕 أول ظهور لهذه المادة</v>
      </c>
      <c r="M198" s="12">
        <f>IF(A198="","",IFERROR(INDEX(المدخلات!$M$4:$M$15,MATCH(A198,المدخلات!$L$4:$L$15,0)),""))</f>
        <v>13300</v>
      </c>
      <c r="N198" s="4">
        <f t="shared" si="30"/>
        <v>0</v>
      </c>
      <c r="O198" s="4">
        <f t="shared" si="31"/>
        <v>0</v>
      </c>
    </row>
    <row r="199" spans="1:15">
      <c r="A199" s="11">
        <v>202606</v>
      </c>
      <c r="B199" s="19" t="s">
        <v>271</v>
      </c>
      <c r="C199" s="19" t="s">
        <v>247</v>
      </c>
      <c r="D199" s="55">
        <v>14</v>
      </c>
      <c r="E199" s="56">
        <v>9000</v>
      </c>
      <c r="F199" s="19" t="s">
        <v>62</v>
      </c>
      <c r="G199" s="4">
        <f t="shared" si="24"/>
        <v>126000</v>
      </c>
      <c r="H199" s="11">
        <f t="shared" si="25"/>
        <v>0</v>
      </c>
      <c r="I199" s="55" t="str">
        <f t="shared" si="26"/>
        <v/>
      </c>
      <c r="J199" s="55">
        <f t="shared" si="27"/>
        <v>0</v>
      </c>
      <c r="K199" s="4">
        <f t="shared" si="28"/>
        <v>0</v>
      </c>
      <c r="L199" s="19" t="str">
        <f t="shared" si="29"/>
        <v>🆕 أول ظهور لهذه المادة</v>
      </c>
      <c r="M199" s="12">
        <f>IF(A199="","",IFERROR(INDEX(المدخلات!$M$4:$M$15,MATCH(A199,المدخلات!$L$4:$L$15,0)),""))</f>
        <v>13300</v>
      </c>
      <c r="N199" s="4">
        <f t="shared" si="30"/>
        <v>126000</v>
      </c>
      <c r="O199" s="4">
        <f t="shared" si="31"/>
        <v>0</v>
      </c>
    </row>
    <row r="200" spans="1:15">
      <c r="A200" s="11">
        <v>202606</v>
      </c>
      <c r="B200" s="19" t="s">
        <v>271</v>
      </c>
      <c r="C200" s="19" t="s">
        <v>335</v>
      </c>
      <c r="D200" s="55">
        <v>7</v>
      </c>
      <c r="E200" s="56">
        <v>150000</v>
      </c>
      <c r="F200" s="19" t="s">
        <v>62</v>
      </c>
      <c r="G200" s="4">
        <f t="shared" si="24"/>
        <v>1050000</v>
      </c>
      <c r="H200" s="11">
        <f t="shared" si="25"/>
        <v>0</v>
      </c>
      <c r="I200" s="55" t="str">
        <f t="shared" si="26"/>
        <v/>
      </c>
      <c r="J200" s="55">
        <f t="shared" si="27"/>
        <v>0</v>
      </c>
      <c r="K200" s="4">
        <f t="shared" si="28"/>
        <v>0</v>
      </c>
      <c r="L200" s="19" t="str">
        <f t="shared" si="29"/>
        <v>🆕 أول ظهور لهذه المادة</v>
      </c>
      <c r="M200" s="12">
        <f>IF(A200="","",IFERROR(INDEX(المدخلات!$M$4:$M$15,MATCH(A200,المدخلات!$L$4:$L$15,0)),""))</f>
        <v>13300</v>
      </c>
      <c r="N200" s="4">
        <f t="shared" si="30"/>
        <v>1050000</v>
      </c>
      <c r="O200" s="4">
        <f t="shared" si="31"/>
        <v>0</v>
      </c>
    </row>
    <row r="201" spans="1:15">
      <c r="A201" s="11">
        <v>202606</v>
      </c>
      <c r="B201" s="19" t="s">
        <v>271</v>
      </c>
      <c r="C201" s="19" t="s">
        <v>248</v>
      </c>
      <c r="D201" s="55">
        <v>0</v>
      </c>
      <c r="E201" s="56">
        <v>20000</v>
      </c>
      <c r="F201" s="19" t="s">
        <v>62</v>
      </c>
      <c r="G201" s="4">
        <f t="shared" si="24"/>
        <v>0</v>
      </c>
      <c r="H201" s="11">
        <f t="shared" si="25"/>
        <v>0</v>
      </c>
      <c r="I201" s="55" t="str">
        <f t="shared" si="26"/>
        <v/>
      </c>
      <c r="J201" s="55">
        <f t="shared" si="27"/>
        <v>0</v>
      </c>
      <c r="K201" s="4">
        <f t="shared" si="28"/>
        <v>0</v>
      </c>
      <c r="L201" s="19" t="str">
        <f t="shared" si="29"/>
        <v>🆕 أول ظهور لهذه المادة</v>
      </c>
      <c r="M201" s="12">
        <f>IF(A201="","",IFERROR(INDEX(المدخلات!$M$4:$M$15,MATCH(A201,المدخلات!$L$4:$L$15,0)),""))</f>
        <v>13300</v>
      </c>
      <c r="N201" s="4">
        <f t="shared" si="30"/>
        <v>0</v>
      </c>
      <c r="O201" s="4">
        <f t="shared" si="31"/>
        <v>0</v>
      </c>
    </row>
    <row r="202" spans="1:15">
      <c r="A202" s="11">
        <v>202606</v>
      </c>
      <c r="B202" s="19" t="s">
        <v>271</v>
      </c>
      <c r="C202" s="19" t="s">
        <v>249</v>
      </c>
      <c r="D202" s="55">
        <v>2335</v>
      </c>
      <c r="E202" s="56">
        <v>2500</v>
      </c>
      <c r="F202" s="19" t="s">
        <v>62</v>
      </c>
      <c r="G202" s="4">
        <f t="shared" si="24"/>
        <v>5837500</v>
      </c>
      <c r="H202" s="11">
        <f t="shared" si="25"/>
        <v>0</v>
      </c>
      <c r="I202" s="55" t="str">
        <f t="shared" si="26"/>
        <v/>
      </c>
      <c r="J202" s="55">
        <f t="shared" si="27"/>
        <v>0</v>
      </c>
      <c r="K202" s="4">
        <f t="shared" si="28"/>
        <v>0</v>
      </c>
      <c r="L202" s="19" t="str">
        <f t="shared" si="29"/>
        <v>🆕 أول ظهور لهذه المادة</v>
      </c>
      <c r="M202" s="12">
        <f>IF(A202="","",IFERROR(INDEX(المدخلات!$M$4:$M$15,MATCH(A202,المدخلات!$L$4:$L$15,0)),""))</f>
        <v>13300</v>
      </c>
      <c r="N202" s="4">
        <f t="shared" si="30"/>
        <v>5837500</v>
      </c>
      <c r="O202" s="4">
        <f t="shared" si="31"/>
        <v>0</v>
      </c>
    </row>
    <row r="203" spans="1:15">
      <c r="A203" s="11">
        <v>202606</v>
      </c>
      <c r="B203" s="19" t="s">
        <v>271</v>
      </c>
      <c r="C203" s="19" t="s">
        <v>250</v>
      </c>
      <c r="D203" s="55">
        <v>29</v>
      </c>
      <c r="E203" s="56">
        <v>0</v>
      </c>
      <c r="F203" s="19" t="s">
        <v>62</v>
      </c>
      <c r="G203" s="4">
        <f t="shared" si="24"/>
        <v>0</v>
      </c>
      <c r="H203" s="11">
        <f t="shared" si="25"/>
        <v>0</v>
      </c>
      <c r="I203" s="55" t="str">
        <f t="shared" si="26"/>
        <v/>
      </c>
      <c r="J203" s="55">
        <f t="shared" si="27"/>
        <v>0</v>
      </c>
      <c r="K203" s="4">
        <f t="shared" si="28"/>
        <v>0</v>
      </c>
      <c r="L203" s="19" t="str">
        <f t="shared" si="29"/>
        <v>🆕 أول ظهور لهذه المادة</v>
      </c>
      <c r="M203" s="12">
        <f>IF(A203="","",IFERROR(INDEX(المدخلات!$M$4:$M$15,MATCH(A203,المدخلات!$L$4:$L$15,0)),""))</f>
        <v>13300</v>
      </c>
      <c r="N203" s="4">
        <f t="shared" si="30"/>
        <v>0</v>
      </c>
      <c r="O203" s="4">
        <f t="shared" si="31"/>
        <v>0</v>
      </c>
    </row>
    <row r="204" spans="1:15">
      <c r="A204" s="11">
        <v>202606</v>
      </c>
      <c r="B204" s="19" t="s">
        <v>271</v>
      </c>
      <c r="C204" s="19" t="s">
        <v>336</v>
      </c>
      <c r="D204" s="55">
        <v>34</v>
      </c>
      <c r="E204" s="56">
        <v>41500</v>
      </c>
      <c r="F204" s="19" t="s">
        <v>62</v>
      </c>
      <c r="G204" s="4">
        <f t="shared" si="24"/>
        <v>1411000</v>
      </c>
      <c r="H204" s="11">
        <f t="shared" si="25"/>
        <v>0</v>
      </c>
      <c r="I204" s="55" t="str">
        <f t="shared" si="26"/>
        <v/>
      </c>
      <c r="J204" s="55">
        <f t="shared" si="27"/>
        <v>0</v>
      </c>
      <c r="K204" s="4">
        <f t="shared" si="28"/>
        <v>0</v>
      </c>
      <c r="L204" s="19" t="str">
        <f t="shared" si="29"/>
        <v>🆕 أول ظهور لهذه المادة</v>
      </c>
      <c r="M204" s="12">
        <f>IF(A204="","",IFERROR(INDEX(المدخلات!$M$4:$M$15,MATCH(A204,المدخلات!$L$4:$L$15,0)),""))</f>
        <v>13300</v>
      </c>
      <c r="N204" s="4">
        <f t="shared" si="30"/>
        <v>1411000</v>
      </c>
      <c r="O204" s="4">
        <f t="shared" si="31"/>
        <v>0</v>
      </c>
    </row>
    <row r="205" spans="1:15">
      <c r="A205" s="11">
        <v>202606</v>
      </c>
      <c r="B205" s="19" t="s">
        <v>271</v>
      </c>
      <c r="C205" s="19" t="s">
        <v>337</v>
      </c>
      <c r="D205" s="55">
        <v>245</v>
      </c>
      <c r="E205" s="56">
        <v>12800</v>
      </c>
      <c r="F205" s="19" t="s">
        <v>62</v>
      </c>
      <c r="G205" s="4">
        <f t="shared" si="24"/>
        <v>3136000</v>
      </c>
      <c r="H205" s="11">
        <f t="shared" si="25"/>
        <v>0</v>
      </c>
      <c r="I205" s="55" t="str">
        <f t="shared" si="26"/>
        <v/>
      </c>
      <c r="J205" s="55">
        <f t="shared" si="27"/>
        <v>0</v>
      </c>
      <c r="K205" s="4">
        <f t="shared" si="28"/>
        <v>0</v>
      </c>
      <c r="L205" s="19" t="str">
        <f t="shared" si="29"/>
        <v>🆕 أول ظهور لهذه المادة</v>
      </c>
      <c r="M205" s="12">
        <f>IF(A205="","",IFERROR(INDEX(المدخلات!$M$4:$M$15,MATCH(A205,المدخلات!$L$4:$L$15,0)),""))</f>
        <v>13300</v>
      </c>
      <c r="N205" s="4">
        <f t="shared" si="30"/>
        <v>3136000</v>
      </c>
      <c r="O205" s="4">
        <f t="shared" si="31"/>
        <v>0</v>
      </c>
    </row>
    <row r="206" spans="1:15">
      <c r="A206" s="11">
        <v>202606</v>
      </c>
      <c r="B206" s="19" t="s">
        <v>271</v>
      </c>
      <c r="C206" s="19" t="s">
        <v>251</v>
      </c>
      <c r="D206" s="55">
        <v>0</v>
      </c>
      <c r="E206" s="56">
        <v>11000</v>
      </c>
      <c r="F206" s="19" t="s">
        <v>62</v>
      </c>
      <c r="G206" s="4">
        <f t="shared" si="24"/>
        <v>0</v>
      </c>
      <c r="H206" s="11">
        <f t="shared" si="25"/>
        <v>0</v>
      </c>
      <c r="I206" s="55" t="str">
        <f t="shared" si="26"/>
        <v/>
      </c>
      <c r="J206" s="55">
        <f t="shared" si="27"/>
        <v>0</v>
      </c>
      <c r="K206" s="4">
        <f t="shared" si="28"/>
        <v>0</v>
      </c>
      <c r="L206" s="19" t="str">
        <f t="shared" si="29"/>
        <v>🆕 أول ظهور لهذه المادة</v>
      </c>
      <c r="M206" s="12">
        <f>IF(A206="","",IFERROR(INDEX(المدخلات!$M$4:$M$15,MATCH(A206,المدخلات!$L$4:$L$15,0)),""))</f>
        <v>13300</v>
      </c>
      <c r="N206" s="4">
        <f t="shared" si="30"/>
        <v>0</v>
      </c>
      <c r="O206" s="4">
        <f t="shared" si="31"/>
        <v>0</v>
      </c>
    </row>
    <row r="207" spans="1:15" ht="25.5" customHeight="1">
      <c r="A207" s="11">
        <v>202606</v>
      </c>
      <c r="B207" s="19" t="s">
        <v>271</v>
      </c>
      <c r="C207" s="19" t="s">
        <v>338</v>
      </c>
      <c r="D207" s="55">
        <v>4</v>
      </c>
      <c r="E207" s="56">
        <v>9000</v>
      </c>
      <c r="F207" s="19" t="s">
        <v>62</v>
      </c>
      <c r="G207" s="4">
        <f t="shared" si="24"/>
        <v>36000</v>
      </c>
      <c r="H207" s="11">
        <f t="shared" si="25"/>
        <v>0</v>
      </c>
      <c r="I207" s="55" t="str">
        <f t="shared" si="26"/>
        <v/>
      </c>
      <c r="J207" s="55">
        <f t="shared" si="27"/>
        <v>0</v>
      </c>
      <c r="K207" s="4">
        <f t="shared" si="28"/>
        <v>0</v>
      </c>
      <c r="L207" s="19" t="str">
        <f t="shared" si="29"/>
        <v>🆕 أول ظهور لهذه المادة</v>
      </c>
      <c r="M207" s="12">
        <f>IF(A207="","",IFERROR(INDEX(المدخلات!$M$4:$M$15,MATCH(A207,المدخلات!$L$4:$L$15,0)),""))</f>
        <v>13300</v>
      </c>
      <c r="N207" s="4">
        <f t="shared" si="30"/>
        <v>36000</v>
      </c>
      <c r="O207" s="4">
        <f t="shared" si="31"/>
        <v>0</v>
      </c>
    </row>
    <row r="208" spans="1:15">
      <c r="A208" s="11">
        <v>202606</v>
      </c>
      <c r="B208" s="19" t="s">
        <v>271</v>
      </c>
      <c r="C208" s="19" t="s">
        <v>339</v>
      </c>
      <c r="D208" s="55">
        <v>0</v>
      </c>
      <c r="E208" s="56">
        <v>2300</v>
      </c>
      <c r="F208" s="19" t="s">
        <v>62</v>
      </c>
      <c r="G208" s="4">
        <f t="shared" si="24"/>
        <v>0</v>
      </c>
      <c r="H208" s="11">
        <f t="shared" si="25"/>
        <v>0</v>
      </c>
      <c r="I208" s="55" t="str">
        <f t="shared" si="26"/>
        <v/>
      </c>
      <c r="J208" s="55">
        <f t="shared" si="27"/>
        <v>0</v>
      </c>
      <c r="K208" s="4">
        <f t="shared" si="28"/>
        <v>0</v>
      </c>
      <c r="L208" s="19" t="str">
        <f t="shared" si="29"/>
        <v>🆕 أول ظهور لهذه المادة</v>
      </c>
      <c r="M208" s="12">
        <f>IF(A208="","",IFERROR(INDEX(المدخلات!$M$4:$M$15,MATCH(A208,المدخلات!$L$4:$L$15,0)),""))</f>
        <v>13300</v>
      </c>
      <c r="N208" s="4">
        <f t="shared" si="30"/>
        <v>0</v>
      </c>
      <c r="O208" s="4">
        <f t="shared" si="31"/>
        <v>0</v>
      </c>
    </row>
    <row r="209" spans="1:15">
      <c r="A209" s="11">
        <v>202606</v>
      </c>
      <c r="B209" s="19" t="s">
        <v>271</v>
      </c>
      <c r="C209" s="19" t="s">
        <v>340</v>
      </c>
      <c r="D209" s="55">
        <v>4556.2</v>
      </c>
      <c r="E209" s="56">
        <v>0</v>
      </c>
      <c r="F209" s="19" t="s">
        <v>62</v>
      </c>
      <c r="G209" s="4">
        <f t="shared" si="24"/>
        <v>0</v>
      </c>
      <c r="H209" s="11">
        <f t="shared" si="25"/>
        <v>0</v>
      </c>
      <c r="I209" s="55" t="str">
        <f t="shared" si="26"/>
        <v/>
      </c>
      <c r="J209" s="55">
        <f t="shared" si="27"/>
        <v>0</v>
      </c>
      <c r="K209" s="4">
        <f t="shared" si="28"/>
        <v>0</v>
      </c>
      <c r="L209" s="19" t="str">
        <f t="shared" si="29"/>
        <v>🆕 أول ظهور لهذه المادة</v>
      </c>
      <c r="M209" s="12">
        <f>IF(A209="","",IFERROR(INDEX(المدخلات!$M$4:$M$15,MATCH(A209,المدخلات!$L$4:$L$15,0)),""))</f>
        <v>13300</v>
      </c>
      <c r="N209" s="4">
        <f t="shared" si="30"/>
        <v>0</v>
      </c>
      <c r="O209" s="4">
        <f t="shared" si="31"/>
        <v>0</v>
      </c>
    </row>
    <row r="210" spans="1:15">
      <c r="A210" s="11">
        <v>202606</v>
      </c>
      <c r="B210" s="19" t="s">
        <v>271</v>
      </c>
      <c r="C210" s="19" t="s">
        <v>341</v>
      </c>
      <c r="D210" s="55">
        <v>6424.07</v>
      </c>
      <c r="E210" s="56">
        <v>0</v>
      </c>
      <c r="F210" s="19" t="s">
        <v>62</v>
      </c>
      <c r="G210" s="4">
        <f t="shared" si="24"/>
        <v>0</v>
      </c>
      <c r="H210" s="11">
        <f t="shared" si="25"/>
        <v>0</v>
      </c>
      <c r="I210" s="55" t="str">
        <f t="shared" si="26"/>
        <v/>
      </c>
      <c r="J210" s="55">
        <f t="shared" si="27"/>
        <v>0</v>
      </c>
      <c r="K210" s="4">
        <f t="shared" si="28"/>
        <v>0</v>
      </c>
      <c r="L210" s="19" t="str">
        <f t="shared" si="29"/>
        <v>🆕 أول ظهور لهذه المادة</v>
      </c>
      <c r="M210" s="12">
        <f>IF(A210="","",IFERROR(INDEX(المدخلات!$M$4:$M$15,MATCH(A210,المدخلات!$L$4:$L$15,0)),""))</f>
        <v>13300</v>
      </c>
      <c r="N210" s="4">
        <f t="shared" si="30"/>
        <v>0</v>
      </c>
      <c r="O210" s="4">
        <f t="shared" si="31"/>
        <v>0</v>
      </c>
    </row>
    <row r="211" spans="1:15">
      <c r="A211" s="11">
        <v>202606</v>
      </c>
      <c r="B211" s="19" t="s">
        <v>271</v>
      </c>
      <c r="C211" s="19" t="s">
        <v>342</v>
      </c>
      <c r="D211" s="55">
        <v>1942</v>
      </c>
      <c r="E211" s="56">
        <v>0</v>
      </c>
      <c r="F211" s="19" t="s">
        <v>62</v>
      </c>
      <c r="G211" s="4">
        <f t="shared" si="24"/>
        <v>0</v>
      </c>
      <c r="H211" s="11">
        <f t="shared" si="25"/>
        <v>0</v>
      </c>
      <c r="I211" s="55" t="str">
        <f t="shared" si="26"/>
        <v/>
      </c>
      <c r="J211" s="55">
        <f t="shared" si="27"/>
        <v>0</v>
      </c>
      <c r="K211" s="4">
        <f t="shared" si="28"/>
        <v>0</v>
      </c>
      <c r="L211" s="19" t="str">
        <f t="shared" si="29"/>
        <v>🆕 أول ظهور لهذه المادة</v>
      </c>
      <c r="M211" s="12">
        <f>IF(A211="","",IFERROR(INDEX(المدخلات!$M$4:$M$15,MATCH(A211,المدخلات!$L$4:$L$15,0)),""))</f>
        <v>13300</v>
      </c>
      <c r="N211" s="4">
        <f t="shared" si="30"/>
        <v>0</v>
      </c>
      <c r="O211" s="4">
        <f t="shared" si="31"/>
        <v>0</v>
      </c>
    </row>
    <row r="212" spans="1:15">
      <c r="A212" s="11">
        <v>202606</v>
      </c>
      <c r="B212" s="19" t="s">
        <v>271</v>
      </c>
      <c r="C212" s="19" t="s">
        <v>343</v>
      </c>
      <c r="D212" s="55">
        <v>2032</v>
      </c>
      <c r="E212" s="56">
        <v>0</v>
      </c>
      <c r="F212" s="19" t="s">
        <v>62</v>
      </c>
      <c r="G212" s="4">
        <f t="shared" si="24"/>
        <v>0</v>
      </c>
      <c r="H212" s="11">
        <f t="shared" si="25"/>
        <v>0</v>
      </c>
      <c r="I212" s="55" t="str">
        <f t="shared" si="26"/>
        <v/>
      </c>
      <c r="J212" s="55">
        <f t="shared" si="27"/>
        <v>0</v>
      </c>
      <c r="K212" s="4">
        <f t="shared" si="28"/>
        <v>0</v>
      </c>
      <c r="L212" s="19" t="str">
        <f t="shared" si="29"/>
        <v>🆕 أول ظهور لهذه المادة</v>
      </c>
      <c r="M212" s="12">
        <f>IF(A212="","",IFERROR(INDEX(المدخلات!$M$4:$M$15,MATCH(A212,المدخلات!$L$4:$L$15,0)),""))</f>
        <v>13300</v>
      </c>
      <c r="N212" s="4">
        <f t="shared" si="30"/>
        <v>0</v>
      </c>
      <c r="O212" s="4">
        <f t="shared" si="31"/>
        <v>0</v>
      </c>
    </row>
    <row r="213" spans="1:15">
      <c r="A213" s="11">
        <v>202606</v>
      </c>
      <c r="B213" s="19" t="s">
        <v>271</v>
      </c>
      <c r="C213" s="19" t="s">
        <v>344</v>
      </c>
      <c r="D213" s="55">
        <v>18</v>
      </c>
      <c r="E213" s="56">
        <v>0</v>
      </c>
      <c r="F213" s="19" t="s">
        <v>62</v>
      </c>
      <c r="G213" s="4">
        <f t="shared" si="24"/>
        <v>0</v>
      </c>
      <c r="H213" s="11">
        <f t="shared" si="25"/>
        <v>0</v>
      </c>
      <c r="I213" s="55" t="str">
        <f t="shared" si="26"/>
        <v/>
      </c>
      <c r="J213" s="55">
        <f t="shared" si="27"/>
        <v>0</v>
      </c>
      <c r="K213" s="4">
        <f t="shared" si="28"/>
        <v>0</v>
      </c>
      <c r="L213" s="19" t="str">
        <f t="shared" si="29"/>
        <v>🆕 أول ظهور لهذه المادة</v>
      </c>
      <c r="M213" s="12">
        <f>IF(A213="","",IFERROR(INDEX(المدخلات!$M$4:$M$15,MATCH(A213,المدخلات!$L$4:$L$15,0)),""))</f>
        <v>13300</v>
      </c>
      <c r="N213" s="4">
        <f t="shared" si="30"/>
        <v>0</v>
      </c>
      <c r="O213" s="4">
        <f t="shared" si="31"/>
        <v>0</v>
      </c>
    </row>
    <row r="214" spans="1:15">
      <c r="A214" s="11">
        <v>202606</v>
      </c>
      <c r="B214" s="19" t="s">
        <v>271</v>
      </c>
      <c r="C214" s="19" t="s">
        <v>345</v>
      </c>
      <c r="D214" s="55">
        <v>32</v>
      </c>
      <c r="E214" s="56">
        <v>0</v>
      </c>
      <c r="F214" s="19" t="s">
        <v>62</v>
      </c>
      <c r="G214" s="4">
        <f t="shared" si="24"/>
        <v>0</v>
      </c>
      <c r="H214" s="11">
        <f t="shared" si="25"/>
        <v>0</v>
      </c>
      <c r="I214" s="55" t="str">
        <f t="shared" si="26"/>
        <v/>
      </c>
      <c r="J214" s="55">
        <f t="shared" si="27"/>
        <v>0</v>
      </c>
      <c r="K214" s="4">
        <f t="shared" si="28"/>
        <v>0</v>
      </c>
      <c r="L214" s="19" t="str">
        <f t="shared" si="29"/>
        <v>🆕 أول ظهور لهذه المادة</v>
      </c>
      <c r="M214" s="12">
        <f>IF(A214="","",IFERROR(INDEX(المدخلات!$M$4:$M$15,MATCH(A214,المدخلات!$L$4:$L$15,0)),""))</f>
        <v>13300</v>
      </c>
      <c r="N214" s="4">
        <f t="shared" si="30"/>
        <v>0</v>
      </c>
      <c r="O214" s="4">
        <f t="shared" si="31"/>
        <v>0</v>
      </c>
    </row>
    <row r="215" spans="1:15">
      <c r="A215" s="11">
        <v>202606</v>
      </c>
      <c r="B215" s="19" t="s">
        <v>271</v>
      </c>
      <c r="C215" s="19" t="s">
        <v>346</v>
      </c>
      <c r="D215" s="55">
        <v>404</v>
      </c>
      <c r="E215" s="56">
        <v>0</v>
      </c>
      <c r="F215" s="19" t="s">
        <v>62</v>
      </c>
      <c r="G215" s="4">
        <f t="shared" si="24"/>
        <v>0</v>
      </c>
      <c r="H215" s="11">
        <f t="shared" si="25"/>
        <v>0</v>
      </c>
      <c r="I215" s="55" t="str">
        <f t="shared" si="26"/>
        <v/>
      </c>
      <c r="J215" s="55">
        <f t="shared" si="27"/>
        <v>0</v>
      </c>
      <c r="K215" s="4">
        <f t="shared" si="28"/>
        <v>0</v>
      </c>
      <c r="L215" s="19" t="str">
        <f t="shared" si="29"/>
        <v>🆕 أول ظهور لهذه المادة</v>
      </c>
      <c r="M215" s="12">
        <f>IF(A215="","",IFERROR(INDEX(المدخلات!$M$4:$M$15,MATCH(A215,المدخلات!$L$4:$L$15,0)),""))</f>
        <v>13300</v>
      </c>
      <c r="N215" s="4">
        <f t="shared" si="30"/>
        <v>0</v>
      </c>
      <c r="O215" s="4">
        <f t="shared" si="31"/>
        <v>0</v>
      </c>
    </row>
    <row r="216" spans="1:15">
      <c r="A216" s="11">
        <v>202606</v>
      </c>
      <c r="B216" s="19" t="s">
        <v>271</v>
      </c>
      <c r="C216" s="19" t="s">
        <v>347</v>
      </c>
      <c r="D216" s="55">
        <v>38</v>
      </c>
      <c r="E216" s="56">
        <v>0</v>
      </c>
      <c r="F216" s="19" t="s">
        <v>62</v>
      </c>
      <c r="G216" s="4">
        <f t="shared" si="24"/>
        <v>0</v>
      </c>
      <c r="H216" s="11">
        <f t="shared" si="25"/>
        <v>0</v>
      </c>
      <c r="I216" s="55" t="str">
        <f t="shared" si="26"/>
        <v/>
      </c>
      <c r="J216" s="55">
        <f t="shared" si="27"/>
        <v>0</v>
      </c>
      <c r="K216" s="4">
        <f t="shared" si="28"/>
        <v>0</v>
      </c>
      <c r="L216" s="19" t="str">
        <f t="shared" si="29"/>
        <v>🆕 أول ظهور لهذه المادة</v>
      </c>
      <c r="M216" s="12">
        <f>IF(A216="","",IFERROR(INDEX(المدخلات!$M$4:$M$15,MATCH(A216,المدخلات!$L$4:$L$15,0)),""))</f>
        <v>13300</v>
      </c>
      <c r="N216" s="4">
        <f t="shared" si="30"/>
        <v>0</v>
      </c>
      <c r="O216" s="4">
        <f t="shared" si="31"/>
        <v>0</v>
      </c>
    </row>
    <row r="217" spans="1:15">
      <c r="A217" s="11">
        <v>202606</v>
      </c>
      <c r="B217" s="19" t="s">
        <v>271</v>
      </c>
      <c r="C217" s="19" t="s">
        <v>348</v>
      </c>
      <c r="D217" s="55">
        <v>0</v>
      </c>
      <c r="E217" s="56">
        <v>119500</v>
      </c>
      <c r="F217" s="19" t="s">
        <v>62</v>
      </c>
      <c r="G217" s="4">
        <f t="shared" si="24"/>
        <v>0</v>
      </c>
      <c r="H217" s="11">
        <f t="shared" si="25"/>
        <v>0</v>
      </c>
      <c r="I217" s="55" t="str">
        <f t="shared" si="26"/>
        <v/>
      </c>
      <c r="J217" s="55">
        <f t="shared" si="27"/>
        <v>0</v>
      </c>
      <c r="K217" s="4">
        <f t="shared" si="28"/>
        <v>0</v>
      </c>
      <c r="L217" s="19" t="str">
        <f t="shared" si="29"/>
        <v>🆕 أول ظهور لهذه المادة</v>
      </c>
      <c r="M217" s="12">
        <f>IF(A217="","",IFERROR(INDEX(المدخلات!$M$4:$M$15,MATCH(A217,المدخلات!$L$4:$L$15,0)),""))</f>
        <v>13300</v>
      </c>
      <c r="N217" s="4">
        <f t="shared" si="30"/>
        <v>0</v>
      </c>
      <c r="O217" s="4">
        <f t="shared" si="31"/>
        <v>0</v>
      </c>
    </row>
    <row r="218" spans="1:15">
      <c r="A218" s="11">
        <v>202606</v>
      </c>
      <c r="B218" s="19" t="s">
        <v>271</v>
      </c>
      <c r="C218" s="19" t="s">
        <v>252</v>
      </c>
      <c r="D218" s="55">
        <v>-31</v>
      </c>
      <c r="E218" s="56">
        <v>6500</v>
      </c>
      <c r="F218" s="19" t="s">
        <v>62</v>
      </c>
      <c r="G218" s="4">
        <f t="shared" si="24"/>
        <v>-201500</v>
      </c>
      <c r="H218" s="11">
        <f t="shared" si="25"/>
        <v>0</v>
      </c>
      <c r="I218" s="55" t="str">
        <f t="shared" si="26"/>
        <v/>
      </c>
      <c r="J218" s="55">
        <f t="shared" si="27"/>
        <v>0</v>
      </c>
      <c r="K218" s="4">
        <f t="shared" si="28"/>
        <v>0</v>
      </c>
      <c r="L218" s="19" t="str">
        <f t="shared" si="29"/>
        <v>🆕 أول ظهور لهذه المادة</v>
      </c>
      <c r="M218" s="12">
        <f>IF(A218="","",IFERROR(INDEX(المدخلات!$M$4:$M$15,MATCH(A218,المدخلات!$L$4:$L$15,0)),""))</f>
        <v>13300</v>
      </c>
      <c r="N218" s="4">
        <f t="shared" si="30"/>
        <v>-201500</v>
      </c>
      <c r="O218" s="4">
        <f t="shared" si="31"/>
        <v>0</v>
      </c>
    </row>
    <row r="219" spans="1:15">
      <c r="A219" s="11">
        <v>202606</v>
      </c>
      <c r="B219" s="19" t="s">
        <v>271</v>
      </c>
      <c r="C219" s="19" t="s">
        <v>349</v>
      </c>
      <c r="D219" s="55">
        <v>0</v>
      </c>
      <c r="E219" s="56">
        <v>24500</v>
      </c>
      <c r="F219" s="19" t="s">
        <v>62</v>
      </c>
      <c r="G219" s="4">
        <f t="shared" si="24"/>
        <v>0</v>
      </c>
      <c r="H219" s="11">
        <f t="shared" si="25"/>
        <v>0</v>
      </c>
      <c r="I219" s="55" t="str">
        <f t="shared" si="26"/>
        <v/>
      </c>
      <c r="J219" s="55">
        <f t="shared" si="27"/>
        <v>0</v>
      </c>
      <c r="K219" s="4">
        <f t="shared" si="28"/>
        <v>0</v>
      </c>
      <c r="L219" s="19" t="str">
        <f t="shared" si="29"/>
        <v>🆕 أول ظهور لهذه المادة</v>
      </c>
      <c r="M219" s="12">
        <f>IF(A219="","",IFERROR(INDEX(المدخلات!$M$4:$M$15,MATCH(A219,المدخلات!$L$4:$L$15,0)),""))</f>
        <v>13300</v>
      </c>
      <c r="N219" s="4">
        <f t="shared" si="30"/>
        <v>0</v>
      </c>
      <c r="O219" s="4">
        <f t="shared" si="31"/>
        <v>0</v>
      </c>
    </row>
    <row r="220" spans="1:15">
      <c r="A220" s="11">
        <v>202606</v>
      </c>
      <c r="B220" s="19" t="s">
        <v>271</v>
      </c>
      <c r="C220" s="19" t="s">
        <v>350</v>
      </c>
      <c r="D220" s="55">
        <v>0</v>
      </c>
      <c r="E220" s="56">
        <v>7000</v>
      </c>
      <c r="F220" s="19" t="s">
        <v>62</v>
      </c>
      <c r="G220" s="4">
        <f t="shared" si="24"/>
        <v>0</v>
      </c>
      <c r="H220" s="11">
        <f t="shared" si="25"/>
        <v>0</v>
      </c>
      <c r="I220" s="55" t="str">
        <f t="shared" si="26"/>
        <v/>
      </c>
      <c r="J220" s="55">
        <f t="shared" si="27"/>
        <v>0</v>
      </c>
      <c r="K220" s="4">
        <f t="shared" si="28"/>
        <v>0</v>
      </c>
      <c r="L220" s="19" t="str">
        <f t="shared" si="29"/>
        <v>🆕 أول ظهور لهذه المادة</v>
      </c>
      <c r="M220" s="12">
        <f>IF(A220="","",IFERROR(INDEX(المدخلات!$M$4:$M$15,MATCH(A220,المدخلات!$L$4:$L$15,0)),""))</f>
        <v>13300</v>
      </c>
      <c r="N220" s="4">
        <f t="shared" si="30"/>
        <v>0</v>
      </c>
      <c r="O220" s="4">
        <f t="shared" si="31"/>
        <v>0</v>
      </c>
    </row>
    <row r="221" spans="1:15">
      <c r="A221" s="11">
        <v>202606</v>
      </c>
      <c r="B221" s="19" t="s">
        <v>271</v>
      </c>
      <c r="C221" s="19" t="s">
        <v>253</v>
      </c>
      <c r="D221" s="55">
        <v>589</v>
      </c>
      <c r="E221" s="56">
        <v>9000</v>
      </c>
      <c r="F221" s="19" t="s">
        <v>62</v>
      </c>
      <c r="G221" s="4">
        <f t="shared" si="24"/>
        <v>5301000</v>
      </c>
      <c r="H221" s="11">
        <f t="shared" si="25"/>
        <v>0</v>
      </c>
      <c r="I221" s="55" t="str">
        <f t="shared" si="26"/>
        <v/>
      </c>
      <c r="J221" s="55">
        <f t="shared" si="27"/>
        <v>0</v>
      </c>
      <c r="K221" s="4">
        <f t="shared" si="28"/>
        <v>0</v>
      </c>
      <c r="L221" s="19" t="str">
        <f t="shared" si="29"/>
        <v>🆕 أول ظهور لهذه المادة</v>
      </c>
      <c r="M221" s="12">
        <f>IF(A221="","",IFERROR(INDEX(المدخلات!$M$4:$M$15,MATCH(A221,المدخلات!$L$4:$L$15,0)),""))</f>
        <v>13300</v>
      </c>
      <c r="N221" s="4">
        <f t="shared" si="30"/>
        <v>5301000</v>
      </c>
      <c r="O221" s="4">
        <f t="shared" si="31"/>
        <v>0</v>
      </c>
    </row>
    <row r="222" spans="1:15">
      <c r="A222" s="11">
        <v>202606</v>
      </c>
      <c r="B222" s="19" t="s">
        <v>271</v>
      </c>
      <c r="C222" s="19" t="s">
        <v>254</v>
      </c>
      <c r="D222" s="55">
        <v>0</v>
      </c>
      <c r="E222" s="56">
        <v>144000</v>
      </c>
      <c r="F222" s="19" t="s">
        <v>62</v>
      </c>
      <c r="G222" s="4">
        <f t="shared" si="24"/>
        <v>0</v>
      </c>
      <c r="H222" s="11">
        <f t="shared" si="25"/>
        <v>0</v>
      </c>
      <c r="I222" s="55" t="str">
        <f t="shared" si="26"/>
        <v/>
      </c>
      <c r="J222" s="55">
        <f t="shared" si="27"/>
        <v>0</v>
      </c>
      <c r="K222" s="4">
        <f t="shared" si="28"/>
        <v>0</v>
      </c>
      <c r="L222" s="19" t="str">
        <f t="shared" si="29"/>
        <v>🆕 أول ظهور لهذه المادة</v>
      </c>
      <c r="M222" s="12">
        <f>IF(A222="","",IFERROR(INDEX(المدخلات!$M$4:$M$15,MATCH(A222,المدخلات!$L$4:$L$15,0)),""))</f>
        <v>13300</v>
      </c>
      <c r="N222" s="4">
        <f t="shared" si="30"/>
        <v>0</v>
      </c>
      <c r="O222" s="4">
        <f t="shared" si="31"/>
        <v>0</v>
      </c>
    </row>
    <row r="223" spans="1:15">
      <c r="A223" s="11">
        <v>202606</v>
      </c>
      <c r="B223" s="19" t="s">
        <v>271</v>
      </c>
      <c r="C223" s="19" t="s">
        <v>255</v>
      </c>
      <c r="D223" s="55">
        <v>0</v>
      </c>
      <c r="E223" s="56">
        <v>5500</v>
      </c>
      <c r="F223" s="19" t="s">
        <v>62</v>
      </c>
      <c r="G223" s="4">
        <f t="shared" si="24"/>
        <v>0</v>
      </c>
      <c r="H223" s="11">
        <f t="shared" si="25"/>
        <v>0</v>
      </c>
      <c r="I223" s="55" t="str">
        <f t="shared" si="26"/>
        <v/>
      </c>
      <c r="J223" s="55">
        <f t="shared" si="27"/>
        <v>0</v>
      </c>
      <c r="K223" s="4">
        <f t="shared" si="28"/>
        <v>0</v>
      </c>
      <c r="L223" s="19" t="str">
        <f t="shared" si="29"/>
        <v>🆕 أول ظهور لهذه المادة</v>
      </c>
      <c r="M223" s="12">
        <f>IF(A223="","",IFERROR(INDEX(المدخلات!$M$4:$M$15,MATCH(A223,المدخلات!$L$4:$L$15,0)),""))</f>
        <v>13300</v>
      </c>
      <c r="N223" s="4">
        <f t="shared" si="30"/>
        <v>0</v>
      </c>
      <c r="O223" s="4">
        <f t="shared" si="31"/>
        <v>0</v>
      </c>
    </row>
    <row r="224" spans="1:15">
      <c r="A224" s="11">
        <v>202606</v>
      </c>
      <c r="B224" s="19" t="s">
        <v>271</v>
      </c>
      <c r="C224" s="19" t="s">
        <v>351</v>
      </c>
      <c r="D224" s="55">
        <v>0</v>
      </c>
      <c r="E224" s="56">
        <v>28000</v>
      </c>
      <c r="F224" s="19" t="s">
        <v>62</v>
      </c>
      <c r="G224" s="4">
        <f t="shared" si="24"/>
        <v>0</v>
      </c>
      <c r="H224" s="11">
        <f t="shared" si="25"/>
        <v>0</v>
      </c>
      <c r="I224" s="55" t="str">
        <f t="shared" si="26"/>
        <v/>
      </c>
      <c r="J224" s="55">
        <f t="shared" si="27"/>
        <v>0</v>
      </c>
      <c r="K224" s="4">
        <f t="shared" si="28"/>
        <v>0</v>
      </c>
      <c r="L224" s="19" t="str">
        <f t="shared" si="29"/>
        <v>🆕 أول ظهور لهذه المادة</v>
      </c>
      <c r="M224" s="12">
        <f>IF(A224="","",IFERROR(INDEX(المدخلات!$M$4:$M$15,MATCH(A224,المدخلات!$L$4:$L$15,0)),""))</f>
        <v>13300</v>
      </c>
      <c r="N224" s="4">
        <f t="shared" si="30"/>
        <v>0</v>
      </c>
      <c r="O224" s="4">
        <f t="shared" si="31"/>
        <v>0</v>
      </c>
    </row>
    <row r="225" spans="1:15">
      <c r="A225" s="11">
        <v>202606</v>
      </c>
      <c r="B225" s="19" t="s">
        <v>271</v>
      </c>
      <c r="C225" s="19" t="s">
        <v>256</v>
      </c>
      <c r="D225" s="55">
        <v>-2</v>
      </c>
      <c r="E225" s="56">
        <v>0</v>
      </c>
      <c r="F225" s="19" t="s">
        <v>62</v>
      </c>
      <c r="G225" s="4">
        <f t="shared" si="24"/>
        <v>0</v>
      </c>
      <c r="H225" s="11">
        <f t="shared" si="25"/>
        <v>0</v>
      </c>
      <c r="I225" s="55" t="str">
        <f t="shared" si="26"/>
        <v/>
      </c>
      <c r="J225" s="55">
        <f t="shared" si="27"/>
        <v>0</v>
      </c>
      <c r="K225" s="4">
        <f t="shared" si="28"/>
        <v>0</v>
      </c>
      <c r="L225" s="19" t="str">
        <f t="shared" si="29"/>
        <v>🆕 أول ظهور لهذه المادة</v>
      </c>
      <c r="M225" s="12">
        <f>IF(A225="","",IFERROR(INDEX(المدخلات!$M$4:$M$15,MATCH(A225,المدخلات!$L$4:$L$15,0)),""))</f>
        <v>13300</v>
      </c>
      <c r="N225" s="4">
        <f t="shared" si="30"/>
        <v>0</v>
      </c>
      <c r="O225" s="4">
        <f t="shared" si="31"/>
        <v>0</v>
      </c>
    </row>
    <row r="226" spans="1:15">
      <c r="A226" s="11">
        <v>202606</v>
      </c>
      <c r="B226" s="19" t="s">
        <v>271</v>
      </c>
      <c r="C226" s="19" t="s">
        <v>352</v>
      </c>
      <c r="D226" s="55">
        <v>0</v>
      </c>
      <c r="E226" s="56">
        <v>15000</v>
      </c>
      <c r="F226" s="19" t="s">
        <v>62</v>
      </c>
      <c r="G226" s="4">
        <f t="shared" si="24"/>
        <v>0</v>
      </c>
      <c r="H226" s="11">
        <f t="shared" si="25"/>
        <v>0</v>
      </c>
      <c r="I226" s="55" t="str">
        <f t="shared" si="26"/>
        <v/>
      </c>
      <c r="J226" s="55">
        <f t="shared" si="27"/>
        <v>0</v>
      </c>
      <c r="K226" s="4">
        <f t="shared" si="28"/>
        <v>0</v>
      </c>
      <c r="L226" s="19" t="str">
        <f t="shared" si="29"/>
        <v>🆕 أول ظهور لهذه المادة</v>
      </c>
      <c r="M226" s="12">
        <f>IF(A226="","",IFERROR(INDEX(المدخلات!$M$4:$M$15,MATCH(A226,المدخلات!$L$4:$L$15,0)),""))</f>
        <v>13300</v>
      </c>
      <c r="N226" s="4">
        <f t="shared" si="30"/>
        <v>0</v>
      </c>
      <c r="O226" s="4">
        <f t="shared" si="31"/>
        <v>0</v>
      </c>
    </row>
    <row r="227" spans="1:15">
      <c r="A227" s="11">
        <v>202606</v>
      </c>
      <c r="B227" s="19" t="s">
        <v>271</v>
      </c>
      <c r="C227" s="19" t="s">
        <v>353</v>
      </c>
      <c r="D227" s="55">
        <v>4</v>
      </c>
      <c r="E227" s="56">
        <v>6000</v>
      </c>
      <c r="F227" s="19" t="s">
        <v>62</v>
      </c>
      <c r="G227" s="4">
        <f t="shared" si="24"/>
        <v>24000</v>
      </c>
      <c r="H227" s="11">
        <f t="shared" si="25"/>
        <v>0</v>
      </c>
      <c r="I227" s="55" t="str">
        <f t="shared" si="26"/>
        <v/>
      </c>
      <c r="J227" s="55">
        <f t="shared" si="27"/>
        <v>0</v>
      </c>
      <c r="K227" s="4">
        <f t="shared" si="28"/>
        <v>0</v>
      </c>
      <c r="L227" s="19" t="str">
        <f t="shared" si="29"/>
        <v>🆕 أول ظهور لهذه المادة</v>
      </c>
      <c r="M227" s="12">
        <f>IF(A227="","",IFERROR(INDEX(المدخلات!$M$4:$M$15,MATCH(A227,المدخلات!$L$4:$L$15,0)),""))</f>
        <v>13300</v>
      </c>
      <c r="N227" s="4">
        <f t="shared" si="30"/>
        <v>24000</v>
      </c>
      <c r="O227" s="4">
        <f t="shared" si="31"/>
        <v>0</v>
      </c>
    </row>
    <row r="228" spans="1:15">
      <c r="A228" s="11">
        <v>202606</v>
      </c>
      <c r="B228" s="19" t="s">
        <v>271</v>
      </c>
      <c r="C228" s="19" t="s">
        <v>354</v>
      </c>
      <c r="D228" s="55">
        <v>-7</v>
      </c>
      <c r="E228" s="56">
        <v>0</v>
      </c>
      <c r="F228" s="19" t="s">
        <v>62</v>
      </c>
      <c r="G228" s="4">
        <f t="shared" si="24"/>
        <v>0</v>
      </c>
      <c r="H228" s="11">
        <f t="shared" si="25"/>
        <v>0</v>
      </c>
      <c r="I228" s="55" t="str">
        <f t="shared" si="26"/>
        <v/>
      </c>
      <c r="J228" s="55">
        <f t="shared" si="27"/>
        <v>0</v>
      </c>
      <c r="K228" s="4">
        <f t="shared" si="28"/>
        <v>0</v>
      </c>
      <c r="L228" s="19" t="str">
        <f t="shared" si="29"/>
        <v>🆕 أول ظهور لهذه المادة</v>
      </c>
      <c r="M228" s="12">
        <f>IF(A228="","",IFERROR(INDEX(المدخلات!$M$4:$M$15,MATCH(A228,المدخلات!$L$4:$L$15,0)),""))</f>
        <v>13300</v>
      </c>
      <c r="N228" s="4">
        <f t="shared" si="30"/>
        <v>0</v>
      </c>
      <c r="O228" s="4">
        <f t="shared" si="31"/>
        <v>0</v>
      </c>
    </row>
    <row r="229" spans="1:15">
      <c r="A229" s="11">
        <v>202606</v>
      </c>
      <c r="B229" s="19" t="s">
        <v>271</v>
      </c>
      <c r="C229" s="19" t="s">
        <v>355</v>
      </c>
      <c r="D229" s="55">
        <v>-16</v>
      </c>
      <c r="E229" s="56">
        <v>0</v>
      </c>
      <c r="F229" s="19" t="s">
        <v>62</v>
      </c>
      <c r="G229" s="4">
        <f t="shared" si="24"/>
        <v>0</v>
      </c>
      <c r="H229" s="11">
        <f t="shared" si="25"/>
        <v>0</v>
      </c>
      <c r="I229" s="55" t="str">
        <f t="shared" si="26"/>
        <v/>
      </c>
      <c r="J229" s="55">
        <f t="shared" si="27"/>
        <v>0</v>
      </c>
      <c r="K229" s="4">
        <f t="shared" si="28"/>
        <v>0</v>
      </c>
      <c r="L229" s="19" t="str">
        <f t="shared" si="29"/>
        <v>🆕 أول ظهور لهذه المادة</v>
      </c>
      <c r="M229" s="12">
        <f>IF(A229="","",IFERROR(INDEX(المدخلات!$M$4:$M$15,MATCH(A229,المدخلات!$L$4:$L$15,0)),""))</f>
        <v>13300</v>
      </c>
      <c r="N229" s="4">
        <f t="shared" si="30"/>
        <v>0</v>
      </c>
      <c r="O229" s="4">
        <f t="shared" si="31"/>
        <v>0</v>
      </c>
    </row>
    <row r="230" spans="1:15">
      <c r="A230" s="11">
        <v>202606</v>
      </c>
      <c r="B230" s="19" t="s">
        <v>271</v>
      </c>
      <c r="C230" s="19" t="s">
        <v>356</v>
      </c>
      <c r="D230" s="55">
        <v>0</v>
      </c>
      <c r="E230" s="56">
        <v>0</v>
      </c>
      <c r="F230" s="19" t="s">
        <v>62</v>
      </c>
      <c r="G230" s="4">
        <f t="shared" si="24"/>
        <v>0</v>
      </c>
      <c r="H230" s="11">
        <f t="shared" si="25"/>
        <v>0</v>
      </c>
      <c r="I230" s="55" t="str">
        <f t="shared" si="26"/>
        <v/>
      </c>
      <c r="J230" s="55">
        <f t="shared" si="27"/>
        <v>0</v>
      </c>
      <c r="K230" s="4">
        <f t="shared" si="28"/>
        <v>0</v>
      </c>
      <c r="L230" s="19" t="str">
        <f t="shared" si="29"/>
        <v>🆕 أول ظهور لهذه المادة</v>
      </c>
      <c r="M230" s="12">
        <f>IF(A230="","",IFERROR(INDEX(المدخلات!$M$4:$M$15,MATCH(A230,المدخلات!$L$4:$L$15,0)),""))</f>
        <v>13300</v>
      </c>
      <c r="N230" s="4">
        <f t="shared" si="30"/>
        <v>0</v>
      </c>
      <c r="O230" s="4">
        <f t="shared" si="31"/>
        <v>0</v>
      </c>
    </row>
    <row r="231" spans="1:15">
      <c r="A231" s="11">
        <v>202606</v>
      </c>
      <c r="B231" s="19" t="s">
        <v>271</v>
      </c>
      <c r="C231" s="19" t="s">
        <v>357</v>
      </c>
      <c r="D231" s="55">
        <v>0</v>
      </c>
      <c r="E231" s="56">
        <v>105000</v>
      </c>
      <c r="F231" s="19" t="s">
        <v>62</v>
      </c>
      <c r="G231" s="4">
        <f t="shared" si="24"/>
        <v>0</v>
      </c>
      <c r="H231" s="11">
        <f t="shared" si="25"/>
        <v>0</v>
      </c>
      <c r="I231" s="55" t="str">
        <f t="shared" si="26"/>
        <v/>
      </c>
      <c r="J231" s="55">
        <f t="shared" si="27"/>
        <v>0</v>
      </c>
      <c r="K231" s="4">
        <f t="shared" si="28"/>
        <v>0</v>
      </c>
      <c r="L231" s="19" t="str">
        <f t="shared" si="29"/>
        <v>🆕 أول ظهور لهذه المادة</v>
      </c>
      <c r="M231" s="12">
        <f>IF(A231="","",IFERROR(INDEX(المدخلات!$M$4:$M$15,MATCH(A231,المدخلات!$L$4:$L$15,0)),""))</f>
        <v>13300</v>
      </c>
      <c r="N231" s="4">
        <f t="shared" si="30"/>
        <v>0</v>
      </c>
      <c r="O231" s="4">
        <f t="shared" si="31"/>
        <v>0</v>
      </c>
    </row>
    <row r="232" spans="1:15">
      <c r="A232" s="11">
        <v>202606</v>
      </c>
      <c r="B232" s="19" t="s">
        <v>271</v>
      </c>
      <c r="C232" s="19" t="s">
        <v>358</v>
      </c>
      <c r="D232" s="55">
        <v>544</v>
      </c>
      <c r="E232" s="56">
        <v>5500</v>
      </c>
      <c r="F232" s="19" t="s">
        <v>62</v>
      </c>
      <c r="G232" s="4">
        <f t="shared" si="24"/>
        <v>2992000</v>
      </c>
      <c r="H232" s="11">
        <f t="shared" si="25"/>
        <v>0</v>
      </c>
      <c r="I232" s="55" t="str">
        <f t="shared" si="26"/>
        <v/>
      </c>
      <c r="J232" s="55">
        <f t="shared" si="27"/>
        <v>0</v>
      </c>
      <c r="K232" s="4">
        <f t="shared" si="28"/>
        <v>0</v>
      </c>
      <c r="L232" s="19" t="str">
        <f t="shared" si="29"/>
        <v>🆕 أول ظهور لهذه المادة</v>
      </c>
      <c r="M232" s="12">
        <f>IF(A232="","",IFERROR(INDEX(المدخلات!$M$4:$M$15,MATCH(A232,المدخلات!$L$4:$L$15,0)),""))</f>
        <v>13300</v>
      </c>
      <c r="N232" s="4">
        <f t="shared" si="30"/>
        <v>2992000</v>
      </c>
      <c r="O232" s="4">
        <f t="shared" si="31"/>
        <v>0</v>
      </c>
    </row>
    <row r="233" spans="1:15">
      <c r="A233" s="11">
        <v>202606</v>
      </c>
      <c r="B233" s="19" t="s">
        <v>271</v>
      </c>
      <c r="C233" s="19" t="s">
        <v>359</v>
      </c>
      <c r="D233" s="55">
        <v>0</v>
      </c>
      <c r="E233" s="56">
        <v>0</v>
      </c>
      <c r="F233" s="19" t="s">
        <v>62</v>
      </c>
      <c r="G233" s="4">
        <f t="shared" si="24"/>
        <v>0</v>
      </c>
      <c r="H233" s="11">
        <f t="shared" si="25"/>
        <v>0</v>
      </c>
      <c r="I233" s="55" t="str">
        <f t="shared" si="26"/>
        <v/>
      </c>
      <c r="J233" s="55">
        <f t="shared" si="27"/>
        <v>0</v>
      </c>
      <c r="K233" s="4">
        <f t="shared" si="28"/>
        <v>0</v>
      </c>
      <c r="L233" s="19" t="str">
        <f t="shared" si="29"/>
        <v>🆕 أول ظهور لهذه المادة</v>
      </c>
      <c r="M233" s="12">
        <f>IF(A233="","",IFERROR(INDEX(المدخلات!$M$4:$M$15,MATCH(A233,المدخلات!$L$4:$L$15,0)),""))</f>
        <v>13300</v>
      </c>
      <c r="N233" s="4">
        <f t="shared" si="30"/>
        <v>0</v>
      </c>
      <c r="O233" s="4">
        <f t="shared" si="31"/>
        <v>0</v>
      </c>
    </row>
    <row r="234" spans="1:15">
      <c r="A234" s="11">
        <v>202606</v>
      </c>
      <c r="B234" s="19" t="s">
        <v>271</v>
      </c>
      <c r="C234" s="19" t="s">
        <v>360</v>
      </c>
      <c r="D234" s="55">
        <v>0</v>
      </c>
      <c r="E234" s="56">
        <v>0</v>
      </c>
      <c r="F234" s="19" t="s">
        <v>62</v>
      </c>
      <c r="G234" s="4">
        <f t="shared" si="24"/>
        <v>0</v>
      </c>
      <c r="H234" s="11">
        <f t="shared" si="25"/>
        <v>0</v>
      </c>
      <c r="I234" s="55" t="str">
        <f t="shared" si="26"/>
        <v/>
      </c>
      <c r="J234" s="55">
        <f t="shared" si="27"/>
        <v>0</v>
      </c>
      <c r="K234" s="4">
        <f t="shared" si="28"/>
        <v>0</v>
      </c>
      <c r="L234" s="19" t="str">
        <f t="shared" si="29"/>
        <v>🆕 أول ظهور لهذه المادة</v>
      </c>
      <c r="M234" s="12">
        <f>IF(A234="","",IFERROR(INDEX(المدخلات!$M$4:$M$15,MATCH(A234,المدخلات!$L$4:$L$15,0)),""))</f>
        <v>13300</v>
      </c>
      <c r="N234" s="4">
        <f t="shared" si="30"/>
        <v>0</v>
      </c>
      <c r="O234" s="4">
        <f t="shared" si="31"/>
        <v>0</v>
      </c>
    </row>
    <row r="235" spans="1:15">
      <c r="A235" s="11">
        <v>202606</v>
      </c>
      <c r="B235" s="19" t="s">
        <v>271</v>
      </c>
      <c r="C235" s="19" t="s">
        <v>361</v>
      </c>
      <c r="D235" s="55">
        <v>-5</v>
      </c>
      <c r="E235" s="56">
        <v>0</v>
      </c>
      <c r="F235" s="19" t="s">
        <v>62</v>
      </c>
      <c r="G235" s="4">
        <f t="shared" si="24"/>
        <v>0</v>
      </c>
      <c r="H235" s="11">
        <f t="shared" si="25"/>
        <v>0</v>
      </c>
      <c r="I235" s="55" t="str">
        <f t="shared" si="26"/>
        <v/>
      </c>
      <c r="J235" s="55">
        <f t="shared" si="27"/>
        <v>0</v>
      </c>
      <c r="K235" s="4">
        <f t="shared" si="28"/>
        <v>0</v>
      </c>
      <c r="L235" s="19" t="str">
        <f t="shared" si="29"/>
        <v>🆕 أول ظهور لهذه المادة</v>
      </c>
      <c r="M235" s="12">
        <f>IF(A235="","",IFERROR(INDEX(المدخلات!$M$4:$M$15,MATCH(A235,المدخلات!$L$4:$L$15,0)),""))</f>
        <v>13300</v>
      </c>
      <c r="N235" s="4">
        <f t="shared" si="30"/>
        <v>0</v>
      </c>
      <c r="O235" s="4">
        <f t="shared" si="31"/>
        <v>0</v>
      </c>
    </row>
    <row r="236" spans="1:15">
      <c r="A236" s="11">
        <v>202606</v>
      </c>
      <c r="B236" s="19" t="s">
        <v>271</v>
      </c>
      <c r="C236" s="19" t="s">
        <v>257</v>
      </c>
      <c r="D236" s="55">
        <v>0</v>
      </c>
      <c r="E236" s="56">
        <v>20000</v>
      </c>
      <c r="F236" s="19" t="s">
        <v>62</v>
      </c>
      <c r="G236" s="4">
        <f t="shared" si="24"/>
        <v>0</v>
      </c>
      <c r="H236" s="11">
        <f t="shared" si="25"/>
        <v>0</v>
      </c>
      <c r="I236" s="55" t="str">
        <f t="shared" si="26"/>
        <v/>
      </c>
      <c r="J236" s="55">
        <f t="shared" si="27"/>
        <v>0</v>
      </c>
      <c r="K236" s="4">
        <f t="shared" si="28"/>
        <v>0</v>
      </c>
      <c r="L236" s="19" t="str">
        <f t="shared" si="29"/>
        <v>🆕 أول ظهور لهذه المادة</v>
      </c>
      <c r="M236" s="12">
        <f>IF(A236="","",IFERROR(INDEX(المدخلات!$M$4:$M$15,MATCH(A236,المدخلات!$L$4:$L$15,0)),""))</f>
        <v>13300</v>
      </c>
      <c r="N236" s="4">
        <f t="shared" si="30"/>
        <v>0</v>
      </c>
      <c r="O236" s="4">
        <f t="shared" si="31"/>
        <v>0</v>
      </c>
    </row>
    <row r="237" spans="1:15">
      <c r="A237" s="11">
        <v>202606</v>
      </c>
      <c r="B237" s="19" t="s">
        <v>271</v>
      </c>
      <c r="C237" s="19" t="s">
        <v>258</v>
      </c>
      <c r="D237" s="55">
        <v>-20</v>
      </c>
      <c r="E237" s="56">
        <v>0</v>
      </c>
      <c r="F237" s="19" t="s">
        <v>62</v>
      </c>
      <c r="G237" s="4">
        <f t="shared" si="24"/>
        <v>0</v>
      </c>
      <c r="H237" s="11">
        <f t="shared" si="25"/>
        <v>0</v>
      </c>
      <c r="I237" s="55" t="str">
        <f t="shared" si="26"/>
        <v/>
      </c>
      <c r="J237" s="55">
        <f t="shared" si="27"/>
        <v>0</v>
      </c>
      <c r="K237" s="4">
        <f t="shared" si="28"/>
        <v>0</v>
      </c>
      <c r="L237" s="19" t="str">
        <f t="shared" si="29"/>
        <v>🆕 أول ظهور لهذه المادة</v>
      </c>
      <c r="M237" s="12">
        <f>IF(A237="","",IFERROR(INDEX(المدخلات!$M$4:$M$15,MATCH(A237,المدخلات!$L$4:$L$15,0)),""))</f>
        <v>13300</v>
      </c>
      <c r="N237" s="4">
        <f t="shared" si="30"/>
        <v>0</v>
      </c>
      <c r="O237" s="4">
        <f t="shared" si="31"/>
        <v>0</v>
      </c>
    </row>
    <row r="238" spans="1:15">
      <c r="A238" s="11">
        <v>202606</v>
      </c>
      <c r="B238" s="19" t="s">
        <v>271</v>
      </c>
      <c r="C238" s="19" t="s">
        <v>259</v>
      </c>
      <c r="D238" s="55">
        <v>-8</v>
      </c>
      <c r="E238" s="56">
        <v>0</v>
      </c>
      <c r="F238" s="19" t="s">
        <v>62</v>
      </c>
      <c r="G238" s="4">
        <f t="shared" si="24"/>
        <v>0</v>
      </c>
      <c r="H238" s="11">
        <f t="shared" si="25"/>
        <v>0</v>
      </c>
      <c r="I238" s="55" t="str">
        <f t="shared" si="26"/>
        <v/>
      </c>
      <c r="J238" s="55">
        <f t="shared" si="27"/>
        <v>0</v>
      </c>
      <c r="K238" s="4">
        <f t="shared" si="28"/>
        <v>0</v>
      </c>
      <c r="L238" s="19" t="str">
        <f t="shared" si="29"/>
        <v>🆕 أول ظهور لهذه المادة</v>
      </c>
      <c r="M238" s="12">
        <f>IF(A238="","",IFERROR(INDEX(المدخلات!$M$4:$M$15,MATCH(A238,المدخلات!$L$4:$L$15,0)),""))</f>
        <v>13300</v>
      </c>
      <c r="N238" s="4">
        <f t="shared" si="30"/>
        <v>0</v>
      </c>
      <c r="O238" s="4">
        <f t="shared" si="31"/>
        <v>0</v>
      </c>
    </row>
    <row r="239" spans="1:15">
      <c r="A239" s="11">
        <v>202606</v>
      </c>
      <c r="B239" s="19" t="s">
        <v>271</v>
      </c>
      <c r="C239" s="19" t="s">
        <v>260</v>
      </c>
      <c r="D239" s="55">
        <v>330.4</v>
      </c>
      <c r="E239" s="56">
        <v>55000</v>
      </c>
      <c r="F239" s="19" t="s">
        <v>62</v>
      </c>
      <c r="G239" s="4">
        <f t="shared" si="24"/>
        <v>18172000</v>
      </c>
      <c r="H239" s="11">
        <f t="shared" si="25"/>
        <v>0</v>
      </c>
      <c r="I239" s="55" t="str">
        <f t="shared" si="26"/>
        <v/>
      </c>
      <c r="J239" s="55">
        <f t="shared" si="27"/>
        <v>0</v>
      </c>
      <c r="K239" s="4">
        <f t="shared" si="28"/>
        <v>0</v>
      </c>
      <c r="L239" s="19" t="str">
        <f t="shared" si="29"/>
        <v>🆕 أول ظهور لهذه المادة</v>
      </c>
      <c r="M239" s="12">
        <f>IF(A239="","",IFERROR(INDEX(المدخلات!$M$4:$M$15,MATCH(A239,المدخلات!$L$4:$L$15,0)),""))</f>
        <v>13300</v>
      </c>
      <c r="N239" s="4">
        <f t="shared" si="30"/>
        <v>18172000</v>
      </c>
      <c r="O239" s="4">
        <f t="shared" si="31"/>
        <v>0</v>
      </c>
    </row>
    <row r="240" spans="1:15">
      <c r="A240" s="11">
        <v>202606</v>
      </c>
      <c r="B240" s="19" t="s">
        <v>271</v>
      </c>
      <c r="C240" s="19" t="s">
        <v>362</v>
      </c>
      <c r="D240" s="55">
        <v>0</v>
      </c>
      <c r="E240" s="56">
        <v>10700</v>
      </c>
      <c r="F240" s="19" t="s">
        <v>62</v>
      </c>
      <c r="G240" s="4">
        <f t="shared" si="24"/>
        <v>0</v>
      </c>
      <c r="H240" s="11">
        <f t="shared" si="25"/>
        <v>0</v>
      </c>
      <c r="I240" s="55" t="str">
        <f t="shared" si="26"/>
        <v/>
      </c>
      <c r="J240" s="55">
        <f t="shared" si="27"/>
        <v>0</v>
      </c>
      <c r="K240" s="4">
        <f t="shared" si="28"/>
        <v>0</v>
      </c>
      <c r="L240" s="19" t="str">
        <f t="shared" si="29"/>
        <v>🆕 أول ظهور لهذه المادة</v>
      </c>
      <c r="M240" s="12">
        <f>IF(A240="","",IFERROR(INDEX(المدخلات!$M$4:$M$15,MATCH(A240,المدخلات!$L$4:$L$15,0)),""))</f>
        <v>13300</v>
      </c>
      <c r="N240" s="4">
        <f t="shared" si="30"/>
        <v>0</v>
      </c>
      <c r="O240" s="4">
        <f t="shared" si="31"/>
        <v>0</v>
      </c>
    </row>
    <row r="241" spans="1:15">
      <c r="A241" s="11">
        <v>202606</v>
      </c>
      <c r="B241" s="19" t="s">
        <v>271</v>
      </c>
      <c r="C241" s="19" t="s">
        <v>363</v>
      </c>
      <c r="D241" s="55">
        <v>0</v>
      </c>
      <c r="E241" s="56">
        <v>3500</v>
      </c>
      <c r="F241" s="19" t="s">
        <v>62</v>
      </c>
      <c r="G241" s="4">
        <f t="shared" si="24"/>
        <v>0</v>
      </c>
      <c r="H241" s="11">
        <f t="shared" si="25"/>
        <v>0</v>
      </c>
      <c r="I241" s="55" t="str">
        <f t="shared" si="26"/>
        <v/>
      </c>
      <c r="J241" s="55">
        <f t="shared" si="27"/>
        <v>0</v>
      </c>
      <c r="K241" s="4">
        <f t="shared" si="28"/>
        <v>0</v>
      </c>
      <c r="L241" s="19" t="str">
        <f t="shared" si="29"/>
        <v>🆕 أول ظهور لهذه المادة</v>
      </c>
      <c r="M241" s="12">
        <f>IF(A241="","",IFERROR(INDEX(المدخلات!$M$4:$M$15,MATCH(A241,المدخلات!$L$4:$L$15,0)),""))</f>
        <v>13300</v>
      </c>
      <c r="N241" s="4">
        <f t="shared" si="30"/>
        <v>0</v>
      </c>
      <c r="O241" s="4">
        <f t="shared" si="31"/>
        <v>0</v>
      </c>
    </row>
    <row r="242" spans="1:15">
      <c r="A242" s="11">
        <v>202607</v>
      </c>
      <c r="B242" s="19" t="s">
        <v>93</v>
      </c>
      <c r="C242" s="19" t="s">
        <v>307</v>
      </c>
      <c r="D242" s="55">
        <v>0</v>
      </c>
      <c r="E242" s="56">
        <v>3250</v>
      </c>
      <c r="F242" s="19" t="s">
        <v>62</v>
      </c>
      <c r="G242" s="4">
        <f t="shared" si="24"/>
        <v>0</v>
      </c>
      <c r="H242" s="11">
        <f t="shared" si="25"/>
        <v>202606</v>
      </c>
      <c r="I242" s="55">
        <f t="shared" si="26"/>
        <v>0</v>
      </c>
      <c r="J242" s="55">
        <f t="shared" si="27"/>
        <v>0</v>
      </c>
      <c r="K242" s="4">
        <f t="shared" si="28"/>
        <v>0</v>
      </c>
      <c r="L242" s="19" t="str">
        <f t="shared" si="29"/>
        <v>➖ لا تغيير</v>
      </c>
      <c r="M242" s="12">
        <f>IF(A242="","",IFERROR(INDEX(المدخلات!$M$4:$M$15,MATCH(A242,المدخلات!$L$4:$L$15,0)),""))</f>
        <v>13200</v>
      </c>
      <c r="N242" s="4">
        <f t="shared" si="30"/>
        <v>0</v>
      </c>
      <c r="O242" s="4">
        <f t="shared" si="31"/>
        <v>0</v>
      </c>
    </row>
    <row r="243" spans="1:15">
      <c r="A243" s="11">
        <v>202607</v>
      </c>
      <c r="B243" s="19" t="s">
        <v>93</v>
      </c>
      <c r="C243" s="19" t="s">
        <v>308</v>
      </c>
      <c r="D243" s="55">
        <v>0</v>
      </c>
      <c r="E243" s="56">
        <v>1700</v>
      </c>
      <c r="F243" s="19" t="s">
        <v>62</v>
      </c>
      <c r="G243" s="4">
        <f t="shared" si="24"/>
        <v>0</v>
      </c>
      <c r="H243" s="11">
        <f t="shared" si="25"/>
        <v>202606</v>
      </c>
      <c r="I243" s="55">
        <f t="shared" si="26"/>
        <v>0</v>
      </c>
      <c r="J243" s="55">
        <f t="shared" si="27"/>
        <v>0</v>
      </c>
      <c r="K243" s="4">
        <f t="shared" si="28"/>
        <v>0</v>
      </c>
      <c r="L243" s="19" t="str">
        <f t="shared" si="29"/>
        <v>➖ لا تغيير</v>
      </c>
      <c r="M243" s="12">
        <f>IF(A243="","",IFERROR(INDEX(المدخلات!$M$4:$M$15,MATCH(A243,المدخلات!$L$4:$L$15,0)),""))</f>
        <v>13200</v>
      </c>
      <c r="N243" s="4">
        <f t="shared" si="30"/>
        <v>0</v>
      </c>
      <c r="O243" s="4">
        <f t="shared" si="31"/>
        <v>0</v>
      </c>
    </row>
    <row r="244" spans="1:15">
      <c r="A244" s="11">
        <v>202607</v>
      </c>
      <c r="B244" s="19" t="s">
        <v>93</v>
      </c>
      <c r="C244" s="19" t="s">
        <v>309</v>
      </c>
      <c r="D244" s="55">
        <v>12</v>
      </c>
      <c r="E244" s="56">
        <v>10000</v>
      </c>
      <c r="F244" s="19" t="s">
        <v>62</v>
      </c>
      <c r="G244" s="4">
        <f t="shared" si="24"/>
        <v>120000</v>
      </c>
      <c r="H244" s="11">
        <f t="shared" si="25"/>
        <v>202606</v>
      </c>
      <c r="I244" s="55">
        <f t="shared" si="26"/>
        <v>0</v>
      </c>
      <c r="J244" s="55">
        <f t="shared" si="27"/>
        <v>0</v>
      </c>
      <c r="K244" s="4">
        <f t="shared" si="28"/>
        <v>0</v>
      </c>
      <c r="L244" s="19" t="str">
        <f t="shared" si="29"/>
        <v>ℹ️ زيادة كمية (شراء/تصحيح) - لا تُحتسب استهلاكاً</v>
      </c>
      <c r="M244" s="12">
        <f>IF(A244="","",IFERROR(INDEX(المدخلات!$M$4:$M$15,MATCH(A244,المدخلات!$L$4:$L$15,0)),""))</f>
        <v>13200</v>
      </c>
      <c r="N244" s="4">
        <f t="shared" si="30"/>
        <v>120000</v>
      </c>
      <c r="O244" s="4">
        <f t="shared" si="31"/>
        <v>0</v>
      </c>
    </row>
    <row r="245" spans="1:15">
      <c r="A245" s="11">
        <v>202607</v>
      </c>
      <c r="B245" s="19" t="s">
        <v>93</v>
      </c>
      <c r="C245" s="19" t="s">
        <v>201</v>
      </c>
      <c r="D245" s="55">
        <v>5.15</v>
      </c>
      <c r="E245" s="56">
        <v>108000</v>
      </c>
      <c r="F245" s="19" t="s">
        <v>62</v>
      </c>
      <c r="G245" s="4">
        <f t="shared" si="24"/>
        <v>556200</v>
      </c>
      <c r="H245" s="11">
        <f t="shared" si="25"/>
        <v>202606</v>
      </c>
      <c r="I245" s="55">
        <f t="shared" si="26"/>
        <v>6.4</v>
      </c>
      <c r="J245" s="55">
        <f t="shared" si="27"/>
        <v>1.25</v>
      </c>
      <c r="K245" s="4">
        <f t="shared" si="28"/>
        <v>135000</v>
      </c>
      <c r="L245" s="19" t="str">
        <f t="shared" si="29"/>
        <v/>
      </c>
      <c r="M245" s="12">
        <f>IF(A245="","",IFERROR(INDEX(المدخلات!$M$4:$M$15,MATCH(A245,المدخلات!$L$4:$L$15,0)),""))</f>
        <v>13200</v>
      </c>
      <c r="N245" s="4">
        <f t="shared" si="30"/>
        <v>556200</v>
      </c>
      <c r="O245" s="4">
        <f t="shared" si="31"/>
        <v>135000</v>
      </c>
    </row>
    <row r="246" spans="1:15">
      <c r="A246" s="11">
        <v>202607</v>
      </c>
      <c r="B246" s="19" t="s">
        <v>93</v>
      </c>
      <c r="C246" s="19" t="s">
        <v>202</v>
      </c>
      <c r="D246" s="55">
        <v>0</v>
      </c>
      <c r="E246" s="56">
        <v>360000</v>
      </c>
      <c r="F246" s="19" t="s">
        <v>62</v>
      </c>
      <c r="G246" s="4">
        <f t="shared" si="24"/>
        <v>0</v>
      </c>
      <c r="H246" s="11">
        <f t="shared" si="25"/>
        <v>202606</v>
      </c>
      <c r="I246" s="55">
        <f t="shared" si="26"/>
        <v>0</v>
      </c>
      <c r="J246" s="55">
        <f t="shared" si="27"/>
        <v>0</v>
      </c>
      <c r="K246" s="4">
        <f t="shared" si="28"/>
        <v>0</v>
      </c>
      <c r="L246" s="19" t="str">
        <f t="shared" si="29"/>
        <v>➖ لا تغيير</v>
      </c>
      <c r="M246" s="12">
        <f>IF(A246="","",IFERROR(INDEX(المدخلات!$M$4:$M$15,MATCH(A246,المدخلات!$L$4:$L$15,0)),""))</f>
        <v>13200</v>
      </c>
      <c r="N246" s="4">
        <f t="shared" si="30"/>
        <v>0</v>
      </c>
      <c r="O246" s="4">
        <f t="shared" si="31"/>
        <v>0</v>
      </c>
    </row>
    <row r="247" spans="1:15">
      <c r="A247" s="11">
        <v>202607</v>
      </c>
      <c r="B247" s="19" t="s">
        <v>93</v>
      </c>
      <c r="C247" s="19" t="s">
        <v>203</v>
      </c>
      <c r="D247" s="55">
        <v>0</v>
      </c>
      <c r="E247" s="56">
        <v>25000</v>
      </c>
      <c r="F247" s="19" t="s">
        <v>62</v>
      </c>
      <c r="G247" s="4">
        <f t="shared" si="24"/>
        <v>0</v>
      </c>
      <c r="H247" s="11">
        <f t="shared" si="25"/>
        <v>202606</v>
      </c>
      <c r="I247" s="55">
        <f t="shared" si="26"/>
        <v>0</v>
      </c>
      <c r="J247" s="55">
        <f t="shared" si="27"/>
        <v>0</v>
      </c>
      <c r="K247" s="4">
        <f t="shared" si="28"/>
        <v>0</v>
      </c>
      <c r="L247" s="19" t="str">
        <f t="shared" si="29"/>
        <v>➖ لا تغيير</v>
      </c>
      <c r="M247" s="12">
        <f>IF(A247="","",IFERROR(INDEX(المدخلات!$M$4:$M$15,MATCH(A247,المدخلات!$L$4:$L$15,0)),""))</f>
        <v>13200</v>
      </c>
      <c r="N247" s="4">
        <f t="shared" si="30"/>
        <v>0</v>
      </c>
      <c r="O247" s="4">
        <f t="shared" si="31"/>
        <v>0</v>
      </c>
    </row>
    <row r="248" spans="1:15">
      <c r="A248" s="11">
        <v>202607</v>
      </c>
      <c r="B248" s="19" t="s">
        <v>93</v>
      </c>
      <c r="C248" s="19" t="s">
        <v>204</v>
      </c>
      <c r="D248" s="55">
        <v>27</v>
      </c>
      <c r="E248" s="56">
        <v>50000</v>
      </c>
      <c r="F248" s="19" t="s">
        <v>62</v>
      </c>
      <c r="G248" s="4">
        <f t="shared" si="24"/>
        <v>1350000</v>
      </c>
      <c r="H248" s="11">
        <f t="shared" si="25"/>
        <v>202606</v>
      </c>
      <c r="I248" s="55">
        <f t="shared" si="26"/>
        <v>27</v>
      </c>
      <c r="J248" s="55">
        <f t="shared" si="27"/>
        <v>0</v>
      </c>
      <c r="K248" s="4">
        <f t="shared" si="28"/>
        <v>0</v>
      </c>
      <c r="L248" s="19" t="str">
        <f t="shared" si="29"/>
        <v>➖ لا تغيير</v>
      </c>
      <c r="M248" s="12">
        <f>IF(A248="","",IFERROR(INDEX(المدخلات!$M$4:$M$15,MATCH(A248,المدخلات!$L$4:$L$15,0)),""))</f>
        <v>13200</v>
      </c>
      <c r="N248" s="4">
        <f t="shared" si="30"/>
        <v>1350000</v>
      </c>
      <c r="O248" s="4">
        <f t="shared" si="31"/>
        <v>0</v>
      </c>
    </row>
    <row r="249" spans="1:15">
      <c r="A249" s="11">
        <v>202607</v>
      </c>
      <c r="B249" s="19" t="s">
        <v>93</v>
      </c>
      <c r="C249" s="19" t="s">
        <v>205</v>
      </c>
      <c r="D249" s="55">
        <v>9.42</v>
      </c>
      <c r="E249" s="56">
        <v>72000</v>
      </c>
      <c r="F249" s="19" t="s">
        <v>62</v>
      </c>
      <c r="G249" s="4">
        <f t="shared" si="24"/>
        <v>678240</v>
      </c>
      <c r="H249" s="11">
        <f t="shared" si="25"/>
        <v>202606</v>
      </c>
      <c r="I249" s="55">
        <f t="shared" si="26"/>
        <v>15.25</v>
      </c>
      <c r="J249" s="55">
        <f t="shared" si="27"/>
        <v>5.83</v>
      </c>
      <c r="K249" s="4">
        <f t="shared" si="28"/>
        <v>419760</v>
      </c>
      <c r="L249" s="19" t="str">
        <f t="shared" si="29"/>
        <v/>
      </c>
      <c r="M249" s="12">
        <f>IF(A249="","",IFERROR(INDEX(المدخلات!$M$4:$M$15,MATCH(A249,المدخلات!$L$4:$L$15,0)),""))</f>
        <v>13200</v>
      </c>
      <c r="N249" s="4">
        <f t="shared" si="30"/>
        <v>678240</v>
      </c>
      <c r="O249" s="4">
        <f t="shared" si="31"/>
        <v>419760</v>
      </c>
    </row>
    <row r="250" spans="1:15">
      <c r="A250" s="11">
        <v>202607</v>
      </c>
      <c r="B250" s="19" t="s">
        <v>93</v>
      </c>
      <c r="C250" s="19" t="s">
        <v>310</v>
      </c>
      <c r="D250" s="55">
        <v>0</v>
      </c>
      <c r="E250" s="56">
        <v>28000</v>
      </c>
      <c r="F250" s="19" t="s">
        <v>62</v>
      </c>
      <c r="G250" s="4">
        <f t="shared" si="24"/>
        <v>0</v>
      </c>
      <c r="H250" s="11">
        <f t="shared" si="25"/>
        <v>202606</v>
      </c>
      <c r="I250" s="55">
        <f t="shared" si="26"/>
        <v>0</v>
      </c>
      <c r="J250" s="55">
        <f t="shared" si="27"/>
        <v>0</v>
      </c>
      <c r="K250" s="4">
        <f t="shared" si="28"/>
        <v>0</v>
      </c>
      <c r="L250" s="19" t="str">
        <f t="shared" si="29"/>
        <v>➖ لا تغيير</v>
      </c>
      <c r="M250" s="12">
        <f>IF(A250="","",IFERROR(INDEX(المدخلات!$M$4:$M$15,MATCH(A250,المدخلات!$L$4:$L$15,0)),""))</f>
        <v>13200</v>
      </c>
      <c r="N250" s="4">
        <f t="shared" si="30"/>
        <v>0</v>
      </c>
      <c r="O250" s="4">
        <f t="shared" si="31"/>
        <v>0</v>
      </c>
    </row>
    <row r="251" spans="1:15">
      <c r="A251" s="11">
        <v>202607</v>
      </c>
      <c r="B251" s="19" t="s">
        <v>93</v>
      </c>
      <c r="C251" s="19" t="s">
        <v>311</v>
      </c>
      <c r="D251" s="55">
        <v>8</v>
      </c>
      <c r="E251" s="56">
        <v>8500</v>
      </c>
      <c r="F251" s="19" t="s">
        <v>62</v>
      </c>
      <c r="G251" s="4">
        <f t="shared" si="24"/>
        <v>68000</v>
      </c>
      <c r="H251" s="11">
        <f t="shared" si="25"/>
        <v>202606</v>
      </c>
      <c r="I251" s="55">
        <f t="shared" si="26"/>
        <v>10</v>
      </c>
      <c r="J251" s="55">
        <f t="shared" si="27"/>
        <v>2</v>
      </c>
      <c r="K251" s="4">
        <f t="shared" si="28"/>
        <v>17000</v>
      </c>
      <c r="L251" s="19" t="str">
        <f t="shared" si="29"/>
        <v/>
      </c>
      <c r="M251" s="12">
        <f>IF(A251="","",IFERROR(INDEX(المدخلات!$M$4:$M$15,MATCH(A251,المدخلات!$L$4:$L$15,0)),""))</f>
        <v>13200</v>
      </c>
      <c r="N251" s="4">
        <f t="shared" si="30"/>
        <v>68000</v>
      </c>
      <c r="O251" s="4">
        <f t="shared" si="31"/>
        <v>17000</v>
      </c>
    </row>
    <row r="252" spans="1:15">
      <c r="A252" s="11">
        <v>202607</v>
      </c>
      <c r="B252" s="19" t="s">
        <v>93</v>
      </c>
      <c r="C252" s="19" t="s">
        <v>110</v>
      </c>
      <c r="D252" s="55">
        <v>0</v>
      </c>
      <c r="E252" s="56">
        <v>175</v>
      </c>
      <c r="F252" s="19" t="s">
        <v>63</v>
      </c>
      <c r="G252" s="4">
        <f t="shared" si="24"/>
        <v>0</v>
      </c>
      <c r="H252" s="11">
        <f t="shared" si="25"/>
        <v>202606</v>
      </c>
      <c r="I252" s="55">
        <f t="shared" si="26"/>
        <v>0</v>
      </c>
      <c r="J252" s="55">
        <f t="shared" si="27"/>
        <v>0</v>
      </c>
      <c r="K252" s="4">
        <f t="shared" si="28"/>
        <v>0</v>
      </c>
      <c r="L252" s="19" t="str">
        <f t="shared" si="29"/>
        <v>➖ لا تغيير</v>
      </c>
      <c r="M252" s="12">
        <f>IF(A252="","",IFERROR(INDEX(المدخلات!$M$4:$M$15,MATCH(A252,المدخلات!$L$4:$L$15,0)),""))</f>
        <v>13200</v>
      </c>
      <c r="N252" s="4">
        <f t="shared" si="30"/>
        <v>0</v>
      </c>
      <c r="O252" s="4">
        <f t="shared" si="31"/>
        <v>0</v>
      </c>
    </row>
    <row r="253" spans="1:15">
      <c r="A253" s="11">
        <v>202607</v>
      </c>
      <c r="B253" s="19" t="s">
        <v>93</v>
      </c>
      <c r="C253" s="19" t="s">
        <v>206</v>
      </c>
      <c r="D253" s="55">
        <v>0</v>
      </c>
      <c r="E253" s="56">
        <v>120000</v>
      </c>
      <c r="F253" s="19" t="s">
        <v>62</v>
      </c>
      <c r="G253" s="4">
        <f t="shared" si="24"/>
        <v>0</v>
      </c>
      <c r="H253" s="11">
        <f t="shared" si="25"/>
        <v>202606</v>
      </c>
      <c r="I253" s="55">
        <f t="shared" si="26"/>
        <v>0</v>
      </c>
      <c r="J253" s="55">
        <f t="shared" si="27"/>
        <v>0</v>
      </c>
      <c r="K253" s="4">
        <f t="shared" si="28"/>
        <v>0</v>
      </c>
      <c r="L253" s="19" t="str">
        <f t="shared" si="29"/>
        <v>➖ لا تغيير</v>
      </c>
      <c r="M253" s="12">
        <f>IF(A253="","",IFERROR(INDEX(المدخلات!$M$4:$M$15,MATCH(A253,المدخلات!$L$4:$L$15,0)),""))</f>
        <v>13200</v>
      </c>
      <c r="N253" s="4">
        <f t="shared" si="30"/>
        <v>0</v>
      </c>
      <c r="O253" s="4">
        <f t="shared" si="31"/>
        <v>0</v>
      </c>
    </row>
    <row r="254" spans="1:15">
      <c r="A254" s="11">
        <v>202607</v>
      </c>
      <c r="B254" s="19" t="s">
        <v>93</v>
      </c>
      <c r="C254" s="19" t="s">
        <v>312</v>
      </c>
      <c r="D254" s="55">
        <v>21</v>
      </c>
      <c r="E254" s="56">
        <v>9500</v>
      </c>
      <c r="F254" s="19" t="s">
        <v>62</v>
      </c>
      <c r="G254" s="4">
        <f t="shared" si="24"/>
        <v>199500</v>
      </c>
      <c r="H254" s="11">
        <f t="shared" si="25"/>
        <v>202606</v>
      </c>
      <c r="I254" s="55">
        <f t="shared" si="26"/>
        <v>23</v>
      </c>
      <c r="J254" s="55">
        <f t="shared" si="27"/>
        <v>2</v>
      </c>
      <c r="K254" s="4">
        <f t="shared" si="28"/>
        <v>19000</v>
      </c>
      <c r="L254" s="19" t="str">
        <f t="shared" si="29"/>
        <v/>
      </c>
      <c r="M254" s="12">
        <f>IF(A254="","",IFERROR(INDEX(المدخلات!$M$4:$M$15,MATCH(A254,المدخلات!$L$4:$L$15,0)),""))</f>
        <v>13200</v>
      </c>
      <c r="N254" s="4">
        <f t="shared" si="30"/>
        <v>199500</v>
      </c>
      <c r="O254" s="4">
        <f t="shared" si="31"/>
        <v>19000</v>
      </c>
    </row>
    <row r="255" spans="1:15">
      <c r="A255" s="11">
        <v>202607</v>
      </c>
      <c r="B255" s="19" t="s">
        <v>93</v>
      </c>
      <c r="C255" s="19" t="s">
        <v>313</v>
      </c>
      <c r="D255" s="55">
        <v>119.5</v>
      </c>
      <c r="E255" s="56">
        <v>3000</v>
      </c>
      <c r="F255" s="19" t="s">
        <v>62</v>
      </c>
      <c r="G255" s="4">
        <f t="shared" si="24"/>
        <v>358500</v>
      </c>
      <c r="H255" s="11">
        <f t="shared" si="25"/>
        <v>202606</v>
      </c>
      <c r="I255" s="55">
        <f t="shared" si="26"/>
        <v>245</v>
      </c>
      <c r="J255" s="55">
        <f t="shared" si="27"/>
        <v>125.5</v>
      </c>
      <c r="K255" s="4">
        <f t="shared" si="28"/>
        <v>376500</v>
      </c>
      <c r="L255" s="19" t="str">
        <f t="shared" si="29"/>
        <v/>
      </c>
      <c r="M255" s="12">
        <f>IF(A255="","",IFERROR(INDEX(المدخلات!$M$4:$M$15,MATCH(A255,المدخلات!$L$4:$L$15,0)),""))</f>
        <v>13200</v>
      </c>
      <c r="N255" s="4">
        <f t="shared" si="30"/>
        <v>358500</v>
      </c>
      <c r="O255" s="4">
        <f t="shared" si="31"/>
        <v>376500</v>
      </c>
    </row>
    <row r="256" spans="1:15">
      <c r="A256" s="11">
        <v>202607</v>
      </c>
      <c r="B256" s="19" t="s">
        <v>93</v>
      </c>
      <c r="C256" s="19" t="s">
        <v>113</v>
      </c>
      <c r="D256" s="55">
        <v>0</v>
      </c>
      <c r="E256" s="56">
        <v>63</v>
      </c>
      <c r="F256" s="19" t="s">
        <v>63</v>
      </c>
      <c r="G256" s="4">
        <f t="shared" si="24"/>
        <v>0</v>
      </c>
      <c r="H256" s="11">
        <f t="shared" si="25"/>
        <v>202606</v>
      </c>
      <c r="I256" s="55">
        <f t="shared" si="26"/>
        <v>0</v>
      </c>
      <c r="J256" s="55">
        <f t="shared" si="27"/>
        <v>0</v>
      </c>
      <c r="K256" s="4">
        <f t="shared" si="28"/>
        <v>0</v>
      </c>
      <c r="L256" s="19" t="str">
        <f t="shared" si="29"/>
        <v>➖ لا تغيير</v>
      </c>
      <c r="M256" s="12">
        <f>IF(A256="","",IFERROR(INDEX(المدخلات!$M$4:$M$15,MATCH(A256,المدخلات!$L$4:$L$15,0)),""))</f>
        <v>13200</v>
      </c>
      <c r="N256" s="4">
        <f t="shared" si="30"/>
        <v>0</v>
      </c>
      <c r="O256" s="4">
        <f t="shared" si="31"/>
        <v>0</v>
      </c>
    </row>
    <row r="257" spans="1:15">
      <c r="A257" s="11">
        <v>202607</v>
      </c>
      <c r="B257" s="19" t="s">
        <v>93</v>
      </c>
      <c r="C257" s="19" t="s">
        <v>207</v>
      </c>
      <c r="D257" s="55">
        <v>0</v>
      </c>
      <c r="E257" s="56">
        <v>0</v>
      </c>
      <c r="F257" s="19" t="s">
        <v>62</v>
      </c>
      <c r="G257" s="4">
        <f t="shared" si="24"/>
        <v>0</v>
      </c>
      <c r="H257" s="11">
        <f t="shared" si="25"/>
        <v>202606</v>
      </c>
      <c r="I257" s="55">
        <f t="shared" si="26"/>
        <v>0</v>
      </c>
      <c r="J257" s="55">
        <f t="shared" si="27"/>
        <v>0</v>
      </c>
      <c r="K257" s="4">
        <f t="shared" si="28"/>
        <v>0</v>
      </c>
      <c r="L257" s="19" t="str">
        <f t="shared" si="29"/>
        <v>➖ لا تغيير</v>
      </c>
      <c r="M257" s="12">
        <f>IF(A257="","",IFERROR(INDEX(المدخلات!$M$4:$M$15,MATCH(A257,المدخلات!$L$4:$L$15,0)),""))</f>
        <v>13200</v>
      </c>
      <c r="N257" s="4">
        <f t="shared" si="30"/>
        <v>0</v>
      </c>
      <c r="O257" s="4">
        <f t="shared" si="31"/>
        <v>0</v>
      </c>
    </row>
    <row r="258" spans="1:15">
      <c r="A258" s="11">
        <v>202607</v>
      </c>
      <c r="B258" s="19" t="s">
        <v>93</v>
      </c>
      <c r="C258" s="19" t="s">
        <v>208</v>
      </c>
      <c r="D258" s="55">
        <v>0</v>
      </c>
      <c r="E258" s="56">
        <v>139200</v>
      </c>
      <c r="F258" s="19" t="s">
        <v>62</v>
      </c>
      <c r="G258" s="4">
        <f t="shared" si="24"/>
        <v>0</v>
      </c>
      <c r="H258" s="11">
        <f t="shared" si="25"/>
        <v>202606</v>
      </c>
      <c r="I258" s="55">
        <f t="shared" si="26"/>
        <v>0</v>
      </c>
      <c r="J258" s="55">
        <f t="shared" si="27"/>
        <v>0</v>
      </c>
      <c r="K258" s="4">
        <f t="shared" si="28"/>
        <v>0</v>
      </c>
      <c r="L258" s="19" t="str">
        <f t="shared" si="29"/>
        <v>➖ لا تغيير</v>
      </c>
      <c r="M258" s="12">
        <f>IF(A258="","",IFERROR(INDEX(المدخلات!$M$4:$M$15,MATCH(A258,المدخلات!$L$4:$L$15,0)),""))</f>
        <v>13200</v>
      </c>
      <c r="N258" s="4">
        <f t="shared" si="30"/>
        <v>0</v>
      </c>
      <c r="O258" s="4">
        <f t="shared" si="31"/>
        <v>0</v>
      </c>
    </row>
    <row r="259" spans="1:15">
      <c r="A259" s="11">
        <v>202607</v>
      </c>
      <c r="B259" s="19" t="s">
        <v>93</v>
      </c>
      <c r="C259" s="19" t="s">
        <v>114</v>
      </c>
      <c r="D259" s="55">
        <v>93.04</v>
      </c>
      <c r="E259" s="56">
        <v>2.1</v>
      </c>
      <c r="F259" s="19" t="s">
        <v>63</v>
      </c>
      <c r="G259" s="4">
        <f t="shared" si="24"/>
        <v>195.38400000000001</v>
      </c>
      <c r="H259" s="11">
        <f t="shared" si="25"/>
        <v>202606</v>
      </c>
      <c r="I259" s="55">
        <f t="shared" si="26"/>
        <v>138.04</v>
      </c>
      <c r="J259" s="55">
        <f t="shared" si="27"/>
        <v>44.999999999999986</v>
      </c>
      <c r="K259" s="4">
        <f t="shared" si="28"/>
        <v>94.499999999999972</v>
      </c>
      <c r="L259" s="19" t="str">
        <f t="shared" si="29"/>
        <v/>
      </c>
      <c r="M259" s="12">
        <f>IF(A259="","",IFERROR(INDEX(المدخلات!$M$4:$M$15,MATCH(A259,المدخلات!$L$4:$L$15,0)),""))</f>
        <v>13200</v>
      </c>
      <c r="N259" s="4">
        <f t="shared" si="30"/>
        <v>2579068.8000000003</v>
      </c>
      <c r="O259" s="4">
        <f t="shared" si="31"/>
        <v>1247399.9999999995</v>
      </c>
    </row>
    <row r="260" spans="1:15">
      <c r="A260" s="11">
        <v>202607</v>
      </c>
      <c r="B260" s="19" t="s">
        <v>93</v>
      </c>
      <c r="C260" s="19" t="s">
        <v>209</v>
      </c>
      <c r="D260" s="55">
        <v>0.08</v>
      </c>
      <c r="E260" s="56">
        <v>74400</v>
      </c>
      <c r="F260" s="19" t="s">
        <v>62</v>
      </c>
      <c r="G260" s="4">
        <f t="shared" si="24"/>
        <v>5952</v>
      </c>
      <c r="H260" s="11">
        <f t="shared" si="25"/>
        <v>202606</v>
      </c>
      <c r="I260" s="55">
        <f t="shared" si="26"/>
        <v>0.42</v>
      </c>
      <c r="J260" s="55">
        <f t="shared" si="27"/>
        <v>0.33999999999999997</v>
      </c>
      <c r="K260" s="4">
        <f t="shared" si="28"/>
        <v>25295.999999999996</v>
      </c>
      <c r="L260" s="19" t="str">
        <f t="shared" si="29"/>
        <v/>
      </c>
      <c r="M260" s="12">
        <f>IF(A260="","",IFERROR(INDEX(المدخلات!$M$4:$M$15,MATCH(A260,المدخلات!$L$4:$L$15,0)),""))</f>
        <v>13200</v>
      </c>
      <c r="N260" s="4">
        <f t="shared" si="30"/>
        <v>5952</v>
      </c>
      <c r="O260" s="4">
        <f t="shared" si="31"/>
        <v>25295.999999999996</v>
      </c>
    </row>
    <row r="261" spans="1:15">
      <c r="A261" s="11">
        <v>202607</v>
      </c>
      <c r="B261" s="19" t="s">
        <v>93</v>
      </c>
      <c r="C261" s="19" t="s">
        <v>210</v>
      </c>
      <c r="D261" s="55">
        <v>6</v>
      </c>
      <c r="E261" s="56">
        <v>8125</v>
      </c>
      <c r="F261" s="19" t="s">
        <v>62</v>
      </c>
      <c r="G261" s="4">
        <f t="shared" ref="G261:G324" si="32">IF(OR(D261="",E261=""),"",D261*E261)</f>
        <v>48750</v>
      </c>
      <c r="H261" s="11">
        <f t="shared" ref="H261:H324" si="33">IF(C261="","",IFERROR(_xlfn.MAXIFS($A$5:$A$2003,$C$5:$C$2003,C261,$A$5:$A$2003,"&lt;"&amp;A261),0))</f>
        <v>202606</v>
      </c>
      <c r="I261" s="55">
        <f t="shared" ref="I261:I324" si="34">IF(OR(H261="",H261=0),"",IFERROR(SUMIFS($D$5:$D$2003,$C$5:$C$2003,C261,$A$5:$A$2003,H261),""))</f>
        <v>6</v>
      </c>
      <c r="J261" s="55">
        <f t="shared" ref="J261:J324" si="35">IF(C261="","",IF(I261="",0,MAX(I261-D261,0)))</f>
        <v>0</v>
      </c>
      <c r="K261" s="4">
        <f t="shared" ref="K261:K324" si="36">IF(J261="","",J261*E261)</f>
        <v>0</v>
      </c>
      <c r="L261" s="19" t="str">
        <f t="shared" ref="L261:L324" si="37">IF(C261="","",IF(COUNTIFS($A$5:$A$2003,A261,$C$5:$C$2003,C261)&gt;1,"⚠️ مادة مكررة بنفس الشهر",IF(OR(H261="",H261=0),"🆕 أول ظهور لهذه المادة",IF(D261&gt;I261,"ℹ️ زيادة كمية (شراء/تصحيح) - لا تُحتسب استهلاكاً",IF(D261=I261,"➖ لا تغيير","")))))</f>
        <v>➖ لا تغيير</v>
      </c>
      <c r="M261" s="12">
        <f>IF(A261="","",IFERROR(INDEX(المدخلات!$M$4:$M$15,MATCH(A261,المدخلات!$L$4:$L$15,0)),""))</f>
        <v>13200</v>
      </c>
      <c r="N261" s="4">
        <f t="shared" ref="N261:N324" si="38">IF(OR(G261="",F261=""),"",IF(F261="دولار أمريكي",IF(M261="","⚠️ لا يوجد سعر صرف",G261*M261),G261))</f>
        <v>48750</v>
      </c>
      <c r="O261" s="4">
        <f t="shared" ref="O261:O324" si="39">IF(OR(K261="",F261=""),"",IF(F261="دولار أمريكي",IF(M261="","⚠️ لا يوجد سعر صرف",K261*M261),K261))</f>
        <v>0</v>
      </c>
    </row>
    <row r="262" spans="1:15" ht="27" customHeight="1">
      <c r="A262" s="11">
        <v>202607</v>
      </c>
      <c r="B262" s="19" t="s">
        <v>93</v>
      </c>
      <c r="C262" s="19" t="s">
        <v>116</v>
      </c>
      <c r="D262" s="55">
        <v>2</v>
      </c>
      <c r="E262" s="56">
        <v>3</v>
      </c>
      <c r="F262" s="19" t="s">
        <v>63</v>
      </c>
      <c r="G262" s="4">
        <f t="shared" si="32"/>
        <v>6</v>
      </c>
      <c r="H262" s="11">
        <f t="shared" si="33"/>
        <v>202606</v>
      </c>
      <c r="I262" s="55">
        <f t="shared" si="34"/>
        <v>2</v>
      </c>
      <c r="J262" s="55">
        <f t="shared" si="35"/>
        <v>0</v>
      </c>
      <c r="K262" s="4">
        <f t="shared" si="36"/>
        <v>0</v>
      </c>
      <c r="L262" s="19" t="str">
        <f t="shared" si="37"/>
        <v>➖ لا تغيير</v>
      </c>
      <c r="M262" s="12">
        <f>IF(A262="","",IFERROR(INDEX(المدخلات!$M$4:$M$15,MATCH(A262,المدخلات!$L$4:$L$15,0)),""))</f>
        <v>13200</v>
      </c>
      <c r="N262" s="4">
        <f t="shared" si="38"/>
        <v>79200</v>
      </c>
      <c r="O262" s="4">
        <f t="shared" si="39"/>
        <v>0</v>
      </c>
    </row>
    <row r="263" spans="1:15">
      <c r="A263" s="11">
        <v>202607</v>
      </c>
      <c r="B263" s="19" t="s">
        <v>93</v>
      </c>
      <c r="C263" s="19" t="s">
        <v>314</v>
      </c>
      <c r="D263" s="55">
        <v>0.5</v>
      </c>
      <c r="E263" s="56">
        <v>168000</v>
      </c>
      <c r="F263" s="19" t="s">
        <v>62</v>
      </c>
      <c r="G263" s="4">
        <f t="shared" si="32"/>
        <v>84000</v>
      </c>
      <c r="H263" s="11">
        <f t="shared" si="33"/>
        <v>202606</v>
      </c>
      <c r="I263" s="55">
        <f t="shared" si="34"/>
        <v>0</v>
      </c>
      <c r="J263" s="55">
        <f t="shared" si="35"/>
        <v>0</v>
      </c>
      <c r="K263" s="4">
        <f t="shared" si="36"/>
        <v>0</v>
      </c>
      <c r="L263" s="19" t="str">
        <f t="shared" si="37"/>
        <v>ℹ️ زيادة كمية (شراء/تصحيح) - لا تُحتسب استهلاكاً</v>
      </c>
      <c r="M263" s="12">
        <f>IF(A263="","",IFERROR(INDEX(المدخلات!$M$4:$M$15,MATCH(A263,المدخلات!$L$4:$L$15,0)),""))</f>
        <v>13200</v>
      </c>
      <c r="N263" s="4">
        <f t="shared" si="38"/>
        <v>84000</v>
      </c>
      <c r="O263" s="4">
        <f t="shared" si="39"/>
        <v>0</v>
      </c>
    </row>
    <row r="264" spans="1:15">
      <c r="A264" s="11">
        <v>202607</v>
      </c>
      <c r="B264" s="19" t="s">
        <v>93</v>
      </c>
      <c r="C264" s="19" t="s">
        <v>117</v>
      </c>
      <c r="D264" s="55">
        <v>0</v>
      </c>
      <c r="E264" s="56">
        <v>44</v>
      </c>
      <c r="F264" s="19" t="s">
        <v>63</v>
      </c>
      <c r="G264" s="4">
        <f t="shared" si="32"/>
        <v>0</v>
      </c>
      <c r="H264" s="11">
        <f t="shared" si="33"/>
        <v>202606</v>
      </c>
      <c r="I264" s="55">
        <f t="shared" si="34"/>
        <v>0</v>
      </c>
      <c r="J264" s="55">
        <f t="shared" si="35"/>
        <v>0</v>
      </c>
      <c r="K264" s="4">
        <f t="shared" si="36"/>
        <v>0</v>
      </c>
      <c r="L264" s="19" t="str">
        <f t="shared" si="37"/>
        <v>➖ لا تغيير</v>
      </c>
      <c r="M264" s="12">
        <f>IF(A264="","",IFERROR(INDEX(المدخلات!$M$4:$M$15,MATCH(A264,المدخلات!$L$4:$L$15,0)),""))</f>
        <v>13200</v>
      </c>
      <c r="N264" s="4">
        <f t="shared" si="38"/>
        <v>0</v>
      </c>
      <c r="O264" s="4">
        <f t="shared" si="39"/>
        <v>0</v>
      </c>
    </row>
    <row r="265" spans="1:15">
      <c r="A265" s="11">
        <v>202607</v>
      </c>
      <c r="B265" s="19" t="s">
        <v>93</v>
      </c>
      <c r="C265" s="19" t="s">
        <v>211</v>
      </c>
      <c r="D265" s="55">
        <v>0</v>
      </c>
      <c r="E265" s="56">
        <v>117000</v>
      </c>
      <c r="F265" s="19" t="s">
        <v>62</v>
      </c>
      <c r="G265" s="4">
        <f t="shared" si="32"/>
        <v>0</v>
      </c>
      <c r="H265" s="11">
        <f t="shared" si="33"/>
        <v>202606</v>
      </c>
      <c r="I265" s="55">
        <f t="shared" si="34"/>
        <v>0</v>
      </c>
      <c r="J265" s="55">
        <f t="shared" si="35"/>
        <v>0</v>
      </c>
      <c r="K265" s="4">
        <f t="shared" si="36"/>
        <v>0</v>
      </c>
      <c r="L265" s="19" t="str">
        <f t="shared" si="37"/>
        <v>➖ لا تغيير</v>
      </c>
      <c r="M265" s="12">
        <f>IF(A265="","",IFERROR(INDEX(المدخلات!$M$4:$M$15,MATCH(A265,المدخلات!$L$4:$L$15,0)),""))</f>
        <v>13200</v>
      </c>
      <c r="N265" s="4">
        <f t="shared" si="38"/>
        <v>0</v>
      </c>
      <c r="O265" s="4">
        <f t="shared" si="39"/>
        <v>0</v>
      </c>
    </row>
    <row r="266" spans="1:15">
      <c r="A266" s="11">
        <v>202607</v>
      </c>
      <c r="B266" s="19" t="s">
        <v>93</v>
      </c>
      <c r="C266" s="19" t="s">
        <v>212</v>
      </c>
      <c r="D266" s="55">
        <v>0</v>
      </c>
      <c r="E266" s="56">
        <v>0</v>
      </c>
      <c r="F266" s="19" t="s">
        <v>62</v>
      </c>
      <c r="G266" s="4">
        <f t="shared" si="32"/>
        <v>0</v>
      </c>
      <c r="H266" s="11">
        <f t="shared" si="33"/>
        <v>202606</v>
      </c>
      <c r="I266" s="55">
        <f t="shared" si="34"/>
        <v>0</v>
      </c>
      <c r="J266" s="55">
        <f t="shared" si="35"/>
        <v>0</v>
      </c>
      <c r="K266" s="4">
        <f t="shared" si="36"/>
        <v>0</v>
      </c>
      <c r="L266" s="19" t="str">
        <f t="shared" si="37"/>
        <v>➖ لا تغيير</v>
      </c>
      <c r="M266" s="12">
        <f>IF(A266="","",IFERROR(INDEX(المدخلات!$M$4:$M$15,MATCH(A266,المدخلات!$L$4:$L$15,0)),""))</f>
        <v>13200</v>
      </c>
      <c r="N266" s="4">
        <f t="shared" si="38"/>
        <v>0</v>
      </c>
      <c r="O266" s="4">
        <f t="shared" si="39"/>
        <v>0</v>
      </c>
    </row>
    <row r="267" spans="1:15">
      <c r="A267" s="11">
        <v>202607</v>
      </c>
      <c r="B267" s="19" t="s">
        <v>93</v>
      </c>
      <c r="C267" s="19" t="s">
        <v>213</v>
      </c>
      <c r="D267" s="55">
        <v>0</v>
      </c>
      <c r="E267" s="56">
        <v>0</v>
      </c>
      <c r="F267" s="19" t="s">
        <v>62</v>
      </c>
      <c r="G267" s="4">
        <f t="shared" si="32"/>
        <v>0</v>
      </c>
      <c r="H267" s="11">
        <f t="shared" si="33"/>
        <v>202606</v>
      </c>
      <c r="I267" s="55">
        <f t="shared" si="34"/>
        <v>0</v>
      </c>
      <c r="J267" s="55">
        <f t="shared" si="35"/>
        <v>0</v>
      </c>
      <c r="K267" s="4">
        <f t="shared" si="36"/>
        <v>0</v>
      </c>
      <c r="L267" s="19" t="str">
        <f t="shared" si="37"/>
        <v>➖ لا تغيير</v>
      </c>
      <c r="M267" s="12">
        <f>IF(A267="","",IFERROR(INDEX(المدخلات!$M$4:$M$15,MATCH(A267,المدخلات!$L$4:$L$15,0)),""))</f>
        <v>13200</v>
      </c>
      <c r="N267" s="4">
        <f t="shared" si="38"/>
        <v>0</v>
      </c>
      <c r="O267" s="4">
        <f t="shared" si="39"/>
        <v>0</v>
      </c>
    </row>
    <row r="268" spans="1:15">
      <c r="A268" s="11">
        <v>202607</v>
      </c>
      <c r="B268" s="19" t="s">
        <v>93</v>
      </c>
      <c r="C268" s="19" t="s">
        <v>118</v>
      </c>
      <c r="D268" s="55">
        <v>0</v>
      </c>
      <c r="E268" s="56">
        <v>215</v>
      </c>
      <c r="F268" s="19" t="s">
        <v>63</v>
      </c>
      <c r="G268" s="4">
        <f t="shared" si="32"/>
        <v>0</v>
      </c>
      <c r="H268" s="11">
        <f t="shared" si="33"/>
        <v>202606</v>
      </c>
      <c r="I268" s="55">
        <f t="shared" si="34"/>
        <v>0</v>
      </c>
      <c r="J268" s="55">
        <f t="shared" si="35"/>
        <v>0</v>
      </c>
      <c r="K268" s="4">
        <f t="shared" si="36"/>
        <v>0</v>
      </c>
      <c r="L268" s="19" t="str">
        <f t="shared" si="37"/>
        <v>➖ لا تغيير</v>
      </c>
      <c r="M268" s="12">
        <f>IF(A268="","",IFERROR(INDEX(المدخلات!$M$4:$M$15,MATCH(A268,المدخلات!$L$4:$L$15,0)),""))</f>
        <v>13200</v>
      </c>
      <c r="N268" s="4">
        <f t="shared" si="38"/>
        <v>0</v>
      </c>
      <c r="O268" s="4">
        <f t="shared" si="39"/>
        <v>0</v>
      </c>
    </row>
    <row r="269" spans="1:15">
      <c r="A269" s="11">
        <v>202607</v>
      </c>
      <c r="B269" s="19" t="s">
        <v>93</v>
      </c>
      <c r="C269" s="19" t="s">
        <v>119</v>
      </c>
      <c r="D269" s="55">
        <v>0</v>
      </c>
      <c r="E269" s="56">
        <v>205</v>
      </c>
      <c r="F269" s="19" t="s">
        <v>63</v>
      </c>
      <c r="G269" s="4">
        <f t="shared" si="32"/>
        <v>0</v>
      </c>
      <c r="H269" s="11">
        <f t="shared" si="33"/>
        <v>202606</v>
      </c>
      <c r="I269" s="55">
        <f t="shared" si="34"/>
        <v>0</v>
      </c>
      <c r="J269" s="55">
        <f t="shared" si="35"/>
        <v>0</v>
      </c>
      <c r="K269" s="4">
        <f t="shared" si="36"/>
        <v>0</v>
      </c>
      <c r="L269" s="19" t="str">
        <f t="shared" si="37"/>
        <v>➖ لا تغيير</v>
      </c>
      <c r="M269" s="12">
        <f>IF(A269="","",IFERROR(INDEX(المدخلات!$M$4:$M$15,MATCH(A269,المدخلات!$L$4:$L$15,0)),""))</f>
        <v>13200</v>
      </c>
      <c r="N269" s="4">
        <f t="shared" si="38"/>
        <v>0</v>
      </c>
      <c r="O269" s="4">
        <f t="shared" si="39"/>
        <v>0</v>
      </c>
    </row>
    <row r="270" spans="1:15">
      <c r="A270" s="11">
        <v>202607</v>
      </c>
      <c r="B270" s="19" t="s">
        <v>93</v>
      </c>
      <c r="C270" s="19" t="s">
        <v>120</v>
      </c>
      <c r="D270" s="55">
        <v>0</v>
      </c>
      <c r="E270" s="56">
        <v>205</v>
      </c>
      <c r="F270" s="19" t="s">
        <v>63</v>
      </c>
      <c r="G270" s="4">
        <f t="shared" si="32"/>
        <v>0</v>
      </c>
      <c r="H270" s="11">
        <f t="shared" si="33"/>
        <v>202606</v>
      </c>
      <c r="I270" s="55">
        <f t="shared" si="34"/>
        <v>0</v>
      </c>
      <c r="J270" s="55">
        <f t="shared" si="35"/>
        <v>0</v>
      </c>
      <c r="K270" s="4">
        <f t="shared" si="36"/>
        <v>0</v>
      </c>
      <c r="L270" s="19" t="str">
        <f t="shared" si="37"/>
        <v>➖ لا تغيير</v>
      </c>
      <c r="M270" s="12">
        <f>IF(A270="","",IFERROR(INDEX(المدخلات!$M$4:$M$15,MATCH(A270,المدخلات!$L$4:$L$15,0)),""))</f>
        <v>13200</v>
      </c>
      <c r="N270" s="4">
        <f t="shared" si="38"/>
        <v>0</v>
      </c>
      <c r="O270" s="4">
        <f t="shared" si="39"/>
        <v>0</v>
      </c>
    </row>
    <row r="271" spans="1:15">
      <c r="A271" s="11">
        <v>202607</v>
      </c>
      <c r="B271" s="19" t="s">
        <v>93</v>
      </c>
      <c r="C271" s="19" t="s">
        <v>121</v>
      </c>
      <c r="D271" s="55">
        <v>0</v>
      </c>
      <c r="E271" s="56">
        <v>180</v>
      </c>
      <c r="F271" s="19" t="s">
        <v>63</v>
      </c>
      <c r="G271" s="4">
        <f t="shared" si="32"/>
        <v>0</v>
      </c>
      <c r="H271" s="11">
        <f t="shared" si="33"/>
        <v>202606</v>
      </c>
      <c r="I271" s="55">
        <f t="shared" si="34"/>
        <v>0</v>
      </c>
      <c r="J271" s="55">
        <f t="shared" si="35"/>
        <v>0</v>
      </c>
      <c r="K271" s="4">
        <f t="shared" si="36"/>
        <v>0</v>
      </c>
      <c r="L271" s="19" t="str">
        <f t="shared" si="37"/>
        <v>➖ لا تغيير</v>
      </c>
      <c r="M271" s="12">
        <f>IF(A271="","",IFERROR(INDEX(المدخلات!$M$4:$M$15,MATCH(A271,المدخلات!$L$4:$L$15,0)),""))</f>
        <v>13200</v>
      </c>
      <c r="N271" s="4">
        <f t="shared" si="38"/>
        <v>0</v>
      </c>
      <c r="O271" s="4">
        <f t="shared" si="39"/>
        <v>0</v>
      </c>
    </row>
    <row r="272" spans="1:15">
      <c r="A272" s="11">
        <v>202607</v>
      </c>
      <c r="B272" s="19" t="s">
        <v>93</v>
      </c>
      <c r="C272" s="19" t="s">
        <v>122</v>
      </c>
      <c r="D272" s="55">
        <v>0</v>
      </c>
      <c r="E272" s="56">
        <v>150</v>
      </c>
      <c r="F272" s="19" t="s">
        <v>63</v>
      </c>
      <c r="G272" s="4">
        <f t="shared" si="32"/>
        <v>0</v>
      </c>
      <c r="H272" s="11">
        <f t="shared" si="33"/>
        <v>202606</v>
      </c>
      <c r="I272" s="55">
        <f t="shared" si="34"/>
        <v>0</v>
      </c>
      <c r="J272" s="55">
        <f t="shared" si="35"/>
        <v>0</v>
      </c>
      <c r="K272" s="4">
        <f t="shared" si="36"/>
        <v>0</v>
      </c>
      <c r="L272" s="19" t="str">
        <f t="shared" si="37"/>
        <v>➖ لا تغيير</v>
      </c>
      <c r="M272" s="12">
        <f>IF(A272="","",IFERROR(INDEX(المدخلات!$M$4:$M$15,MATCH(A272,المدخلات!$L$4:$L$15,0)),""))</f>
        <v>13200</v>
      </c>
      <c r="N272" s="4">
        <f t="shared" si="38"/>
        <v>0</v>
      </c>
      <c r="O272" s="4">
        <f t="shared" si="39"/>
        <v>0</v>
      </c>
    </row>
    <row r="273" spans="1:15">
      <c r="A273" s="11">
        <v>202607</v>
      </c>
      <c r="B273" s="19" t="s">
        <v>93</v>
      </c>
      <c r="C273" s="19" t="s">
        <v>123</v>
      </c>
      <c r="D273" s="55">
        <v>0</v>
      </c>
      <c r="E273" s="56">
        <v>160</v>
      </c>
      <c r="F273" s="19" t="s">
        <v>63</v>
      </c>
      <c r="G273" s="4">
        <f t="shared" si="32"/>
        <v>0</v>
      </c>
      <c r="H273" s="11">
        <f t="shared" si="33"/>
        <v>202606</v>
      </c>
      <c r="I273" s="55">
        <f t="shared" si="34"/>
        <v>0</v>
      </c>
      <c r="J273" s="55">
        <f t="shared" si="35"/>
        <v>0</v>
      </c>
      <c r="K273" s="4">
        <f t="shared" si="36"/>
        <v>0</v>
      </c>
      <c r="L273" s="19" t="str">
        <f t="shared" si="37"/>
        <v>➖ لا تغيير</v>
      </c>
      <c r="M273" s="12">
        <f>IF(A273="","",IFERROR(INDEX(المدخلات!$M$4:$M$15,MATCH(A273,المدخلات!$L$4:$L$15,0)),""))</f>
        <v>13200</v>
      </c>
      <c r="N273" s="4">
        <f t="shared" si="38"/>
        <v>0</v>
      </c>
      <c r="O273" s="4">
        <f t="shared" si="39"/>
        <v>0</v>
      </c>
    </row>
    <row r="274" spans="1:15" ht="25.5" customHeight="1">
      <c r="A274" s="11">
        <v>202607</v>
      </c>
      <c r="B274" s="19" t="s">
        <v>93</v>
      </c>
      <c r="C274" s="19" t="s">
        <v>124</v>
      </c>
      <c r="D274" s="55">
        <v>0</v>
      </c>
      <c r="E274" s="56">
        <v>215</v>
      </c>
      <c r="F274" s="19" t="s">
        <v>63</v>
      </c>
      <c r="G274" s="4">
        <f t="shared" si="32"/>
        <v>0</v>
      </c>
      <c r="H274" s="11">
        <f t="shared" si="33"/>
        <v>202606</v>
      </c>
      <c r="I274" s="55">
        <f t="shared" si="34"/>
        <v>0</v>
      </c>
      <c r="J274" s="55">
        <f t="shared" si="35"/>
        <v>0</v>
      </c>
      <c r="K274" s="4">
        <f t="shared" si="36"/>
        <v>0</v>
      </c>
      <c r="L274" s="19" t="str">
        <f t="shared" si="37"/>
        <v>➖ لا تغيير</v>
      </c>
      <c r="M274" s="12">
        <f>IF(A274="","",IFERROR(INDEX(المدخلات!$M$4:$M$15,MATCH(A274,المدخلات!$L$4:$L$15,0)),""))</f>
        <v>13200</v>
      </c>
      <c r="N274" s="4">
        <f t="shared" si="38"/>
        <v>0</v>
      </c>
      <c r="O274" s="4">
        <f t="shared" si="39"/>
        <v>0</v>
      </c>
    </row>
    <row r="275" spans="1:15">
      <c r="A275" s="11">
        <v>202607</v>
      </c>
      <c r="B275" s="19" t="s">
        <v>93</v>
      </c>
      <c r="C275" s="19" t="s">
        <v>125</v>
      </c>
      <c r="D275" s="55">
        <v>0</v>
      </c>
      <c r="E275" s="56">
        <v>215</v>
      </c>
      <c r="F275" s="19" t="s">
        <v>63</v>
      </c>
      <c r="G275" s="4">
        <f t="shared" si="32"/>
        <v>0</v>
      </c>
      <c r="H275" s="11">
        <f t="shared" si="33"/>
        <v>202606</v>
      </c>
      <c r="I275" s="55">
        <f t="shared" si="34"/>
        <v>0</v>
      </c>
      <c r="J275" s="55">
        <f t="shared" si="35"/>
        <v>0</v>
      </c>
      <c r="K275" s="4">
        <f t="shared" si="36"/>
        <v>0</v>
      </c>
      <c r="L275" s="19" t="str">
        <f t="shared" si="37"/>
        <v>➖ لا تغيير</v>
      </c>
      <c r="M275" s="12">
        <f>IF(A275="","",IFERROR(INDEX(المدخلات!$M$4:$M$15,MATCH(A275,المدخلات!$L$4:$L$15,0)),""))</f>
        <v>13200</v>
      </c>
      <c r="N275" s="4">
        <f t="shared" si="38"/>
        <v>0</v>
      </c>
      <c r="O275" s="4">
        <f t="shared" si="39"/>
        <v>0</v>
      </c>
    </row>
    <row r="276" spans="1:15" ht="25.5" customHeight="1">
      <c r="A276" s="11">
        <v>202607</v>
      </c>
      <c r="B276" s="19" t="s">
        <v>93</v>
      </c>
      <c r="C276" s="19" t="s">
        <v>315</v>
      </c>
      <c r="D276" s="55">
        <v>3413</v>
      </c>
      <c r="E276" s="56">
        <v>0</v>
      </c>
      <c r="F276" s="19" t="s">
        <v>62</v>
      </c>
      <c r="G276" s="4">
        <f t="shared" si="32"/>
        <v>0</v>
      </c>
      <c r="H276" s="11">
        <f t="shared" si="33"/>
        <v>202606</v>
      </c>
      <c r="I276" s="55">
        <f t="shared" si="34"/>
        <v>4315</v>
      </c>
      <c r="J276" s="55">
        <f t="shared" si="35"/>
        <v>902</v>
      </c>
      <c r="K276" s="4">
        <f t="shared" si="36"/>
        <v>0</v>
      </c>
      <c r="L276" s="19" t="str">
        <f t="shared" si="37"/>
        <v/>
      </c>
      <c r="M276" s="12">
        <f>IF(A276="","",IFERROR(INDEX(المدخلات!$M$4:$M$15,MATCH(A276,المدخلات!$L$4:$L$15,0)),""))</f>
        <v>13200</v>
      </c>
      <c r="N276" s="4">
        <f t="shared" si="38"/>
        <v>0</v>
      </c>
      <c r="O276" s="4">
        <f t="shared" si="39"/>
        <v>0</v>
      </c>
    </row>
    <row r="277" spans="1:15" ht="25.5" customHeight="1">
      <c r="A277" s="11">
        <v>202607</v>
      </c>
      <c r="B277" s="19" t="s">
        <v>93</v>
      </c>
      <c r="C277" s="19" t="s">
        <v>316</v>
      </c>
      <c r="D277" s="55">
        <v>267</v>
      </c>
      <c r="E277" s="56">
        <v>0</v>
      </c>
      <c r="F277" s="19" t="s">
        <v>62</v>
      </c>
      <c r="G277" s="4">
        <f t="shared" si="32"/>
        <v>0</v>
      </c>
      <c r="H277" s="11">
        <f t="shared" si="33"/>
        <v>202606</v>
      </c>
      <c r="I277" s="55">
        <f t="shared" si="34"/>
        <v>43</v>
      </c>
      <c r="J277" s="55">
        <f t="shared" si="35"/>
        <v>0</v>
      </c>
      <c r="K277" s="4">
        <f t="shared" si="36"/>
        <v>0</v>
      </c>
      <c r="L277" s="19" t="str">
        <f t="shared" si="37"/>
        <v>ℹ️ زيادة كمية (شراء/تصحيح) - لا تُحتسب استهلاكاً</v>
      </c>
      <c r="M277" s="12">
        <f>IF(A277="","",IFERROR(INDEX(المدخلات!$M$4:$M$15,MATCH(A277,المدخلات!$L$4:$L$15,0)),""))</f>
        <v>13200</v>
      </c>
      <c r="N277" s="4">
        <f t="shared" si="38"/>
        <v>0</v>
      </c>
      <c r="O277" s="4">
        <f t="shared" si="39"/>
        <v>0</v>
      </c>
    </row>
    <row r="278" spans="1:15">
      <c r="A278" s="11">
        <v>202607</v>
      </c>
      <c r="B278" s="19" t="s">
        <v>93</v>
      </c>
      <c r="C278" s="19" t="s">
        <v>317</v>
      </c>
      <c r="D278" s="55">
        <v>0</v>
      </c>
      <c r="E278" s="56">
        <v>0</v>
      </c>
      <c r="F278" s="19" t="s">
        <v>62</v>
      </c>
      <c r="G278" s="4">
        <f t="shared" si="32"/>
        <v>0</v>
      </c>
      <c r="H278" s="11">
        <f t="shared" si="33"/>
        <v>202606</v>
      </c>
      <c r="I278" s="55">
        <f t="shared" si="34"/>
        <v>0</v>
      </c>
      <c r="J278" s="55">
        <f t="shared" si="35"/>
        <v>0</v>
      </c>
      <c r="K278" s="4">
        <f t="shared" si="36"/>
        <v>0</v>
      </c>
      <c r="L278" s="19" t="str">
        <f t="shared" si="37"/>
        <v>➖ لا تغيير</v>
      </c>
      <c r="M278" s="12">
        <f>IF(A278="","",IFERROR(INDEX(المدخلات!$M$4:$M$15,MATCH(A278,المدخلات!$L$4:$L$15,0)),""))</f>
        <v>13200</v>
      </c>
      <c r="N278" s="4">
        <f t="shared" si="38"/>
        <v>0</v>
      </c>
      <c r="O278" s="4">
        <f t="shared" si="39"/>
        <v>0</v>
      </c>
    </row>
    <row r="279" spans="1:15">
      <c r="A279" s="11">
        <v>202607</v>
      </c>
      <c r="B279" s="19" t="s">
        <v>93</v>
      </c>
      <c r="C279" s="19" t="s">
        <v>318</v>
      </c>
      <c r="D279" s="55">
        <v>0</v>
      </c>
      <c r="E279" s="56">
        <v>105000</v>
      </c>
      <c r="F279" s="19" t="s">
        <v>62</v>
      </c>
      <c r="G279" s="4">
        <f t="shared" si="32"/>
        <v>0</v>
      </c>
      <c r="H279" s="11">
        <f t="shared" si="33"/>
        <v>202606</v>
      </c>
      <c r="I279" s="55">
        <f t="shared" si="34"/>
        <v>-0.33</v>
      </c>
      <c r="J279" s="55">
        <f t="shared" si="35"/>
        <v>0</v>
      </c>
      <c r="K279" s="4">
        <f t="shared" si="36"/>
        <v>0</v>
      </c>
      <c r="L279" s="19" t="str">
        <f t="shared" si="37"/>
        <v>ℹ️ زيادة كمية (شراء/تصحيح) - لا تُحتسب استهلاكاً</v>
      </c>
      <c r="M279" s="12">
        <f>IF(A279="","",IFERROR(INDEX(المدخلات!$M$4:$M$15,MATCH(A279,المدخلات!$L$4:$L$15,0)),""))</f>
        <v>13200</v>
      </c>
      <c r="N279" s="4">
        <f t="shared" si="38"/>
        <v>0</v>
      </c>
      <c r="O279" s="4">
        <f t="shared" si="39"/>
        <v>0</v>
      </c>
    </row>
    <row r="280" spans="1:15" ht="25.5" customHeight="1">
      <c r="A280" s="11">
        <v>202607</v>
      </c>
      <c r="B280" s="19" t="s">
        <v>93</v>
      </c>
      <c r="C280" s="19" t="s">
        <v>214</v>
      </c>
      <c r="D280" s="55">
        <v>0</v>
      </c>
      <c r="E280" s="56">
        <v>0</v>
      </c>
      <c r="F280" s="19" t="s">
        <v>62</v>
      </c>
      <c r="G280" s="4">
        <f t="shared" si="32"/>
        <v>0</v>
      </c>
      <c r="H280" s="11">
        <f t="shared" si="33"/>
        <v>202606</v>
      </c>
      <c r="I280" s="55">
        <f t="shared" si="34"/>
        <v>0</v>
      </c>
      <c r="J280" s="55">
        <f t="shared" si="35"/>
        <v>0</v>
      </c>
      <c r="K280" s="4">
        <f t="shared" si="36"/>
        <v>0</v>
      </c>
      <c r="L280" s="19" t="str">
        <f t="shared" si="37"/>
        <v>➖ لا تغيير</v>
      </c>
      <c r="M280" s="12">
        <f>IF(A280="","",IFERROR(INDEX(المدخلات!$M$4:$M$15,MATCH(A280,المدخلات!$L$4:$L$15,0)),""))</f>
        <v>13200</v>
      </c>
      <c r="N280" s="4">
        <f t="shared" si="38"/>
        <v>0</v>
      </c>
      <c r="O280" s="4">
        <f t="shared" si="39"/>
        <v>0</v>
      </c>
    </row>
    <row r="281" spans="1:15" ht="25.5" customHeight="1">
      <c r="A281" s="11">
        <v>202607</v>
      </c>
      <c r="B281" s="19" t="s">
        <v>93</v>
      </c>
      <c r="C281" s="19" t="s">
        <v>215</v>
      </c>
      <c r="D281" s="55">
        <v>5</v>
      </c>
      <c r="E281" s="56">
        <v>90000</v>
      </c>
      <c r="F281" s="19" t="s">
        <v>62</v>
      </c>
      <c r="G281" s="4">
        <f t="shared" si="32"/>
        <v>450000</v>
      </c>
      <c r="H281" s="11">
        <f t="shared" si="33"/>
        <v>202606</v>
      </c>
      <c r="I281" s="55">
        <f t="shared" si="34"/>
        <v>5</v>
      </c>
      <c r="J281" s="55">
        <f t="shared" si="35"/>
        <v>0</v>
      </c>
      <c r="K281" s="4">
        <f t="shared" si="36"/>
        <v>0</v>
      </c>
      <c r="L281" s="19" t="str">
        <f t="shared" si="37"/>
        <v>➖ لا تغيير</v>
      </c>
      <c r="M281" s="12">
        <f>IF(A281="","",IFERROR(INDEX(المدخلات!$M$4:$M$15,MATCH(A281,المدخلات!$L$4:$L$15,0)),""))</f>
        <v>13200</v>
      </c>
      <c r="N281" s="4">
        <f t="shared" si="38"/>
        <v>450000</v>
      </c>
      <c r="O281" s="4">
        <f t="shared" si="39"/>
        <v>0</v>
      </c>
    </row>
    <row r="282" spans="1:15" ht="25.5" customHeight="1">
      <c r="A282" s="11">
        <v>202607</v>
      </c>
      <c r="B282" s="19" t="s">
        <v>93</v>
      </c>
      <c r="C282" s="19" t="s">
        <v>216</v>
      </c>
      <c r="D282" s="55">
        <v>0</v>
      </c>
      <c r="E282" s="56">
        <v>0</v>
      </c>
      <c r="F282" s="19" t="s">
        <v>62</v>
      </c>
      <c r="G282" s="4">
        <f t="shared" si="32"/>
        <v>0</v>
      </c>
      <c r="H282" s="11">
        <f t="shared" si="33"/>
        <v>202606</v>
      </c>
      <c r="I282" s="55">
        <f t="shared" si="34"/>
        <v>0</v>
      </c>
      <c r="J282" s="55">
        <f t="shared" si="35"/>
        <v>0</v>
      </c>
      <c r="K282" s="4">
        <f t="shared" si="36"/>
        <v>0</v>
      </c>
      <c r="L282" s="19" t="str">
        <f t="shared" si="37"/>
        <v>➖ لا تغيير</v>
      </c>
      <c r="M282" s="12">
        <f>IF(A282="","",IFERROR(INDEX(المدخلات!$M$4:$M$15,MATCH(A282,المدخلات!$L$4:$L$15,0)),""))</f>
        <v>13200</v>
      </c>
      <c r="N282" s="4">
        <f t="shared" si="38"/>
        <v>0</v>
      </c>
      <c r="O282" s="4">
        <f t="shared" si="39"/>
        <v>0</v>
      </c>
    </row>
    <row r="283" spans="1:15">
      <c r="A283" s="11">
        <v>202607</v>
      </c>
      <c r="B283" s="19" t="s">
        <v>93</v>
      </c>
      <c r="C283" s="19" t="s">
        <v>217</v>
      </c>
      <c r="D283" s="55">
        <v>0</v>
      </c>
      <c r="E283" s="56">
        <v>100000</v>
      </c>
      <c r="F283" s="19" t="s">
        <v>62</v>
      </c>
      <c r="G283" s="4">
        <f t="shared" si="32"/>
        <v>0</v>
      </c>
      <c r="H283" s="11">
        <f t="shared" si="33"/>
        <v>202606</v>
      </c>
      <c r="I283" s="55">
        <f t="shared" si="34"/>
        <v>0</v>
      </c>
      <c r="J283" s="55">
        <f t="shared" si="35"/>
        <v>0</v>
      </c>
      <c r="K283" s="4">
        <f t="shared" si="36"/>
        <v>0</v>
      </c>
      <c r="L283" s="19" t="str">
        <f t="shared" si="37"/>
        <v>➖ لا تغيير</v>
      </c>
      <c r="M283" s="12">
        <f>IF(A283="","",IFERROR(INDEX(المدخلات!$M$4:$M$15,MATCH(A283,المدخلات!$L$4:$L$15,0)),""))</f>
        <v>13200</v>
      </c>
      <c r="N283" s="4">
        <f t="shared" si="38"/>
        <v>0</v>
      </c>
      <c r="O283" s="4">
        <f t="shared" si="39"/>
        <v>0</v>
      </c>
    </row>
    <row r="284" spans="1:15">
      <c r="A284" s="11">
        <v>202607</v>
      </c>
      <c r="B284" s="19" t="s">
        <v>93</v>
      </c>
      <c r="C284" s="19" t="s">
        <v>126</v>
      </c>
      <c r="D284" s="55">
        <v>44.5</v>
      </c>
      <c r="E284" s="56">
        <v>4.4000000000000004</v>
      </c>
      <c r="F284" s="19" t="s">
        <v>63</v>
      </c>
      <c r="G284" s="4">
        <f t="shared" si="32"/>
        <v>195.8</v>
      </c>
      <c r="H284" s="11">
        <f t="shared" si="33"/>
        <v>202606</v>
      </c>
      <c r="I284" s="55">
        <f t="shared" si="34"/>
        <v>69.5</v>
      </c>
      <c r="J284" s="55">
        <f t="shared" si="35"/>
        <v>25</v>
      </c>
      <c r="K284" s="4">
        <f t="shared" si="36"/>
        <v>110.00000000000001</v>
      </c>
      <c r="L284" s="19" t="str">
        <f t="shared" si="37"/>
        <v/>
      </c>
      <c r="M284" s="12">
        <f>IF(A284="","",IFERROR(INDEX(المدخلات!$M$4:$M$15,MATCH(A284,المدخلات!$L$4:$L$15,0)),""))</f>
        <v>13200</v>
      </c>
      <c r="N284" s="4">
        <f t="shared" si="38"/>
        <v>2584560</v>
      </c>
      <c r="O284" s="4">
        <f t="shared" si="39"/>
        <v>1452000.0000000002</v>
      </c>
    </row>
    <row r="285" spans="1:15" ht="25.5" customHeight="1">
      <c r="A285" s="11">
        <v>202607</v>
      </c>
      <c r="B285" s="19" t="s">
        <v>93</v>
      </c>
      <c r="C285" s="19" t="s">
        <v>218</v>
      </c>
      <c r="D285" s="55">
        <v>0</v>
      </c>
      <c r="E285" s="56">
        <v>307000</v>
      </c>
      <c r="F285" s="19" t="s">
        <v>62</v>
      </c>
      <c r="G285" s="4">
        <f t="shared" si="32"/>
        <v>0</v>
      </c>
      <c r="H285" s="11">
        <f t="shared" si="33"/>
        <v>202606</v>
      </c>
      <c r="I285" s="55">
        <f t="shared" si="34"/>
        <v>0</v>
      </c>
      <c r="J285" s="55">
        <f t="shared" si="35"/>
        <v>0</v>
      </c>
      <c r="K285" s="4">
        <f t="shared" si="36"/>
        <v>0</v>
      </c>
      <c r="L285" s="19" t="str">
        <f t="shared" si="37"/>
        <v>➖ لا تغيير</v>
      </c>
      <c r="M285" s="12">
        <f>IF(A285="","",IFERROR(INDEX(المدخلات!$M$4:$M$15,MATCH(A285,المدخلات!$L$4:$L$15,0)),""))</f>
        <v>13200</v>
      </c>
      <c r="N285" s="4">
        <f t="shared" si="38"/>
        <v>0</v>
      </c>
      <c r="O285" s="4">
        <f t="shared" si="39"/>
        <v>0</v>
      </c>
    </row>
    <row r="286" spans="1:15">
      <c r="A286" s="11">
        <v>202607</v>
      </c>
      <c r="B286" s="19" t="s">
        <v>93</v>
      </c>
      <c r="C286" s="19" t="s">
        <v>127</v>
      </c>
      <c r="D286" s="55">
        <v>0</v>
      </c>
      <c r="E286" s="56">
        <v>7</v>
      </c>
      <c r="F286" s="19" t="s">
        <v>63</v>
      </c>
      <c r="G286" s="4">
        <f t="shared" si="32"/>
        <v>0</v>
      </c>
      <c r="H286" s="11">
        <f t="shared" si="33"/>
        <v>202606</v>
      </c>
      <c r="I286" s="55">
        <f t="shared" si="34"/>
        <v>0</v>
      </c>
      <c r="J286" s="55">
        <f t="shared" si="35"/>
        <v>0</v>
      </c>
      <c r="K286" s="4">
        <f t="shared" si="36"/>
        <v>0</v>
      </c>
      <c r="L286" s="19" t="str">
        <f t="shared" si="37"/>
        <v>➖ لا تغيير</v>
      </c>
      <c r="M286" s="12">
        <f>IF(A286="","",IFERROR(INDEX(المدخلات!$M$4:$M$15,MATCH(A286,المدخلات!$L$4:$L$15,0)),""))</f>
        <v>13200</v>
      </c>
      <c r="N286" s="4">
        <f t="shared" si="38"/>
        <v>0</v>
      </c>
      <c r="O286" s="4">
        <f t="shared" si="39"/>
        <v>0</v>
      </c>
    </row>
    <row r="287" spans="1:15">
      <c r="A287" s="11">
        <v>202607</v>
      </c>
      <c r="B287" s="19" t="s">
        <v>93</v>
      </c>
      <c r="C287" s="19" t="s">
        <v>128</v>
      </c>
      <c r="D287" s="55">
        <v>0</v>
      </c>
      <c r="E287" s="56">
        <v>6</v>
      </c>
      <c r="F287" s="19" t="s">
        <v>63</v>
      </c>
      <c r="G287" s="4">
        <f t="shared" si="32"/>
        <v>0</v>
      </c>
      <c r="H287" s="11">
        <f t="shared" si="33"/>
        <v>202606</v>
      </c>
      <c r="I287" s="55">
        <f t="shared" si="34"/>
        <v>0</v>
      </c>
      <c r="J287" s="55">
        <f t="shared" si="35"/>
        <v>0</v>
      </c>
      <c r="K287" s="4">
        <f t="shared" si="36"/>
        <v>0</v>
      </c>
      <c r="L287" s="19" t="str">
        <f t="shared" si="37"/>
        <v>➖ لا تغيير</v>
      </c>
      <c r="M287" s="12">
        <f>IF(A287="","",IFERROR(INDEX(المدخلات!$M$4:$M$15,MATCH(A287,المدخلات!$L$4:$L$15,0)),""))</f>
        <v>13200</v>
      </c>
      <c r="N287" s="4">
        <f t="shared" si="38"/>
        <v>0</v>
      </c>
      <c r="O287" s="4">
        <f t="shared" si="39"/>
        <v>0</v>
      </c>
    </row>
    <row r="288" spans="1:15">
      <c r="A288" s="11">
        <v>202607</v>
      </c>
      <c r="B288" s="19" t="s">
        <v>93</v>
      </c>
      <c r="C288" s="19" t="s">
        <v>129</v>
      </c>
      <c r="D288" s="55">
        <v>36592</v>
      </c>
      <c r="E288" s="56">
        <v>4.0000000000000001E-3</v>
      </c>
      <c r="F288" s="19" t="s">
        <v>63</v>
      </c>
      <c r="G288" s="4">
        <f t="shared" si="32"/>
        <v>146.36799999999999</v>
      </c>
      <c r="H288" s="11">
        <f t="shared" si="33"/>
        <v>202606</v>
      </c>
      <c r="I288" s="55">
        <f t="shared" si="34"/>
        <v>30402</v>
      </c>
      <c r="J288" s="55">
        <f t="shared" si="35"/>
        <v>0</v>
      </c>
      <c r="K288" s="4">
        <f t="shared" si="36"/>
        <v>0</v>
      </c>
      <c r="L288" s="19" t="str">
        <f t="shared" si="37"/>
        <v>ℹ️ زيادة كمية (شراء/تصحيح) - لا تُحتسب استهلاكاً</v>
      </c>
      <c r="M288" s="12">
        <f>IF(A288="","",IFERROR(INDEX(المدخلات!$M$4:$M$15,MATCH(A288,المدخلات!$L$4:$L$15,0)),""))</f>
        <v>13200</v>
      </c>
      <c r="N288" s="4">
        <f t="shared" si="38"/>
        <v>1932057.5999999999</v>
      </c>
      <c r="O288" s="4">
        <f t="shared" si="39"/>
        <v>0</v>
      </c>
    </row>
    <row r="289" spans="1:15">
      <c r="A289" s="11">
        <v>202607</v>
      </c>
      <c r="B289" s="19" t="s">
        <v>93</v>
      </c>
      <c r="C289" s="19" t="s">
        <v>130</v>
      </c>
      <c r="D289" s="55">
        <v>975</v>
      </c>
      <c r="E289" s="56">
        <v>2.4E-2</v>
      </c>
      <c r="F289" s="19" t="s">
        <v>63</v>
      </c>
      <c r="G289" s="4">
        <f t="shared" si="32"/>
        <v>23.400000000000002</v>
      </c>
      <c r="H289" s="11">
        <f t="shared" si="33"/>
        <v>202606</v>
      </c>
      <c r="I289" s="55">
        <f t="shared" si="34"/>
        <v>625</v>
      </c>
      <c r="J289" s="55">
        <f t="shared" si="35"/>
        <v>0</v>
      </c>
      <c r="K289" s="4">
        <f t="shared" si="36"/>
        <v>0</v>
      </c>
      <c r="L289" s="19" t="str">
        <f t="shared" si="37"/>
        <v>ℹ️ زيادة كمية (شراء/تصحيح) - لا تُحتسب استهلاكاً</v>
      </c>
      <c r="M289" s="12">
        <f>IF(A289="","",IFERROR(INDEX(المدخلات!$M$4:$M$15,MATCH(A289,المدخلات!$L$4:$L$15,0)),""))</f>
        <v>13200</v>
      </c>
      <c r="N289" s="4">
        <f t="shared" si="38"/>
        <v>308880</v>
      </c>
      <c r="O289" s="4">
        <f t="shared" si="39"/>
        <v>0</v>
      </c>
    </row>
    <row r="290" spans="1:15">
      <c r="A290" s="11">
        <v>202607</v>
      </c>
      <c r="B290" s="19" t="s">
        <v>93</v>
      </c>
      <c r="C290" s="19" t="s">
        <v>131</v>
      </c>
      <c r="D290" s="55">
        <v>3</v>
      </c>
      <c r="E290" s="56">
        <v>3</v>
      </c>
      <c r="F290" s="19" t="s">
        <v>63</v>
      </c>
      <c r="G290" s="4">
        <f t="shared" si="32"/>
        <v>9</v>
      </c>
      <c r="H290" s="11">
        <f t="shared" si="33"/>
        <v>202606</v>
      </c>
      <c r="I290" s="55">
        <f t="shared" si="34"/>
        <v>3</v>
      </c>
      <c r="J290" s="55">
        <f t="shared" si="35"/>
        <v>0</v>
      </c>
      <c r="K290" s="4">
        <f t="shared" si="36"/>
        <v>0</v>
      </c>
      <c r="L290" s="19" t="str">
        <f t="shared" si="37"/>
        <v>➖ لا تغيير</v>
      </c>
      <c r="M290" s="12">
        <f>IF(A290="","",IFERROR(INDEX(المدخلات!$M$4:$M$15,MATCH(A290,المدخلات!$L$4:$L$15,0)),""))</f>
        <v>13200</v>
      </c>
      <c r="N290" s="4">
        <f t="shared" si="38"/>
        <v>118800</v>
      </c>
      <c r="O290" s="4">
        <f t="shared" si="39"/>
        <v>0</v>
      </c>
    </row>
    <row r="291" spans="1:15">
      <c r="A291" s="11">
        <v>202607</v>
      </c>
      <c r="B291" s="19" t="s">
        <v>93</v>
      </c>
      <c r="C291" s="19" t="s">
        <v>219</v>
      </c>
      <c r="D291" s="55">
        <v>0.67</v>
      </c>
      <c r="E291" s="56">
        <v>156000</v>
      </c>
      <c r="F291" s="19" t="s">
        <v>62</v>
      </c>
      <c r="G291" s="4">
        <f t="shared" si="32"/>
        <v>104520</v>
      </c>
      <c r="H291" s="11">
        <f t="shared" si="33"/>
        <v>202606</v>
      </c>
      <c r="I291" s="55">
        <f t="shared" si="34"/>
        <v>0.5</v>
      </c>
      <c r="J291" s="55">
        <f t="shared" si="35"/>
        <v>0</v>
      </c>
      <c r="K291" s="4">
        <f t="shared" si="36"/>
        <v>0</v>
      </c>
      <c r="L291" s="19" t="str">
        <f t="shared" si="37"/>
        <v>ℹ️ زيادة كمية (شراء/تصحيح) - لا تُحتسب استهلاكاً</v>
      </c>
      <c r="M291" s="12">
        <f>IF(A291="","",IFERROR(INDEX(المدخلات!$M$4:$M$15,MATCH(A291,المدخلات!$L$4:$L$15,0)),""))</f>
        <v>13200</v>
      </c>
      <c r="N291" s="4">
        <f t="shared" si="38"/>
        <v>104520</v>
      </c>
      <c r="O291" s="4">
        <f t="shared" si="39"/>
        <v>0</v>
      </c>
    </row>
    <row r="292" spans="1:15">
      <c r="A292" s="11">
        <v>202607</v>
      </c>
      <c r="B292" s="19" t="s">
        <v>93</v>
      </c>
      <c r="C292" s="19" t="s">
        <v>220</v>
      </c>
      <c r="D292" s="55">
        <v>6</v>
      </c>
      <c r="E292" s="56">
        <v>90000</v>
      </c>
      <c r="F292" s="19" t="s">
        <v>62</v>
      </c>
      <c r="G292" s="4">
        <f t="shared" si="32"/>
        <v>540000</v>
      </c>
      <c r="H292" s="11">
        <f t="shared" si="33"/>
        <v>202606</v>
      </c>
      <c r="I292" s="55">
        <f t="shared" si="34"/>
        <v>2</v>
      </c>
      <c r="J292" s="55">
        <f t="shared" si="35"/>
        <v>0</v>
      </c>
      <c r="K292" s="4">
        <f t="shared" si="36"/>
        <v>0</v>
      </c>
      <c r="L292" s="19" t="str">
        <f t="shared" si="37"/>
        <v>ℹ️ زيادة كمية (شراء/تصحيح) - لا تُحتسب استهلاكاً</v>
      </c>
      <c r="M292" s="12">
        <f>IF(A292="","",IFERROR(INDEX(المدخلات!$M$4:$M$15,MATCH(A292,المدخلات!$L$4:$L$15,0)),""))</f>
        <v>13200</v>
      </c>
      <c r="N292" s="4">
        <f t="shared" si="38"/>
        <v>540000</v>
      </c>
      <c r="O292" s="4">
        <f t="shared" si="39"/>
        <v>0</v>
      </c>
    </row>
    <row r="293" spans="1:15" ht="25.5" customHeight="1">
      <c r="A293" s="11">
        <v>202607</v>
      </c>
      <c r="B293" s="19" t="s">
        <v>93</v>
      </c>
      <c r="C293" s="19" t="s">
        <v>221</v>
      </c>
      <c r="D293" s="55">
        <v>0</v>
      </c>
      <c r="E293" s="56">
        <v>82000</v>
      </c>
      <c r="F293" s="19" t="s">
        <v>62</v>
      </c>
      <c r="G293" s="4">
        <f t="shared" si="32"/>
        <v>0</v>
      </c>
      <c r="H293" s="11">
        <f t="shared" si="33"/>
        <v>202606</v>
      </c>
      <c r="I293" s="55">
        <f t="shared" si="34"/>
        <v>0</v>
      </c>
      <c r="J293" s="55">
        <f t="shared" si="35"/>
        <v>0</v>
      </c>
      <c r="K293" s="4">
        <f t="shared" si="36"/>
        <v>0</v>
      </c>
      <c r="L293" s="19" t="str">
        <f t="shared" si="37"/>
        <v>➖ لا تغيير</v>
      </c>
      <c r="M293" s="12">
        <f>IF(A293="","",IFERROR(INDEX(المدخلات!$M$4:$M$15,MATCH(A293,المدخلات!$L$4:$L$15,0)),""))</f>
        <v>13200</v>
      </c>
      <c r="N293" s="4">
        <f t="shared" si="38"/>
        <v>0</v>
      </c>
      <c r="O293" s="4">
        <f t="shared" si="39"/>
        <v>0</v>
      </c>
    </row>
    <row r="294" spans="1:15">
      <c r="A294" s="11">
        <v>202607</v>
      </c>
      <c r="B294" s="19" t="s">
        <v>93</v>
      </c>
      <c r="C294" s="19" t="s">
        <v>222</v>
      </c>
      <c r="D294" s="55">
        <v>0</v>
      </c>
      <c r="E294" s="56">
        <v>275</v>
      </c>
      <c r="F294" s="19" t="s">
        <v>62</v>
      </c>
      <c r="G294" s="4">
        <f t="shared" si="32"/>
        <v>0</v>
      </c>
      <c r="H294" s="11">
        <f t="shared" si="33"/>
        <v>202606</v>
      </c>
      <c r="I294" s="55">
        <f t="shared" si="34"/>
        <v>0</v>
      </c>
      <c r="J294" s="55">
        <f t="shared" si="35"/>
        <v>0</v>
      </c>
      <c r="K294" s="4">
        <f t="shared" si="36"/>
        <v>0</v>
      </c>
      <c r="L294" s="19" t="str">
        <f t="shared" si="37"/>
        <v>➖ لا تغيير</v>
      </c>
      <c r="M294" s="12">
        <f>IF(A294="","",IFERROR(INDEX(المدخلات!$M$4:$M$15,MATCH(A294,المدخلات!$L$4:$L$15,0)),""))</f>
        <v>13200</v>
      </c>
      <c r="N294" s="4">
        <f t="shared" si="38"/>
        <v>0</v>
      </c>
      <c r="O294" s="4">
        <f t="shared" si="39"/>
        <v>0</v>
      </c>
    </row>
    <row r="295" spans="1:15">
      <c r="A295" s="11">
        <v>202607</v>
      </c>
      <c r="B295" s="19" t="s">
        <v>93</v>
      </c>
      <c r="C295" s="19" t="s">
        <v>272</v>
      </c>
      <c r="D295" s="55">
        <v>0</v>
      </c>
      <c r="E295" s="56">
        <v>3.5</v>
      </c>
      <c r="F295" s="19" t="s">
        <v>63</v>
      </c>
      <c r="G295" s="4">
        <f t="shared" si="32"/>
        <v>0</v>
      </c>
      <c r="H295" s="11">
        <f t="shared" si="33"/>
        <v>202606</v>
      </c>
      <c r="I295" s="55">
        <f t="shared" si="34"/>
        <v>0</v>
      </c>
      <c r="J295" s="55">
        <f t="shared" si="35"/>
        <v>0</v>
      </c>
      <c r="K295" s="4">
        <f t="shared" si="36"/>
        <v>0</v>
      </c>
      <c r="L295" s="19" t="str">
        <f t="shared" si="37"/>
        <v>➖ لا تغيير</v>
      </c>
      <c r="M295" s="12">
        <f>IF(A295="","",IFERROR(INDEX(المدخلات!$M$4:$M$15,MATCH(A295,المدخلات!$L$4:$L$15,0)),""))</f>
        <v>13200</v>
      </c>
      <c r="N295" s="4">
        <f t="shared" si="38"/>
        <v>0</v>
      </c>
      <c r="O295" s="4">
        <f t="shared" si="39"/>
        <v>0</v>
      </c>
    </row>
    <row r="296" spans="1:15">
      <c r="A296" s="11">
        <v>202607</v>
      </c>
      <c r="B296" s="19" t="s">
        <v>93</v>
      </c>
      <c r="C296" s="19" t="s">
        <v>223</v>
      </c>
      <c r="D296" s="55">
        <v>0</v>
      </c>
      <c r="E296" s="56">
        <v>0</v>
      </c>
      <c r="F296" s="19" t="s">
        <v>62</v>
      </c>
      <c r="G296" s="4">
        <f t="shared" si="32"/>
        <v>0</v>
      </c>
      <c r="H296" s="11">
        <f t="shared" si="33"/>
        <v>202606</v>
      </c>
      <c r="I296" s="55">
        <f t="shared" si="34"/>
        <v>0</v>
      </c>
      <c r="J296" s="55">
        <f t="shared" si="35"/>
        <v>0</v>
      </c>
      <c r="K296" s="4">
        <f t="shared" si="36"/>
        <v>0</v>
      </c>
      <c r="L296" s="19" t="str">
        <f t="shared" si="37"/>
        <v>➖ لا تغيير</v>
      </c>
      <c r="M296" s="12">
        <f>IF(A296="","",IFERROR(INDEX(المدخلات!$M$4:$M$15,MATCH(A296,المدخلات!$L$4:$L$15,0)),""))</f>
        <v>13200</v>
      </c>
      <c r="N296" s="4">
        <f t="shared" si="38"/>
        <v>0</v>
      </c>
      <c r="O296" s="4">
        <f t="shared" si="39"/>
        <v>0</v>
      </c>
    </row>
    <row r="297" spans="1:15">
      <c r="A297" s="11">
        <v>202607</v>
      </c>
      <c r="B297" s="19" t="s">
        <v>93</v>
      </c>
      <c r="C297" s="19" t="s">
        <v>224</v>
      </c>
      <c r="D297" s="55">
        <v>2</v>
      </c>
      <c r="E297" s="56">
        <v>20000</v>
      </c>
      <c r="F297" s="19" t="s">
        <v>62</v>
      </c>
      <c r="G297" s="4">
        <f t="shared" si="32"/>
        <v>40000</v>
      </c>
      <c r="H297" s="11">
        <f t="shared" si="33"/>
        <v>202606</v>
      </c>
      <c r="I297" s="55">
        <f t="shared" si="34"/>
        <v>1</v>
      </c>
      <c r="J297" s="55">
        <f t="shared" si="35"/>
        <v>0</v>
      </c>
      <c r="K297" s="4">
        <f t="shared" si="36"/>
        <v>0</v>
      </c>
      <c r="L297" s="19" t="str">
        <f t="shared" si="37"/>
        <v>ℹ️ زيادة كمية (شراء/تصحيح) - لا تُحتسب استهلاكاً</v>
      </c>
      <c r="M297" s="12">
        <f>IF(A297="","",IFERROR(INDEX(المدخلات!$M$4:$M$15,MATCH(A297,المدخلات!$L$4:$L$15,0)),""))</f>
        <v>13200</v>
      </c>
      <c r="N297" s="4">
        <f t="shared" si="38"/>
        <v>40000</v>
      </c>
      <c r="O297" s="4">
        <f t="shared" si="39"/>
        <v>0</v>
      </c>
    </row>
    <row r="298" spans="1:15" ht="25.5" customHeight="1">
      <c r="A298" s="11">
        <v>202607</v>
      </c>
      <c r="B298" s="19" t="s">
        <v>93</v>
      </c>
      <c r="C298" s="19" t="s">
        <v>225</v>
      </c>
      <c r="D298" s="55">
        <v>0</v>
      </c>
      <c r="E298" s="56">
        <v>22500</v>
      </c>
      <c r="F298" s="19" t="s">
        <v>62</v>
      </c>
      <c r="G298" s="4">
        <f t="shared" si="32"/>
        <v>0</v>
      </c>
      <c r="H298" s="11">
        <f t="shared" si="33"/>
        <v>202606</v>
      </c>
      <c r="I298" s="55">
        <f t="shared" si="34"/>
        <v>0</v>
      </c>
      <c r="J298" s="55">
        <f t="shared" si="35"/>
        <v>0</v>
      </c>
      <c r="K298" s="4">
        <f t="shared" si="36"/>
        <v>0</v>
      </c>
      <c r="L298" s="19" t="str">
        <f t="shared" si="37"/>
        <v>➖ لا تغيير</v>
      </c>
      <c r="M298" s="12">
        <f>IF(A298="","",IFERROR(INDEX(المدخلات!$M$4:$M$15,MATCH(A298,المدخلات!$L$4:$L$15,0)),""))</f>
        <v>13200</v>
      </c>
      <c r="N298" s="4">
        <f t="shared" si="38"/>
        <v>0</v>
      </c>
      <c r="O298" s="4">
        <f t="shared" si="39"/>
        <v>0</v>
      </c>
    </row>
    <row r="299" spans="1:15">
      <c r="A299" s="11">
        <v>202607</v>
      </c>
      <c r="B299" s="19" t="s">
        <v>93</v>
      </c>
      <c r="C299" s="19" t="s">
        <v>273</v>
      </c>
      <c r="D299" s="55">
        <v>26.76</v>
      </c>
      <c r="E299" s="56">
        <v>18.75</v>
      </c>
      <c r="F299" s="19" t="s">
        <v>63</v>
      </c>
      <c r="G299" s="4">
        <f t="shared" si="32"/>
        <v>501.75000000000006</v>
      </c>
      <c r="H299" s="11">
        <f t="shared" si="33"/>
        <v>202606</v>
      </c>
      <c r="I299" s="55">
        <f t="shared" si="34"/>
        <v>28.03</v>
      </c>
      <c r="J299" s="55">
        <f t="shared" si="35"/>
        <v>1.2699999999999996</v>
      </c>
      <c r="K299" s="4">
        <f t="shared" si="36"/>
        <v>23.812499999999993</v>
      </c>
      <c r="L299" s="19" t="str">
        <f t="shared" si="37"/>
        <v/>
      </c>
      <c r="M299" s="12">
        <f>IF(A299="","",IFERROR(INDEX(المدخلات!$M$4:$M$15,MATCH(A299,المدخلات!$L$4:$L$15,0)),""))</f>
        <v>13200</v>
      </c>
      <c r="N299" s="4">
        <f t="shared" si="38"/>
        <v>6623100.0000000009</v>
      </c>
      <c r="O299" s="4">
        <f t="shared" si="39"/>
        <v>314324.99999999988</v>
      </c>
    </row>
    <row r="300" spans="1:15">
      <c r="A300" s="11">
        <v>202607</v>
      </c>
      <c r="B300" s="19" t="s">
        <v>93</v>
      </c>
      <c r="C300" s="19" t="s">
        <v>132</v>
      </c>
      <c r="D300" s="55">
        <v>0</v>
      </c>
      <c r="E300" s="56">
        <v>2.25</v>
      </c>
      <c r="F300" s="19" t="s">
        <v>63</v>
      </c>
      <c r="G300" s="4">
        <f t="shared" si="32"/>
        <v>0</v>
      </c>
      <c r="H300" s="11">
        <f t="shared" si="33"/>
        <v>202606</v>
      </c>
      <c r="I300" s="55">
        <f t="shared" si="34"/>
        <v>0</v>
      </c>
      <c r="J300" s="55">
        <f t="shared" si="35"/>
        <v>0</v>
      </c>
      <c r="K300" s="4">
        <f t="shared" si="36"/>
        <v>0</v>
      </c>
      <c r="L300" s="19" t="str">
        <f t="shared" si="37"/>
        <v>➖ لا تغيير</v>
      </c>
      <c r="M300" s="12">
        <f>IF(A300="","",IFERROR(INDEX(المدخلات!$M$4:$M$15,MATCH(A300,المدخلات!$L$4:$L$15,0)),""))</f>
        <v>13200</v>
      </c>
      <c r="N300" s="4">
        <f t="shared" si="38"/>
        <v>0</v>
      </c>
      <c r="O300" s="4">
        <f t="shared" si="39"/>
        <v>0</v>
      </c>
    </row>
    <row r="301" spans="1:15">
      <c r="A301" s="11">
        <v>202607</v>
      </c>
      <c r="B301" s="19" t="s">
        <v>93</v>
      </c>
      <c r="C301" s="19" t="s">
        <v>226</v>
      </c>
      <c r="D301" s="55">
        <v>138</v>
      </c>
      <c r="E301" s="56">
        <v>11000</v>
      </c>
      <c r="F301" s="19" t="s">
        <v>62</v>
      </c>
      <c r="G301" s="4">
        <f t="shared" si="32"/>
        <v>1518000</v>
      </c>
      <c r="H301" s="11">
        <f t="shared" si="33"/>
        <v>202606</v>
      </c>
      <c r="I301" s="55">
        <f t="shared" si="34"/>
        <v>-19</v>
      </c>
      <c r="J301" s="55">
        <f t="shared" si="35"/>
        <v>0</v>
      </c>
      <c r="K301" s="4">
        <f t="shared" si="36"/>
        <v>0</v>
      </c>
      <c r="L301" s="19" t="str">
        <f t="shared" si="37"/>
        <v>ℹ️ زيادة كمية (شراء/تصحيح) - لا تُحتسب استهلاكاً</v>
      </c>
      <c r="M301" s="12">
        <f>IF(A301="","",IFERROR(INDEX(المدخلات!$M$4:$M$15,MATCH(A301,المدخلات!$L$4:$L$15,0)),""))</f>
        <v>13200</v>
      </c>
      <c r="N301" s="4">
        <f t="shared" si="38"/>
        <v>1518000</v>
      </c>
      <c r="O301" s="4">
        <f t="shared" si="39"/>
        <v>0</v>
      </c>
    </row>
    <row r="302" spans="1:15">
      <c r="A302" s="11">
        <v>202607</v>
      </c>
      <c r="B302" s="19" t="s">
        <v>93</v>
      </c>
      <c r="C302" s="19" t="s">
        <v>133</v>
      </c>
      <c r="D302" s="55">
        <v>0</v>
      </c>
      <c r="E302" s="56">
        <v>17.8</v>
      </c>
      <c r="F302" s="19" t="s">
        <v>63</v>
      </c>
      <c r="G302" s="4">
        <f t="shared" si="32"/>
        <v>0</v>
      </c>
      <c r="H302" s="11">
        <f t="shared" si="33"/>
        <v>202606</v>
      </c>
      <c r="I302" s="55">
        <f t="shared" si="34"/>
        <v>0</v>
      </c>
      <c r="J302" s="55">
        <f t="shared" si="35"/>
        <v>0</v>
      </c>
      <c r="K302" s="4">
        <f t="shared" si="36"/>
        <v>0</v>
      </c>
      <c r="L302" s="19" t="str">
        <f t="shared" si="37"/>
        <v>➖ لا تغيير</v>
      </c>
      <c r="M302" s="12">
        <f>IF(A302="","",IFERROR(INDEX(المدخلات!$M$4:$M$15,MATCH(A302,المدخلات!$L$4:$L$15,0)),""))</f>
        <v>13200</v>
      </c>
      <c r="N302" s="4">
        <f t="shared" si="38"/>
        <v>0</v>
      </c>
      <c r="O302" s="4">
        <f t="shared" si="39"/>
        <v>0</v>
      </c>
    </row>
    <row r="303" spans="1:15">
      <c r="A303" s="11">
        <v>202607</v>
      </c>
      <c r="B303" s="19" t="s">
        <v>93</v>
      </c>
      <c r="C303" s="19" t="s">
        <v>134</v>
      </c>
      <c r="D303" s="55">
        <v>1807</v>
      </c>
      <c r="E303" s="56">
        <v>0.21</v>
      </c>
      <c r="F303" s="19" t="s">
        <v>63</v>
      </c>
      <c r="G303" s="4">
        <f t="shared" si="32"/>
        <v>379.46999999999997</v>
      </c>
      <c r="H303" s="11">
        <f t="shared" si="33"/>
        <v>202606</v>
      </c>
      <c r="I303" s="55">
        <f t="shared" si="34"/>
        <v>272</v>
      </c>
      <c r="J303" s="55">
        <f t="shared" si="35"/>
        <v>0</v>
      </c>
      <c r="K303" s="4">
        <f t="shared" si="36"/>
        <v>0</v>
      </c>
      <c r="L303" s="19" t="str">
        <f t="shared" si="37"/>
        <v>ℹ️ زيادة كمية (شراء/تصحيح) - لا تُحتسب استهلاكاً</v>
      </c>
      <c r="M303" s="12">
        <f>IF(A303="","",IFERROR(INDEX(المدخلات!$M$4:$M$15,MATCH(A303,المدخلات!$L$4:$L$15,0)),""))</f>
        <v>13200</v>
      </c>
      <c r="N303" s="4">
        <f t="shared" si="38"/>
        <v>5009004</v>
      </c>
      <c r="O303" s="4">
        <f t="shared" si="39"/>
        <v>0</v>
      </c>
    </row>
    <row r="304" spans="1:15">
      <c r="A304" s="11">
        <v>202607</v>
      </c>
      <c r="B304" s="19" t="s">
        <v>93</v>
      </c>
      <c r="C304" s="19" t="s">
        <v>319</v>
      </c>
      <c r="D304" s="55">
        <v>31</v>
      </c>
      <c r="E304" s="56">
        <v>5700</v>
      </c>
      <c r="F304" s="19" t="s">
        <v>62</v>
      </c>
      <c r="G304" s="4">
        <f t="shared" si="32"/>
        <v>176700</v>
      </c>
      <c r="H304" s="11">
        <f t="shared" si="33"/>
        <v>202606</v>
      </c>
      <c r="I304" s="55">
        <f t="shared" si="34"/>
        <v>67</v>
      </c>
      <c r="J304" s="55">
        <f t="shared" si="35"/>
        <v>36</v>
      </c>
      <c r="K304" s="4">
        <f t="shared" si="36"/>
        <v>205200</v>
      </c>
      <c r="L304" s="19" t="str">
        <f t="shared" si="37"/>
        <v/>
      </c>
      <c r="M304" s="12">
        <f>IF(A304="","",IFERROR(INDEX(المدخلات!$M$4:$M$15,MATCH(A304,المدخلات!$L$4:$L$15,0)),""))</f>
        <v>13200</v>
      </c>
      <c r="N304" s="4">
        <f t="shared" si="38"/>
        <v>176700</v>
      </c>
      <c r="O304" s="4">
        <f t="shared" si="39"/>
        <v>205200</v>
      </c>
    </row>
    <row r="305" spans="1:15">
      <c r="A305" s="11">
        <v>202607</v>
      </c>
      <c r="B305" s="19" t="s">
        <v>93</v>
      </c>
      <c r="C305" s="19" t="s">
        <v>320</v>
      </c>
      <c r="D305" s="55">
        <v>113</v>
      </c>
      <c r="E305" s="56">
        <v>38400</v>
      </c>
      <c r="F305" s="19" t="s">
        <v>62</v>
      </c>
      <c r="G305" s="4">
        <f t="shared" si="32"/>
        <v>4339200</v>
      </c>
      <c r="H305" s="11">
        <f t="shared" si="33"/>
        <v>202606</v>
      </c>
      <c r="I305" s="55">
        <f t="shared" si="34"/>
        <v>114</v>
      </c>
      <c r="J305" s="55">
        <f t="shared" si="35"/>
        <v>1</v>
      </c>
      <c r="K305" s="4">
        <f t="shared" si="36"/>
        <v>38400</v>
      </c>
      <c r="L305" s="19" t="str">
        <f t="shared" si="37"/>
        <v/>
      </c>
      <c r="M305" s="12">
        <f>IF(A305="","",IFERROR(INDEX(المدخلات!$M$4:$M$15,MATCH(A305,المدخلات!$L$4:$L$15,0)),""))</f>
        <v>13200</v>
      </c>
      <c r="N305" s="4">
        <f t="shared" si="38"/>
        <v>4339200</v>
      </c>
      <c r="O305" s="4">
        <f t="shared" si="39"/>
        <v>38400</v>
      </c>
    </row>
    <row r="306" spans="1:15">
      <c r="A306" s="11">
        <v>202607</v>
      </c>
      <c r="B306" s="19" t="s">
        <v>93</v>
      </c>
      <c r="C306" s="19" t="s">
        <v>321</v>
      </c>
      <c r="D306" s="55">
        <v>776</v>
      </c>
      <c r="E306" s="56">
        <v>680</v>
      </c>
      <c r="F306" s="19" t="s">
        <v>62</v>
      </c>
      <c r="G306" s="4">
        <f t="shared" si="32"/>
        <v>527680</v>
      </c>
      <c r="H306" s="11">
        <f t="shared" si="33"/>
        <v>202606</v>
      </c>
      <c r="I306" s="55">
        <f t="shared" si="34"/>
        <v>71</v>
      </c>
      <c r="J306" s="55">
        <f t="shared" si="35"/>
        <v>0</v>
      </c>
      <c r="K306" s="4">
        <f t="shared" si="36"/>
        <v>0</v>
      </c>
      <c r="L306" s="19" t="str">
        <f t="shared" si="37"/>
        <v>ℹ️ زيادة كمية (شراء/تصحيح) - لا تُحتسب استهلاكاً</v>
      </c>
      <c r="M306" s="12">
        <f>IF(A306="","",IFERROR(INDEX(المدخلات!$M$4:$M$15,MATCH(A306,المدخلات!$L$4:$L$15,0)),""))</f>
        <v>13200</v>
      </c>
      <c r="N306" s="4">
        <f t="shared" si="38"/>
        <v>527680</v>
      </c>
      <c r="O306" s="4">
        <f t="shared" si="39"/>
        <v>0</v>
      </c>
    </row>
    <row r="307" spans="1:15">
      <c r="A307" s="11">
        <v>202607</v>
      </c>
      <c r="B307" s="19" t="s">
        <v>93</v>
      </c>
      <c r="C307" s="19" t="s">
        <v>227</v>
      </c>
      <c r="D307" s="55">
        <v>0</v>
      </c>
      <c r="E307" s="56">
        <v>320000</v>
      </c>
      <c r="F307" s="19" t="s">
        <v>62</v>
      </c>
      <c r="G307" s="4">
        <f t="shared" si="32"/>
        <v>0</v>
      </c>
      <c r="H307" s="11">
        <f t="shared" si="33"/>
        <v>202606</v>
      </c>
      <c r="I307" s="55">
        <f t="shared" si="34"/>
        <v>-0.08</v>
      </c>
      <c r="J307" s="55">
        <f t="shared" si="35"/>
        <v>0</v>
      </c>
      <c r="K307" s="4">
        <f t="shared" si="36"/>
        <v>0</v>
      </c>
      <c r="L307" s="19" t="str">
        <f t="shared" si="37"/>
        <v>ℹ️ زيادة كمية (شراء/تصحيح) - لا تُحتسب استهلاكاً</v>
      </c>
      <c r="M307" s="12">
        <f>IF(A307="","",IFERROR(INDEX(المدخلات!$M$4:$M$15,MATCH(A307,المدخلات!$L$4:$L$15,0)),""))</f>
        <v>13200</v>
      </c>
      <c r="N307" s="4">
        <f t="shared" si="38"/>
        <v>0</v>
      </c>
      <c r="O307" s="4">
        <f t="shared" si="39"/>
        <v>0</v>
      </c>
    </row>
    <row r="308" spans="1:15">
      <c r="A308" s="11">
        <v>202607</v>
      </c>
      <c r="B308" s="19" t="s">
        <v>93</v>
      </c>
      <c r="C308" s="19" t="s">
        <v>228</v>
      </c>
      <c r="D308" s="55">
        <v>2.42</v>
      </c>
      <c r="E308" s="56">
        <v>300000</v>
      </c>
      <c r="F308" s="19" t="s">
        <v>62</v>
      </c>
      <c r="G308" s="4">
        <f t="shared" si="32"/>
        <v>726000</v>
      </c>
      <c r="H308" s="11">
        <f t="shared" si="33"/>
        <v>202606</v>
      </c>
      <c r="I308" s="55">
        <f t="shared" si="34"/>
        <v>2.42</v>
      </c>
      <c r="J308" s="55">
        <f t="shared" si="35"/>
        <v>0</v>
      </c>
      <c r="K308" s="4">
        <f t="shared" si="36"/>
        <v>0</v>
      </c>
      <c r="L308" s="19" t="str">
        <f t="shared" si="37"/>
        <v>➖ لا تغيير</v>
      </c>
      <c r="M308" s="12">
        <f>IF(A308="","",IFERROR(INDEX(المدخلات!$M$4:$M$15,MATCH(A308,المدخلات!$L$4:$L$15,0)),""))</f>
        <v>13200</v>
      </c>
      <c r="N308" s="4">
        <f t="shared" si="38"/>
        <v>726000</v>
      </c>
      <c r="O308" s="4">
        <f t="shared" si="39"/>
        <v>0</v>
      </c>
    </row>
    <row r="309" spans="1:15">
      <c r="A309" s="11">
        <v>202607</v>
      </c>
      <c r="B309" s="19" t="s">
        <v>93</v>
      </c>
      <c r="C309" s="19" t="s">
        <v>229</v>
      </c>
      <c r="D309" s="55">
        <v>0.42</v>
      </c>
      <c r="E309" s="56">
        <v>152000</v>
      </c>
      <c r="F309" s="19" t="s">
        <v>62</v>
      </c>
      <c r="G309" s="4">
        <f t="shared" si="32"/>
        <v>63840</v>
      </c>
      <c r="H309" s="11">
        <f t="shared" si="33"/>
        <v>202606</v>
      </c>
      <c r="I309" s="55">
        <f t="shared" si="34"/>
        <v>0.17</v>
      </c>
      <c r="J309" s="55">
        <f t="shared" si="35"/>
        <v>0</v>
      </c>
      <c r="K309" s="4">
        <f t="shared" si="36"/>
        <v>0</v>
      </c>
      <c r="L309" s="19" t="str">
        <f t="shared" si="37"/>
        <v>ℹ️ زيادة كمية (شراء/تصحيح) - لا تُحتسب استهلاكاً</v>
      </c>
      <c r="M309" s="12">
        <f>IF(A309="","",IFERROR(INDEX(المدخلات!$M$4:$M$15,MATCH(A309,المدخلات!$L$4:$L$15,0)),""))</f>
        <v>13200</v>
      </c>
      <c r="N309" s="4">
        <f t="shared" si="38"/>
        <v>63840</v>
      </c>
      <c r="O309" s="4">
        <f t="shared" si="39"/>
        <v>0</v>
      </c>
    </row>
    <row r="310" spans="1:15">
      <c r="A310" s="11">
        <v>202607</v>
      </c>
      <c r="B310" s="19" t="s">
        <v>93</v>
      </c>
      <c r="C310" s="19" t="s">
        <v>230</v>
      </c>
      <c r="D310" s="55">
        <v>0</v>
      </c>
      <c r="E310" s="56">
        <v>0</v>
      </c>
      <c r="F310" s="19" t="s">
        <v>62</v>
      </c>
      <c r="G310" s="4">
        <f t="shared" si="32"/>
        <v>0</v>
      </c>
      <c r="H310" s="11">
        <f t="shared" si="33"/>
        <v>202606</v>
      </c>
      <c r="I310" s="55">
        <f t="shared" si="34"/>
        <v>0</v>
      </c>
      <c r="J310" s="55">
        <f t="shared" si="35"/>
        <v>0</v>
      </c>
      <c r="K310" s="4">
        <f t="shared" si="36"/>
        <v>0</v>
      </c>
      <c r="L310" s="19" t="str">
        <f t="shared" si="37"/>
        <v>➖ لا تغيير</v>
      </c>
      <c r="M310" s="12">
        <f>IF(A310="","",IFERROR(INDEX(المدخلات!$M$4:$M$15,MATCH(A310,المدخلات!$L$4:$L$15,0)),""))</f>
        <v>13200</v>
      </c>
      <c r="N310" s="4">
        <f t="shared" si="38"/>
        <v>0</v>
      </c>
      <c r="O310" s="4">
        <f t="shared" si="39"/>
        <v>0</v>
      </c>
    </row>
    <row r="311" spans="1:15">
      <c r="A311" s="11">
        <v>202607</v>
      </c>
      <c r="B311" s="19" t="s">
        <v>93</v>
      </c>
      <c r="C311" s="19" t="s">
        <v>231</v>
      </c>
      <c r="D311" s="55">
        <v>4</v>
      </c>
      <c r="E311" s="56">
        <v>10000</v>
      </c>
      <c r="F311" s="19" t="s">
        <v>62</v>
      </c>
      <c r="G311" s="4">
        <f t="shared" si="32"/>
        <v>40000</v>
      </c>
      <c r="H311" s="11">
        <f t="shared" si="33"/>
        <v>202606</v>
      </c>
      <c r="I311" s="55">
        <f t="shared" si="34"/>
        <v>1</v>
      </c>
      <c r="J311" s="55">
        <f t="shared" si="35"/>
        <v>0</v>
      </c>
      <c r="K311" s="4">
        <f t="shared" si="36"/>
        <v>0</v>
      </c>
      <c r="L311" s="19" t="str">
        <f t="shared" si="37"/>
        <v>ℹ️ زيادة كمية (شراء/تصحيح) - لا تُحتسب استهلاكاً</v>
      </c>
      <c r="M311" s="12">
        <f>IF(A311="","",IFERROR(INDEX(المدخلات!$M$4:$M$15,MATCH(A311,المدخلات!$L$4:$L$15,0)),""))</f>
        <v>13200</v>
      </c>
      <c r="N311" s="4">
        <f t="shared" si="38"/>
        <v>40000</v>
      </c>
      <c r="O311" s="4">
        <f t="shared" si="39"/>
        <v>0</v>
      </c>
    </row>
    <row r="312" spans="1:15">
      <c r="A312" s="11">
        <v>202607</v>
      </c>
      <c r="B312" s="19" t="s">
        <v>93</v>
      </c>
      <c r="C312" s="19" t="s">
        <v>274</v>
      </c>
      <c r="D312" s="55">
        <v>24</v>
      </c>
      <c r="E312" s="56">
        <v>1.8</v>
      </c>
      <c r="F312" s="19" t="s">
        <v>63</v>
      </c>
      <c r="G312" s="4">
        <f t="shared" si="32"/>
        <v>43.2</v>
      </c>
      <c r="H312" s="11">
        <f t="shared" si="33"/>
        <v>202606</v>
      </c>
      <c r="I312" s="55">
        <f t="shared" si="34"/>
        <v>25</v>
      </c>
      <c r="J312" s="55">
        <f t="shared" si="35"/>
        <v>1</v>
      </c>
      <c r="K312" s="4">
        <f t="shared" si="36"/>
        <v>1.8</v>
      </c>
      <c r="L312" s="19" t="str">
        <f t="shared" si="37"/>
        <v/>
      </c>
      <c r="M312" s="12">
        <f>IF(A312="","",IFERROR(INDEX(المدخلات!$M$4:$M$15,MATCH(A312,المدخلات!$L$4:$L$15,0)),""))</f>
        <v>13200</v>
      </c>
      <c r="N312" s="4">
        <f t="shared" si="38"/>
        <v>570240</v>
      </c>
      <c r="O312" s="4">
        <f t="shared" si="39"/>
        <v>23760</v>
      </c>
    </row>
    <row r="313" spans="1:15">
      <c r="A313" s="11">
        <v>202607</v>
      </c>
      <c r="B313" s="19" t="s">
        <v>93</v>
      </c>
      <c r="C313" s="19" t="s">
        <v>322</v>
      </c>
      <c r="D313" s="55">
        <v>13</v>
      </c>
      <c r="E313" s="56">
        <v>8000</v>
      </c>
      <c r="F313" s="19" t="s">
        <v>62</v>
      </c>
      <c r="G313" s="4">
        <f t="shared" si="32"/>
        <v>104000</v>
      </c>
      <c r="H313" s="11">
        <f t="shared" si="33"/>
        <v>202606</v>
      </c>
      <c r="I313" s="55">
        <f t="shared" si="34"/>
        <v>13</v>
      </c>
      <c r="J313" s="55">
        <f t="shared" si="35"/>
        <v>0</v>
      </c>
      <c r="K313" s="4">
        <f t="shared" si="36"/>
        <v>0</v>
      </c>
      <c r="L313" s="19" t="str">
        <f t="shared" si="37"/>
        <v>➖ لا تغيير</v>
      </c>
      <c r="M313" s="12">
        <f>IF(A313="","",IFERROR(INDEX(المدخلات!$M$4:$M$15,MATCH(A313,المدخلات!$L$4:$L$15,0)),""))</f>
        <v>13200</v>
      </c>
      <c r="N313" s="4">
        <f t="shared" si="38"/>
        <v>104000</v>
      </c>
      <c r="O313" s="4">
        <f t="shared" si="39"/>
        <v>0</v>
      </c>
    </row>
    <row r="314" spans="1:15">
      <c r="A314" s="11">
        <v>202607</v>
      </c>
      <c r="B314" s="19" t="s">
        <v>93</v>
      </c>
      <c r="C314" s="19" t="s">
        <v>135</v>
      </c>
      <c r="D314" s="55">
        <v>0</v>
      </c>
      <c r="E314" s="56">
        <v>25.4</v>
      </c>
      <c r="F314" s="19" t="s">
        <v>63</v>
      </c>
      <c r="G314" s="4">
        <f t="shared" si="32"/>
        <v>0</v>
      </c>
      <c r="H314" s="11">
        <f t="shared" si="33"/>
        <v>202606</v>
      </c>
      <c r="I314" s="55">
        <f t="shared" si="34"/>
        <v>0</v>
      </c>
      <c r="J314" s="55">
        <f t="shared" si="35"/>
        <v>0</v>
      </c>
      <c r="K314" s="4">
        <f t="shared" si="36"/>
        <v>0</v>
      </c>
      <c r="L314" s="19" t="str">
        <f t="shared" si="37"/>
        <v>➖ لا تغيير</v>
      </c>
      <c r="M314" s="12">
        <f>IF(A314="","",IFERROR(INDEX(المدخلات!$M$4:$M$15,MATCH(A314,المدخلات!$L$4:$L$15,0)),""))</f>
        <v>13200</v>
      </c>
      <c r="N314" s="4">
        <f t="shared" si="38"/>
        <v>0</v>
      </c>
      <c r="O314" s="4">
        <f t="shared" si="39"/>
        <v>0</v>
      </c>
    </row>
    <row r="315" spans="1:15">
      <c r="A315" s="11">
        <v>202607</v>
      </c>
      <c r="B315" s="19" t="s">
        <v>93</v>
      </c>
      <c r="C315" s="19" t="s">
        <v>323</v>
      </c>
      <c r="D315" s="55">
        <v>0</v>
      </c>
      <c r="E315" s="56">
        <v>0</v>
      </c>
      <c r="F315" s="19" t="s">
        <v>62</v>
      </c>
      <c r="G315" s="4">
        <f t="shared" si="32"/>
        <v>0</v>
      </c>
      <c r="H315" s="11">
        <f t="shared" si="33"/>
        <v>202606</v>
      </c>
      <c r="I315" s="55">
        <f t="shared" si="34"/>
        <v>0</v>
      </c>
      <c r="J315" s="55">
        <f t="shared" si="35"/>
        <v>0</v>
      </c>
      <c r="K315" s="4">
        <f t="shared" si="36"/>
        <v>0</v>
      </c>
      <c r="L315" s="19" t="str">
        <f t="shared" si="37"/>
        <v>➖ لا تغيير</v>
      </c>
      <c r="M315" s="12">
        <f>IF(A315="","",IFERROR(INDEX(المدخلات!$M$4:$M$15,MATCH(A315,المدخلات!$L$4:$L$15,0)),""))</f>
        <v>13200</v>
      </c>
      <c r="N315" s="4">
        <f t="shared" si="38"/>
        <v>0</v>
      </c>
      <c r="O315" s="4">
        <f t="shared" si="39"/>
        <v>0</v>
      </c>
    </row>
    <row r="316" spans="1:15">
      <c r="A316" s="11">
        <v>202607</v>
      </c>
      <c r="B316" s="19" t="s">
        <v>93</v>
      </c>
      <c r="C316" s="19" t="s">
        <v>136</v>
      </c>
      <c r="D316" s="55">
        <v>0</v>
      </c>
      <c r="E316" s="56">
        <v>414</v>
      </c>
      <c r="F316" s="19" t="s">
        <v>63</v>
      </c>
      <c r="G316" s="4">
        <f t="shared" si="32"/>
        <v>0</v>
      </c>
      <c r="H316" s="11">
        <f t="shared" si="33"/>
        <v>202606</v>
      </c>
      <c r="I316" s="55">
        <f t="shared" si="34"/>
        <v>0</v>
      </c>
      <c r="J316" s="55">
        <f t="shared" si="35"/>
        <v>0</v>
      </c>
      <c r="K316" s="4">
        <f t="shared" si="36"/>
        <v>0</v>
      </c>
      <c r="L316" s="19" t="str">
        <f t="shared" si="37"/>
        <v>➖ لا تغيير</v>
      </c>
      <c r="M316" s="12">
        <f>IF(A316="","",IFERROR(INDEX(المدخلات!$M$4:$M$15,MATCH(A316,المدخلات!$L$4:$L$15,0)),""))</f>
        <v>13200</v>
      </c>
      <c r="N316" s="4">
        <f t="shared" si="38"/>
        <v>0</v>
      </c>
      <c r="O316" s="4">
        <f t="shared" si="39"/>
        <v>0</v>
      </c>
    </row>
    <row r="317" spans="1:15">
      <c r="A317" s="11">
        <v>202607</v>
      </c>
      <c r="B317" s="19" t="s">
        <v>93</v>
      </c>
      <c r="C317" s="19" t="s">
        <v>324</v>
      </c>
      <c r="D317" s="55">
        <v>760.5</v>
      </c>
      <c r="E317" s="56">
        <v>7200</v>
      </c>
      <c r="F317" s="19" t="s">
        <v>62</v>
      </c>
      <c r="G317" s="4">
        <f t="shared" si="32"/>
        <v>5475600</v>
      </c>
      <c r="H317" s="11">
        <f t="shared" si="33"/>
        <v>202606</v>
      </c>
      <c r="I317" s="55">
        <f t="shared" si="34"/>
        <v>761.5</v>
      </c>
      <c r="J317" s="55">
        <f t="shared" si="35"/>
        <v>1</v>
      </c>
      <c r="K317" s="4">
        <f t="shared" si="36"/>
        <v>7200</v>
      </c>
      <c r="L317" s="19" t="str">
        <f t="shared" si="37"/>
        <v/>
      </c>
      <c r="M317" s="12">
        <f>IF(A317="","",IFERROR(INDEX(المدخلات!$M$4:$M$15,MATCH(A317,المدخلات!$L$4:$L$15,0)),""))</f>
        <v>13200</v>
      </c>
      <c r="N317" s="4">
        <f t="shared" si="38"/>
        <v>5475600</v>
      </c>
      <c r="O317" s="4">
        <f t="shared" si="39"/>
        <v>7200</v>
      </c>
    </row>
    <row r="318" spans="1:15">
      <c r="A318" s="11">
        <v>202607</v>
      </c>
      <c r="B318" s="19" t="s">
        <v>93</v>
      </c>
      <c r="C318" s="19" t="s">
        <v>325</v>
      </c>
      <c r="D318" s="55">
        <v>59</v>
      </c>
      <c r="E318" s="56">
        <v>25000</v>
      </c>
      <c r="F318" s="19" t="s">
        <v>62</v>
      </c>
      <c r="G318" s="4">
        <f t="shared" si="32"/>
        <v>1475000</v>
      </c>
      <c r="H318" s="11">
        <f t="shared" si="33"/>
        <v>202606</v>
      </c>
      <c r="I318" s="55">
        <f t="shared" si="34"/>
        <v>134</v>
      </c>
      <c r="J318" s="55">
        <f t="shared" si="35"/>
        <v>75</v>
      </c>
      <c r="K318" s="4">
        <f t="shared" si="36"/>
        <v>1875000</v>
      </c>
      <c r="L318" s="19" t="str">
        <f t="shared" si="37"/>
        <v/>
      </c>
      <c r="M318" s="12">
        <f>IF(A318="","",IFERROR(INDEX(المدخلات!$M$4:$M$15,MATCH(A318,المدخلات!$L$4:$L$15,0)),""))</f>
        <v>13200</v>
      </c>
      <c r="N318" s="4">
        <f t="shared" si="38"/>
        <v>1475000</v>
      </c>
      <c r="O318" s="4">
        <f t="shared" si="39"/>
        <v>1875000</v>
      </c>
    </row>
    <row r="319" spans="1:15">
      <c r="A319" s="11">
        <v>202607</v>
      </c>
      <c r="B319" s="19" t="s">
        <v>93</v>
      </c>
      <c r="C319" s="19" t="s">
        <v>275</v>
      </c>
      <c r="D319" s="55">
        <v>1.36</v>
      </c>
      <c r="E319" s="56">
        <v>28.8</v>
      </c>
      <c r="F319" s="19" t="s">
        <v>63</v>
      </c>
      <c r="G319" s="4">
        <f t="shared" si="32"/>
        <v>39.168000000000006</v>
      </c>
      <c r="H319" s="11">
        <f t="shared" si="33"/>
        <v>202606</v>
      </c>
      <c r="I319" s="55">
        <f t="shared" si="34"/>
        <v>1.73</v>
      </c>
      <c r="J319" s="55">
        <f t="shared" si="35"/>
        <v>0.36999999999999988</v>
      </c>
      <c r="K319" s="4">
        <f t="shared" si="36"/>
        <v>10.655999999999997</v>
      </c>
      <c r="L319" s="19" t="str">
        <f t="shared" si="37"/>
        <v/>
      </c>
      <c r="M319" s="12">
        <f>IF(A319="","",IFERROR(INDEX(المدخلات!$M$4:$M$15,MATCH(A319,المدخلات!$L$4:$L$15,0)),""))</f>
        <v>13200</v>
      </c>
      <c r="N319" s="4">
        <f t="shared" si="38"/>
        <v>517017.60000000009</v>
      </c>
      <c r="O319" s="4">
        <f t="shared" si="39"/>
        <v>140659.19999999995</v>
      </c>
    </row>
    <row r="320" spans="1:15">
      <c r="A320" s="11">
        <v>202607</v>
      </c>
      <c r="B320" s="19" t="s">
        <v>93</v>
      </c>
      <c r="C320" s="19" t="s">
        <v>326</v>
      </c>
      <c r="D320" s="55">
        <v>108</v>
      </c>
      <c r="E320" s="56">
        <v>6250</v>
      </c>
      <c r="F320" s="19" t="s">
        <v>62</v>
      </c>
      <c r="G320" s="4">
        <f t="shared" si="32"/>
        <v>675000</v>
      </c>
      <c r="H320" s="11">
        <f t="shared" si="33"/>
        <v>202606</v>
      </c>
      <c r="I320" s="55">
        <f t="shared" si="34"/>
        <v>124</v>
      </c>
      <c r="J320" s="55">
        <f t="shared" si="35"/>
        <v>16</v>
      </c>
      <c r="K320" s="4">
        <f t="shared" si="36"/>
        <v>100000</v>
      </c>
      <c r="L320" s="19" t="str">
        <f t="shared" si="37"/>
        <v/>
      </c>
      <c r="M320" s="12">
        <f>IF(A320="","",IFERROR(INDEX(المدخلات!$M$4:$M$15,MATCH(A320,المدخلات!$L$4:$L$15,0)),""))</f>
        <v>13200</v>
      </c>
      <c r="N320" s="4">
        <f t="shared" si="38"/>
        <v>675000</v>
      </c>
      <c r="O320" s="4">
        <f t="shared" si="39"/>
        <v>100000</v>
      </c>
    </row>
    <row r="321" spans="1:15">
      <c r="A321" s="11">
        <v>202607</v>
      </c>
      <c r="B321" s="19" t="s">
        <v>93</v>
      </c>
      <c r="C321" s="19" t="s">
        <v>327</v>
      </c>
      <c r="D321" s="55">
        <v>86</v>
      </c>
      <c r="E321" s="56">
        <v>1080</v>
      </c>
      <c r="F321" s="19" t="s">
        <v>62</v>
      </c>
      <c r="G321" s="4">
        <f t="shared" si="32"/>
        <v>92880</v>
      </c>
      <c r="H321" s="11">
        <f t="shared" si="33"/>
        <v>202606</v>
      </c>
      <c r="I321" s="55">
        <f t="shared" si="34"/>
        <v>321</v>
      </c>
      <c r="J321" s="55">
        <f t="shared" si="35"/>
        <v>235</v>
      </c>
      <c r="K321" s="4">
        <f t="shared" si="36"/>
        <v>253800</v>
      </c>
      <c r="L321" s="19" t="str">
        <f t="shared" si="37"/>
        <v/>
      </c>
      <c r="M321" s="12">
        <f>IF(A321="","",IFERROR(INDEX(المدخلات!$M$4:$M$15,MATCH(A321,المدخلات!$L$4:$L$15,0)),""))</f>
        <v>13200</v>
      </c>
      <c r="N321" s="4">
        <f t="shared" si="38"/>
        <v>92880</v>
      </c>
      <c r="O321" s="4">
        <f t="shared" si="39"/>
        <v>253800</v>
      </c>
    </row>
    <row r="322" spans="1:15">
      <c r="A322" s="11">
        <v>202607</v>
      </c>
      <c r="B322" s="19" t="s">
        <v>93</v>
      </c>
      <c r="C322" s="19" t="s">
        <v>232</v>
      </c>
      <c r="D322" s="55">
        <v>0</v>
      </c>
      <c r="E322" s="56">
        <v>0</v>
      </c>
      <c r="F322" s="19" t="s">
        <v>62</v>
      </c>
      <c r="G322" s="4">
        <f t="shared" si="32"/>
        <v>0</v>
      </c>
      <c r="H322" s="11">
        <f t="shared" si="33"/>
        <v>202606</v>
      </c>
      <c r="I322" s="55">
        <f t="shared" si="34"/>
        <v>0</v>
      </c>
      <c r="J322" s="55">
        <f t="shared" si="35"/>
        <v>0</v>
      </c>
      <c r="K322" s="4">
        <f t="shared" si="36"/>
        <v>0</v>
      </c>
      <c r="L322" s="19" t="str">
        <f t="shared" si="37"/>
        <v>➖ لا تغيير</v>
      </c>
      <c r="M322" s="12">
        <f>IF(A322="","",IFERROR(INDEX(المدخلات!$M$4:$M$15,MATCH(A322,المدخلات!$L$4:$L$15,0)),""))</f>
        <v>13200</v>
      </c>
      <c r="N322" s="4">
        <f t="shared" si="38"/>
        <v>0</v>
      </c>
      <c r="O322" s="4">
        <f t="shared" si="39"/>
        <v>0</v>
      </c>
    </row>
    <row r="323" spans="1:15">
      <c r="A323" s="11">
        <v>202607</v>
      </c>
      <c r="B323" s="19" t="s">
        <v>93</v>
      </c>
      <c r="C323" s="19" t="s">
        <v>233</v>
      </c>
      <c r="D323" s="55">
        <v>0</v>
      </c>
      <c r="E323" s="56">
        <v>0</v>
      </c>
      <c r="F323" s="19" t="s">
        <v>62</v>
      </c>
      <c r="G323" s="4">
        <f t="shared" si="32"/>
        <v>0</v>
      </c>
      <c r="H323" s="11">
        <f t="shared" si="33"/>
        <v>202606</v>
      </c>
      <c r="I323" s="55">
        <f t="shared" si="34"/>
        <v>0</v>
      </c>
      <c r="J323" s="55">
        <f t="shared" si="35"/>
        <v>0</v>
      </c>
      <c r="K323" s="4">
        <f t="shared" si="36"/>
        <v>0</v>
      </c>
      <c r="L323" s="19" t="str">
        <f t="shared" si="37"/>
        <v>➖ لا تغيير</v>
      </c>
      <c r="M323" s="12">
        <f>IF(A323="","",IFERROR(INDEX(المدخلات!$M$4:$M$15,MATCH(A323,المدخلات!$L$4:$L$15,0)),""))</f>
        <v>13200</v>
      </c>
      <c r="N323" s="4">
        <f t="shared" si="38"/>
        <v>0</v>
      </c>
      <c r="O323" s="4">
        <f t="shared" si="39"/>
        <v>0</v>
      </c>
    </row>
    <row r="324" spans="1:15">
      <c r="A324" s="11">
        <v>202607</v>
      </c>
      <c r="B324" s="19" t="s">
        <v>93</v>
      </c>
      <c r="C324" s="19" t="s">
        <v>234</v>
      </c>
      <c r="D324" s="55">
        <v>0</v>
      </c>
      <c r="E324" s="56">
        <v>21000</v>
      </c>
      <c r="F324" s="19" t="s">
        <v>62</v>
      </c>
      <c r="G324" s="4">
        <f t="shared" si="32"/>
        <v>0</v>
      </c>
      <c r="H324" s="11">
        <f t="shared" si="33"/>
        <v>202606</v>
      </c>
      <c r="I324" s="55">
        <f t="shared" si="34"/>
        <v>0</v>
      </c>
      <c r="J324" s="55">
        <f t="shared" si="35"/>
        <v>0</v>
      </c>
      <c r="K324" s="4">
        <f t="shared" si="36"/>
        <v>0</v>
      </c>
      <c r="L324" s="19" t="str">
        <f t="shared" si="37"/>
        <v>➖ لا تغيير</v>
      </c>
      <c r="M324" s="12">
        <f>IF(A324="","",IFERROR(INDEX(المدخلات!$M$4:$M$15,MATCH(A324,المدخلات!$L$4:$L$15,0)),""))</f>
        <v>13200</v>
      </c>
      <c r="N324" s="4">
        <f t="shared" si="38"/>
        <v>0</v>
      </c>
      <c r="O324" s="4">
        <f t="shared" si="39"/>
        <v>0</v>
      </c>
    </row>
    <row r="325" spans="1:15">
      <c r="A325" s="11">
        <v>202607</v>
      </c>
      <c r="B325" s="19" t="s">
        <v>93</v>
      </c>
      <c r="C325" s="19" t="s">
        <v>235</v>
      </c>
      <c r="D325" s="55">
        <v>1</v>
      </c>
      <c r="E325" s="56">
        <v>4500</v>
      </c>
      <c r="F325" s="19" t="s">
        <v>62</v>
      </c>
      <c r="G325" s="4">
        <f t="shared" ref="G325:G388" si="40">IF(OR(D325="",E325=""),"",D325*E325)</f>
        <v>4500</v>
      </c>
      <c r="H325" s="11">
        <f t="shared" ref="H325:H388" si="41">IF(C325="","",IFERROR(_xlfn.MAXIFS($A$5:$A$2003,$C$5:$C$2003,C325,$A$5:$A$2003,"&lt;"&amp;A325),0))</f>
        <v>202606</v>
      </c>
      <c r="I325" s="55">
        <f t="shared" ref="I325:I388" si="42">IF(OR(H325="",H325=0),"",IFERROR(SUMIFS($D$5:$D$2003,$C$5:$C$2003,C325,$A$5:$A$2003,H325),""))</f>
        <v>1</v>
      </c>
      <c r="J325" s="55">
        <f t="shared" ref="J325:J388" si="43">IF(C325="","",IF(I325="",0,MAX(I325-D325,0)))</f>
        <v>0</v>
      </c>
      <c r="K325" s="4">
        <f t="shared" ref="K325:K388" si="44">IF(J325="","",J325*E325)</f>
        <v>0</v>
      </c>
      <c r="L325" s="19" t="str">
        <f t="shared" ref="L325:L388" si="45">IF(C325="","",IF(COUNTIFS($A$5:$A$2003,A325,$C$5:$C$2003,C325)&gt;1,"⚠️ مادة مكررة بنفس الشهر",IF(OR(H325="",H325=0),"🆕 أول ظهور لهذه المادة",IF(D325&gt;I325,"ℹ️ زيادة كمية (شراء/تصحيح) - لا تُحتسب استهلاكاً",IF(D325=I325,"➖ لا تغيير","")))))</f>
        <v>➖ لا تغيير</v>
      </c>
      <c r="M325" s="12">
        <f>IF(A325="","",IFERROR(INDEX(المدخلات!$M$4:$M$15,MATCH(A325,المدخلات!$L$4:$L$15,0)),""))</f>
        <v>13200</v>
      </c>
      <c r="N325" s="4">
        <f t="shared" ref="N325:N388" si="46">IF(OR(G325="",F325=""),"",IF(F325="دولار أمريكي",IF(M325="","⚠️ لا يوجد سعر صرف",G325*M325),G325))</f>
        <v>4500</v>
      </c>
      <c r="O325" s="4">
        <f t="shared" ref="O325:O388" si="47">IF(OR(K325="",F325=""),"",IF(F325="دولار أمريكي",IF(M325="","⚠️ لا يوجد سعر صرف",K325*M325),K325))</f>
        <v>0</v>
      </c>
    </row>
    <row r="326" spans="1:15">
      <c r="A326" s="11">
        <v>202607</v>
      </c>
      <c r="B326" s="19" t="s">
        <v>93</v>
      </c>
      <c r="C326" s="19" t="s">
        <v>137</v>
      </c>
      <c r="D326" s="55">
        <v>79.400000000000006</v>
      </c>
      <c r="E326" s="56">
        <v>3</v>
      </c>
      <c r="F326" s="19" t="s">
        <v>63</v>
      </c>
      <c r="G326" s="4">
        <f t="shared" si="40"/>
        <v>238.20000000000002</v>
      </c>
      <c r="H326" s="11">
        <f t="shared" si="41"/>
        <v>202606</v>
      </c>
      <c r="I326" s="55">
        <f t="shared" si="42"/>
        <v>251.4</v>
      </c>
      <c r="J326" s="55">
        <f t="shared" si="43"/>
        <v>172</v>
      </c>
      <c r="K326" s="4">
        <f t="shared" si="44"/>
        <v>516</v>
      </c>
      <c r="L326" s="19" t="str">
        <f t="shared" si="45"/>
        <v/>
      </c>
      <c r="M326" s="12">
        <f>IF(A326="","",IFERROR(INDEX(المدخلات!$M$4:$M$15,MATCH(A326,المدخلات!$L$4:$L$15,0)),""))</f>
        <v>13200</v>
      </c>
      <c r="N326" s="4">
        <f t="shared" si="46"/>
        <v>3144240</v>
      </c>
      <c r="O326" s="4">
        <f t="shared" si="47"/>
        <v>6811200</v>
      </c>
    </row>
    <row r="327" spans="1:15">
      <c r="A327" s="11">
        <v>202607</v>
      </c>
      <c r="B327" s="19" t="s">
        <v>93</v>
      </c>
      <c r="C327" s="19" t="s">
        <v>138</v>
      </c>
      <c r="D327" s="55">
        <v>100</v>
      </c>
      <c r="E327" s="56">
        <v>2.2000000000000002</v>
      </c>
      <c r="F327" s="19" t="s">
        <v>63</v>
      </c>
      <c r="G327" s="4">
        <f t="shared" si="40"/>
        <v>220.00000000000003</v>
      </c>
      <c r="H327" s="11">
        <f t="shared" si="41"/>
        <v>202606</v>
      </c>
      <c r="I327" s="55">
        <f t="shared" si="42"/>
        <v>0</v>
      </c>
      <c r="J327" s="55">
        <f t="shared" si="43"/>
        <v>0</v>
      </c>
      <c r="K327" s="4">
        <f t="shared" si="44"/>
        <v>0</v>
      </c>
      <c r="L327" s="19" t="str">
        <f t="shared" si="45"/>
        <v>ℹ️ زيادة كمية (شراء/تصحيح) - لا تُحتسب استهلاكاً</v>
      </c>
      <c r="M327" s="12">
        <f>IF(A327="","",IFERROR(INDEX(المدخلات!$M$4:$M$15,MATCH(A327,المدخلات!$L$4:$L$15,0)),""))</f>
        <v>13200</v>
      </c>
      <c r="N327" s="4">
        <f t="shared" si="46"/>
        <v>2904000.0000000005</v>
      </c>
      <c r="O327" s="4">
        <f t="shared" si="47"/>
        <v>0</v>
      </c>
    </row>
    <row r="328" spans="1:15">
      <c r="A328" s="11">
        <v>202607</v>
      </c>
      <c r="B328" s="19" t="s">
        <v>93</v>
      </c>
      <c r="C328" s="19" t="s">
        <v>276</v>
      </c>
      <c r="D328" s="55">
        <v>3</v>
      </c>
      <c r="E328" s="56">
        <v>4.5</v>
      </c>
      <c r="F328" s="19" t="s">
        <v>63</v>
      </c>
      <c r="G328" s="4">
        <f t="shared" si="40"/>
        <v>13.5</v>
      </c>
      <c r="H328" s="11">
        <f t="shared" si="41"/>
        <v>202606</v>
      </c>
      <c r="I328" s="55">
        <f t="shared" si="42"/>
        <v>3</v>
      </c>
      <c r="J328" s="55">
        <f t="shared" si="43"/>
        <v>0</v>
      </c>
      <c r="K328" s="4">
        <f t="shared" si="44"/>
        <v>0</v>
      </c>
      <c r="L328" s="19" t="str">
        <f t="shared" si="45"/>
        <v>➖ لا تغيير</v>
      </c>
      <c r="M328" s="12">
        <f>IF(A328="","",IFERROR(INDEX(المدخلات!$M$4:$M$15,MATCH(A328,المدخلات!$L$4:$L$15,0)),""))</f>
        <v>13200</v>
      </c>
      <c r="N328" s="4">
        <f t="shared" si="46"/>
        <v>178200</v>
      </c>
      <c r="O328" s="4">
        <f t="shared" si="47"/>
        <v>0</v>
      </c>
    </row>
    <row r="329" spans="1:15">
      <c r="A329" s="11">
        <v>202607</v>
      </c>
      <c r="B329" s="19" t="s">
        <v>93</v>
      </c>
      <c r="C329" s="19" t="s">
        <v>140</v>
      </c>
      <c r="D329" s="55">
        <v>0</v>
      </c>
      <c r="E329" s="56">
        <v>165</v>
      </c>
      <c r="F329" s="19" t="s">
        <v>63</v>
      </c>
      <c r="G329" s="4">
        <f t="shared" si="40"/>
        <v>0</v>
      </c>
      <c r="H329" s="11">
        <f t="shared" si="41"/>
        <v>202606</v>
      </c>
      <c r="I329" s="55">
        <f t="shared" si="42"/>
        <v>0</v>
      </c>
      <c r="J329" s="55">
        <f t="shared" si="43"/>
        <v>0</v>
      </c>
      <c r="K329" s="4">
        <f t="shared" si="44"/>
        <v>0</v>
      </c>
      <c r="L329" s="19" t="str">
        <f t="shared" si="45"/>
        <v>➖ لا تغيير</v>
      </c>
      <c r="M329" s="12">
        <f>IF(A329="","",IFERROR(INDEX(المدخلات!$M$4:$M$15,MATCH(A329,المدخلات!$L$4:$L$15,0)),""))</f>
        <v>13200</v>
      </c>
      <c r="N329" s="4">
        <f t="shared" si="46"/>
        <v>0</v>
      </c>
      <c r="O329" s="4">
        <f t="shared" si="47"/>
        <v>0</v>
      </c>
    </row>
    <row r="330" spans="1:15">
      <c r="A330" s="11">
        <v>202607</v>
      </c>
      <c r="B330" s="19" t="s">
        <v>93</v>
      </c>
      <c r="C330" s="19" t="s">
        <v>328</v>
      </c>
      <c r="D330" s="55">
        <v>0</v>
      </c>
      <c r="E330" s="56">
        <v>0</v>
      </c>
      <c r="F330" s="19" t="s">
        <v>62</v>
      </c>
      <c r="G330" s="4">
        <f t="shared" si="40"/>
        <v>0</v>
      </c>
      <c r="H330" s="11">
        <f t="shared" si="41"/>
        <v>202606</v>
      </c>
      <c r="I330" s="55">
        <f t="shared" si="42"/>
        <v>0</v>
      </c>
      <c r="J330" s="55">
        <f t="shared" si="43"/>
        <v>0</v>
      </c>
      <c r="K330" s="4">
        <f t="shared" si="44"/>
        <v>0</v>
      </c>
      <c r="L330" s="19" t="str">
        <f t="shared" si="45"/>
        <v>➖ لا تغيير</v>
      </c>
      <c r="M330" s="12">
        <f>IF(A330="","",IFERROR(INDEX(المدخلات!$M$4:$M$15,MATCH(A330,المدخلات!$L$4:$L$15,0)),""))</f>
        <v>13200</v>
      </c>
      <c r="N330" s="4">
        <f t="shared" si="46"/>
        <v>0</v>
      </c>
      <c r="O330" s="4">
        <f t="shared" si="47"/>
        <v>0</v>
      </c>
    </row>
    <row r="331" spans="1:15">
      <c r="A331" s="11">
        <v>202607</v>
      </c>
      <c r="B331" s="19" t="s">
        <v>93</v>
      </c>
      <c r="C331" s="19" t="s">
        <v>236</v>
      </c>
      <c r="D331" s="55">
        <v>36.5</v>
      </c>
      <c r="E331" s="56">
        <v>9000</v>
      </c>
      <c r="F331" s="19" t="s">
        <v>62</v>
      </c>
      <c r="G331" s="4">
        <f t="shared" si="40"/>
        <v>328500</v>
      </c>
      <c r="H331" s="11">
        <f t="shared" si="41"/>
        <v>202606</v>
      </c>
      <c r="I331" s="55">
        <f t="shared" si="42"/>
        <v>45</v>
      </c>
      <c r="J331" s="55">
        <f t="shared" si="43"/>
        <v>8.5</v>
      </c>
      <c r="K331" s="4">
        <f t="shared" si="44"/>
        <v>76500</v>
      </c>
      <c r="L331" s="19" t="str">
        <f t="shared" si="45"/>
        <v/>
      </c>
      <c r="M331" s="12">
        <f>IF(A331="","",IFERROR(INDEX(المدخلات!$M$4:$M$15,MATCH(A331,المدخلات!$L$4:$L$15,0)),""))</f>
        <v>13200</v>
      </c>
      <c r="N331" s="4">
        <f t="shared" si="46"/>
        <v>328500</v>
      </c>
      <c r="O331" s="4">
        <f t="shared" si="47"/>
        <v>76500</v>
      </c>
    </row>
    <row r="332" spans="1:15" ht="25.5">
      <c r="A332" s="11">
        <v>202607</v>
      </c>
      <c r="B332" s="19" t="s">
        <v>93</v>
      </c>
      <c r="C332" s="19" t="s">
        <v>277</v>
      </c>
      <c r="D332" s="55">
        <v>0.59</v>
      </c>
      <c r="E332" s="56">
        <v>312.5</v>
      </c>
      <c r="F332" s="19" t="s">
        <v>63</v>
      </c>
      <c r="G332" s="4">
        <f t="shared" si="40"/>
        <v>184.375</v>
      </c>
      <c r="H332" s="11">
        <f t="shared" si="41"/>
        <v>202606</v>
      </c>
      <c r="I332" s="55">
        <f t="shared" si="42"/>
        <v>0.59</v>
      </c>
      <c r="J332" s="55">
        <f t="shared" si="43"/>
        <v>0</v>
      </c>
      <c r="K332" s="4">
        <f t="shared" si="44"/>
        <v>0</v>
      </c>
      <c r="L332" s="19" t="str">
        <f t="shared" si="45"/>
        <v>➖ لا تغيير</v>
      </c>
      <c r="M332" s="12">
        <f>IF(A332="","",IFERROR(INDEX(المدخلات!$M$4:$M$15,MATCH(A332,المدخلات!$L$4:$L$15,0)),""))</f>
        <v>13200</v>
      </c>
      <c r="N332" s="4">
        <f t="shared" si="46"/>
        <v>2433750</v>
      </c>
      <c r="O332" s="4">
        <f t="shared" si="47"/>
        <v>0</v>
      </c>
    </row>
    <row r="333" spans="1:15">
      <c r="A333" s="11">
        <v>202607</v>
      </c>
      <c r="B333" s="19" t="s">
        <v>93</v>
      </c>
      <c r="C333" s="19" t="s">
        <v>278</v>
      </c>
      <c r="D333" s="55">
        <v>0.52</v>
      </c>
      <c r="E333" s="56">
        <v>175</v>
      </c>
      <c r="F333" s="19" t="s">
        <v>63</v>
      </c>
      <c r="G333" s="4">
        <f t="shared" si="40"/>
        <v>91</v>
      </c>
      <c r="H333" s="11">
        <f t="shared" si="41"/>
        <v>202606</v>
      </c>
      <c r="I333" s="55">
        <f t="shared" si="42"/>
        <v>0.52</v>
      </c>
      <c r="J333" s="55">
        <f t="shared" si="43"/>
        <v>0</v>
      </c>
      <c r="K333" s="4">
        <f t="shared" si="44"/>
        <v>0</v>
      </c>
      <c r="L333" s="19" t="str">
        <f t="shared" si="45"/>
        <v>➖ لا تغيير</v>
      </c>
      <c r="M333" s="12">
        <f>IF(A333="","",IFERROR(INDEX(المدخلات!$M$4:$M$15,MATCH(A333,المدخلات!$L$4:$L$15,0)),""))</f>
        <v>13200</v>
      </c>
      <c r="N333" s="4">
        <f t="shared" si="46"/>
        <v>1201200</v>
      </c>
      <c r="O333" s="4">
        <f t="shared" si="47"/>
        <v>0</v>
      </c>
    </row>
    <row r="334" spans="1:15" ht="25.5">
      <c r="A334" s="11">
        <v>202607</v>
      </c>
      <c r="B334" s="19" t="s">
        <v>93</v>
      </c>
      <c r="C334" s="19" t="s">
        <v>279</v>
      </c>
      <c r="D334" s="55">
        <v>0.36</v>
      </c>
      <c r="E334" s="56">
        <v>175</v>
      </c>
      <c r="F334" s="19" t="s">
        <v>63</v>
      </c>
      <c r="G334" s="4">
        <f t="shared" si="40"/>
        <v>63</v>
      </c>
      <c r="H334" s="11">
        <f t="shared" si="41"/>
        <v>202606</v>
      </c>
      <c r="I334" s="55">
        <f t="shared" si="42"/>
        <v>0.36</v>
      </c>
      <c r="J334" s="55">
        <f t="shared" si="43"/>
        <v>0</v>
      </c>
      <c r="K334" s="4">
        <f t="shared" si="44"/>
        <v>0</v>
      </c>
      <c r="L334" s="19" t="str">
        <f t="shared" si="45"/>
        <v>➖ لا تغيير</v>
      </c>
      <c r="M334" s="12">
        <f>IF(A334="","",IFERROR(INDEX(المدخلات!$M$4:$M$15,MATCH(A334,المدخلات!$L$4:$L$15,0)),""))</f>
        <v>13200</v>
      </c>
      <c r="N334" s="4">
        <f t="shared" si="46"/>
        <v>831600</v>
      </c>
      <c r="O334" s="4">
        <f t="shared" si="47"/>
        <v>0</v>
      </c>
    </row>
    <row r="335" spans="1:15" ht="25.5">
      <c r="A335" s="11">
        <v>202607</v>
      </c>
      <c r="B335" s="19" t="s">
        <v>93</v>
      </c>
      <c r="C335" s="19" t="s">
        <v>280</v>
      </c>
      <c r="D335" s="55">
        <v>0.74</v>
      </c>
      <c r="E335" s="56">
        <v>312.5</v>
      </c>
      <c r="F335" s="19" t="s">
        <v>63</v>
      </c>
      <c r="G335" s="4">
        <f t="shared" si="40"/>
        <v>231.25</v>
      </c>
      <c r="H335" s="11">
        <f t="shared" si="41"/>
        <v>202606</v>
      </c>
      <c r="I335" s="55">
        <f t="shared" si="42"/>
        <v>0.74</v>
      </c>
      <c r="J335" s="55">
        <f t="shared" si="43"/>
        <v>0</v>
      </c>
      <c r="K335" s="4">
        <f t="shared" si="44"/>
        <v>0</v>
      </c>
      <c r="L335" s="19" t="str">
        <f t="shared" si="45"/>
        <v>➖ لا تغيير</v>
      </c>
      <c r="M335" s="12">
        <f>IF(A335="","",IFERROR(INDEX(المدخلات!$M$4:$M$15,MATCH(A335,المدخلات!$L$4:$L$15,0)),""))</f>
        <v>13200</v>
      </c>
      <c r="N335" s="4">
        <f t="shared" si="46"/>
        <v>3052500</v>
      </c>
      <c r="O335" s="4">
        <f t="shared" si="47"/>
        <v>0</v>
      </c>
    </row>
    <row r="336" spans="1:15">
      <c r="A336" s="11">
        <v>202607</v>
      </c>
      <c r="B336" s="19" t="s">
        <v>93</v>
      </c>
      <c r="C336" s="19" t="s">
        <v>281</v>
      </c>
      <c r="D336" s="55">
        <v>0</v>
      </c>
      <c r="E336" s="56">
        <v>312.5</v>
      </c>
      <c r="F336" s="19" t="s">
        <v>63</v>
      </c>
      <c r="G336" s="4">
        <f t="shared" si="40"/>
        <v>0</v>
      </c>
      <c r="H336" s="11">
        <f t="shared" si="41"/>
        <v>202606</v>
      </c>
      <c r="I336" s="55">
        <f t="shared" si="42"/>
        <v>0</v>
      </c>
      <c r="J336" s="55">
        <f t="shared" si="43"/>
        <v>0</v>
      </c>
      <c r="K336" s="4">
        <f t="shared" si="44"/>
        <v>0</v>
      </c>
      <c r="L336" s="19" t="str">
        <f t="shared" si="45"/>
        <v>➖ لا تغيير</v>
      </c>
      <c r="M336" s="12">
        <f>IF(A336="","",IFERROR(INDEX(المدخلات!$M$4:$M$15,MATCH(A336,المدخلات!$L$4:$L$15,0)),""))</f>
        <v>13200</v>
      </c>
      <c r="N336" s="4">
        <f t="shared" si="46"/>
        <v>0</v>
      </c>
      <c r="O336" s="4">
        <f t="shared" si="47"/>
        <v>0</v>
      </c>
    </row>
    <row r="337" spans="1:15">
      <c r="A337" s="11">
        <v>202607</v>
      </c>
      <c r="B337" s="19" t="s">
        <v>93</v>
      </c>
      <c r="C337" s="19" t="s">
        <v>282</v>
      </c>
      <c r="D337" s="55">
        <v>2.5499999999999998</v>
      </c>
      <c r="E337" s="56">
        <v>900</v>
      </c>
      <c r="F337" s="19" t="s">
        <v>63</v>
      </c>
      <c r="G337" s="4">
        <f t="shared" si="40"/>
        <v>2295</v>
      </c>
      <c r="H337" s="11">
        <f t="shared" si="41"/>
        <v>202606</v>
      </c>
      <c r="I337" s="55">
        <f t="shared" si="42"/>
        <v>2.59</v>
      </c>
      <c r="J337" s="55">
        <f t="shared" si="43"/>
        <v>4.0000000000000036E-2</v>
      </c>
      <c r="K337" s="4">
        <f t="shared" si="44"/>
        <v>36.000000000000028</v>
      </c>
      <c r="L337" s="19" t="str">
        <f t="shared" si="45"/>
        <v/>
      </c>
      <c r="M337" s="12">
        <f>IF(A337="","",IFERROR(INDEX(المدخلات!$M$4:$M$15,MATCH(A337,المدخلات!$L$4:$L$15,0)),""))</f>
        <v>13200</v>
      </c>
      <c r="N337" s="4">
        <f t="shared" si="46"/>
        <v>30294000</v>
      </c>
      <c r="O337" s="4">
        <f t="shared" si="47"/>
        <v>475200.00000000035</v>
      </c>
    </row>
    <row r="338" spans="1:15" ht="25.5">
      <c r="A338" s="11">
        <v>202607</v>
      </c>
      <c r="B338" s="19" t="s">
        <v>93</v>
      </c>
      <c r="C338" s="19" t="s">
        <v>283</v>
      </c>
      <c r="D338" s="55">
        <v>0.53</v>
      </c>
      <c r="E338" s="56">
        <v>225</v>
      </c>
      <c r="F338" s="19" t="s">
        <v>63</v>
      </c>
      <c r="G338" s="4">
        <f t="shared" si="40"/>
        <v>119.25</v>
      </c>
      <c r="H338" s="11">
        <f t="shared" si="41"/>
        <v>202606</v>
      </c>
      <c r="I338" s="55">
        <f t="shared" si="42"/>
        <v>0.53</v>
      </c>
      <c r="J338" s="55">
        <f t="shared" si="43"/>
        <v>0</v>
      </c>
      <c r="K338" s="4">
        <f t="shared" si="44"/>
        <v>0</v>
      </c>
      <c r="L338" s="19" t="str">
        <f t="shared" si="45"/>
        <v>➖ لا تغيير</v>
      </c>
      <c r="M338" s="12">
        <f>IF(A338="","",IFERROR(INDEX(المدخلات!$M$4:$M$15,MATCH(A338,المدخلات!$L$4:$L$15,0)),""))</f>
        <v>13200</v>
      </c>
      <c r="N338" s="4">
        <f t="shared" si="46"/>
        <v>1574100</v>
      </c>
      <c r="O338" s="4">
        <f t="shared" si="47"/>
        <v>0</v>
      </c>
    </row>
    <row r="339" spans="1:15" ht="25.5">
      <c r="A339" s="11">
        <v>202607</v>
      </c>
      <c r="B339" s="19" t="s">
        <v>93</v>
      </c>
      <c r="C339" s="19" t="s">
        <v>284</v>
      </c>
      <c r="D339" s="55">
        <v>0.62</v>
      </c>
      <c r="E339" s="56">
        <v>312.5</v>
      </c>
      <c r="F339" s="19" t="s">
        <v>63</v>
      </c>
      <c r="G339" s="4">
        <f t="shared" si="40"/>
        <v>193.75</v>
      </c>
      <c r="H339" s="11">
        <f t="shared" si="41"/>
        <v>202606</v>
      </c>
      <c r="I339" s="55">
        <f t="shared" si="42"/>
        <v>0.66</v>
      </c>
      <c r="J339" s="55">
        <f t="shared" si="43"/>
        <v>4.0000000000000036E-2</v>
      </c>
      <c r="K339" s="4">
        <f t="shared" si="44"/>
        <v>12.500000000000011</v>
      </c>
      <c r="L339" s="19" t="str">
        <f t="shared" si="45"/>
        <v/>
      </c>
      <c r="M339" s="12">
        <f>IF(A339="","",IFERROR(INDEX(المدخلات!$M$4:$M$15,MATCH(A339,المدخلات!$L$4:$L$15,0)),""))</f>
        <v>13200</v>
      </c>
      <c r="N339" s="4">
        <f t="shared" si="46"/>
        <v>2557500</v>
      </c>
      <c r="O339" s="4">
        <f t="shared" si="47"/>
        <v>165000.00000000015</v>
      </c>
    </row>
    <row r="340" spans="1:15" ht="25.5">
      <c r="A340" s="11">
        <v>202607</v>
      </c>
      <c r="B340" s="19" t="s">
        <v>93</v>
      </c>
      <c r="C340" s="19" t="s">
        <v>285</v>
      </c>
      <c r="D340" s="55">
        <v>0.6</v>
      </c>
      <c r="E340" s="56">
        <v>287.5</v>
      </c>
      <c r="F340" s="19" t="s">
        <v>63</v>
      </c>
      <c r="G340" s="4">
        <f t="shared" si="40"/>
        <v>172.5</v>
      </c>
      <c r="H340" s="11">
        <f t="shared" si="41"/>
        <v>202606</v>
      </c>
      <c r="I340" s="55">
        <f t="shared" si="42"/>
        <v>0.6</v>
      </c>
      <c r="J340" s="55">
        <f t="shared" si="43"/>
        <v>0</v>
      </c>
      <c r="K340" s="4">
        <f t="shared" si="44"/>
        <v>0</v>
      </c>
      <c r="L340" s="19" t="str">
        <f t="shared" si="45"/>
        <v>➖ لا تغيير</v>
      </c>
      <c r="M340" s="12">
        <f>IF(A340="","",IFERROR(INDEX(المدخلات!$M$4:$M$15,MATCH(A340,المدخلات!$L$4:$L$15,0)),""))</f>
        <v>13200</v>
      </c>
      <c r="N340" s="4">
        <f t="shared" si="46"/>
        <v>2277000</v>
      </c>
      <c r="O340" s="4">
        <f t="shared" si="47"/>
        <v>0</v>
      </c>
    </row>
    <row r="341" spans="1:15">
      <c r="A341" s="11">
        <v>202607</v>
      </c>
      <c r="B341" s="19" t="s">
        <v>93</v>
      </c>
      <c r="C341" s="19" t="s">
        <v>286</v>
      </c>
      <c r="D341" s="55">
        <v>0.47</v>
      </c>
      <c r="E341" s="56">
        <v>300</v>
      </c>
      <c r="F341" s="19" t="s">
        <v>63</v>
      </c>
      <c r="G341" s="4">
        <f t="shared" si="40"/>
        <v>141</v>
      </c>
      <c r="H341" s="11">
        <f t="shared" si="41"/>
        <v>202606</v>
      </c>
      <c r="I341" s="55">
        <f t="shared" si="42"/>
        <v>0.47</v>
      </c>
      <c r="J341" s="55">
        <f t="shared" si="43"/>
        <v>0</v>
      </c>
      <c r="K341" s="4">
        <f t="shared" si="44"/>
        <v>0</v>
      </c>
      <c r="L341" s="19" t="str">
        <f t="shared" si="45"/>
        <v>➖ لا تغيير</v>
      </c>
      <c r="M341" s="12">
        <f>IF(A341="","",IFERROR(INDEX(المدخلات!$M$4:$M$15,MATCH(A341,المدخلات!$L$4:$L$15,0)),""))</f>
        <v>13200</v>
      </c>
      <c r="N341" s="4">
        <f t="shared" si="46"/>
        <v>1861200</v>
      </c>
      <c r="O341" s="4">
        <f t="shared" si="47"/>
        <v>0</v>
      </c>
    </row>
    <row r="342" spans="1:15">
      <c r="A342" s="11">
        <v>202607</v>
      </c>
      <c r="B342" s="19" t="s">
        <v>93</v>
      </c>
      <c r="C342" s="19" t="s">
        <v>287</v>
      </c>
      <c r="D342" s="55">
        <v>0</v>
      </c>
      <c r="E342" s="56">
        <v>14.5</v>
      </c>
      <c r="F342" s="19" t="s">
        <v>63</v>
      </c>
      <c r="G342" s="4">
        <f t="shared" si="40"/>
        <v>0</v>
      </c>
      <c r="H342" s="11">
        <f t="shared" si="41"/>
        <v>202606</v>
      </c>
      <c r="I342" s="55">
        <f t="shared" si="42"/>
        <v>0</v>
      </c>
      <c r="J342" s="55">
        <f t="shared" si="43"/>
        <v>0</v>
      </c>
      <c r="K342" s="4">
        <f t="shared" si="44"/>
        <v>0</v>
      </c>
      <c r="L342" s="19" t="str">
        <f t="shared" si="45"/>
        <v>➖ لا تغيير</v>
      </c>
      <c r="M342" s="12">
        <f>IF(A342="","",IFERROR(INDEX(المدخلات!$M$4:$M$15,MATCH(A342,المدخلات!$L$4:$L$15,0)),""))</f>
        <v>13200</v>
      </c>
      <c r="N342" s="4">
        <f t="shared" si="46"/>
        <v>0</v>
      </c>
      <c r="O342" s="4">
        <f t="shared" si="47"/>
        <v>0</v>
      </c>
    </row>
    <row r="343" spans="1:15" ht="25.5">
      <c r="A343" s="11">
        <v>202607</v>
      </c>
      <c r="B343" s="19" t="s">
        <v>93</v>
      </c>
      <c r="C343" s="19" t="s">
        <v>288</v>
      </c>
      <c r="D343" s="55">
        <v>20</v>
      </c>
      <c r="E343" s="56">
        <v>150</v>
      </c>
      <c r="F343" s="19" t="s">
        <v>63</v>
      </c>
      <c r="G343" s="4">
        <f t="shared" si="40"/>
        <v>3000</v>
      </c>
      <c r="H343" s="11">
        <f t="shared" si="41"/>
        <v>202606</v>
      </c>
      <c r="I343" s="55">
        <f t="shared" si="42"/>
        <v>20</v>
      </c>
      <c r="J343" s="55">
        <f t="shared" si="43"/>
        <v>0</v>
      </c>
      <c r="K343" s="4">
        <f t="shared" si="44"/>
        <v>0</v>
      </c>
      <c r="L343" s="19" t="str">
        <f t="shared" si="45"/>
        <v>➖ لا تغيير</v>
      </c>
      <c r="M343" s="12">
        <f>IF(A343="","",IFERROR(INDEX(المدخلات!$M$4:$M$15,MATCH(A343,المدخلات!$L$4:$L$15,0)),""))</f>
        <v>13200</v>
      </c>
      <c r="N343" s="4">
        <f t="shared" si="46"/>
        <v>39600000</v>
      </c>
      <c r="O343" s="4">
        <f t="shared" si="47"/>
        <v>0</v>
      </c>
    </row>
    <row r="344" spans="1:15">
      <c r="A344" s="11">
        <v>202607</v>
      </c>
      <c r="B344" s="19" t="s">
        <v>93</v>
      </c>
      <c r="C344" s="19" t="s">
        <v>289</v>
      </c>
      <c r="D344" s="55">
        <v>21.4</v>
      </c>
      <c r="E344" s="56">
        <v>312.5</v>
      </c>
      <c r="F344" s="19" t="s">
        <v>63</v>
      </c>
      <c r="G344" s="4">
        <f t="shared" si="40"/>
        <v>6687.5</v>
      </c>
      <c r="H344" s="11">
        <f t="shared" si="41"/>
        <v>202606</v>
      </c>
      <c r="I344" s="55">
        <f t="shared" si="42"/>
        <v>21.4</v>
      </c>
      <c r="J344" s="55">
        <f t="shared" si="43"/>
        <v>0</v>
      </c>
      <c r="K344" s="4">
        <f t="shared" si="44"/>
        <v>0</v>
      </c>
      <c r="L344" s="19" t="str">
        <f t="shared" si="45"/>
        <v>➖ لا تغيير</v>
      </c>
      <c r="M344" s="12">
        <f>IF(A344="","",IFERROR(INDEX(المدخلات!$M$4:$M$15,MATCH(A344,المدخلات!$L$4:$L$15,0)),""))</f>
        <v>13200</v>
      </c>
      <c r="N344" s="4">
        <f t="shared" si="46"/>
        <v>88275000</v>
      </c>
      <c r="O344" s="4">
        <f t="shared" si="47"/>
        <v>0</v>
      </c>
    </row>
    <row r="345" spans="1:15">
      <c r="A345" s="11">
        <v>202607</v>
      </c>
      <c r="B345" s="19" t="s">
        <v>93</v>
      </c>
      <c r="C345" s="19" t="s">
        <v>141</v>
      </c>
      <c r="D345" s="55">
        <v>0</v>
      </c>
      <c r="E345" s="56">
        <v>15</v>
      </c>
      <c r="F345" s="19" t="s">
        <v>63</v>
      </c>
      <c r="G345" s="4">
        <f t="shared" si="40"/>
        <v>0</v>
      </c>
      <c r="H345" s="11">
        <f t="shared" si="41"/>
        <v>202606</v>
      </c>
      <c r="I345" s="55">
        <f t="shared" si="42"/>
        <v>0</v>
      </c>
      <c r="J345" s="55">
        <f t="shared" si="43"/>
        <v>0</v>
      </c>
      <c r="K345" s="4">
        <f t="shared" si="44"/>
        <v>0</v>
      </c>
      <c r="L345" s="19" t="str">
        <f t="shared" si="45"/>
        <v>➖ لا تغيير</v>
      </c>
      <c r="M345" s="12">
        <f>IF(A345="","",IFERROR(INDEX(المدخلات!$M$4:$M$15,MATCH(A345,المدخلات!$L$4:$L$15,0)),""))</f>
        <v>13200</v>
      </c>
      <c r="N345" s="4">
        <f t="shared" si="46"/>
        <v>0</v>
      </c>
      <c r="O345" s="4">
        <f t="shared" si="47"/>
        <v>0</v>
      </c>
    </row>
    <row r="346" spans="1:15">
      <c r="A346" s="11">
        <v>202607</v>
      </c>
      <c r="B346" s="19" t="s">
        <v>93</v>
      </c>
      <c r="C346" s="19" t="s">
        <v>142</v>
      </c>
      <c r="D346" s="55">
        <v>2</v>
      </c>
      <c r="E346" s="56">
        <v>16</v>
      </c>
      <c r="F346" s="19" t="s">
        <v>63</v>
      </c>
      <c r="G346" s="4">
        <f t="shared" si="40"/>
        <v>32</v>
      </c>
      <c r="H346" s="11">
        <f t="shared" si="41"/>
        <v>202606</v>
      </c>
      <c r="I346" s="55">
        <f t="shared" si="42"/>
        <v>2</v>
      </c>
      <c r="J346" s="55">
        <f t="shared" si="43"/>
        <v>0</v>
      </c>
      <c r="K346" s="4">
        <f t="shared" si="44"/>
        <v>0</v>
      </c>
      <c r="L346" s="19" t="str">
        <f t="shared" si="45"/>
        <v>➖ لا تغيير</v>
      </c>
      <c r="M346" s="12">
        <f>IF(A346="","",IFERROR(INDEX(المدخلات!$M$4:$M$15,MATCH(A346,المدخلات!$L$4:$L$15,0)),""))</f>
        <v>13200</v>
      </c>
      <c r="N346" s="4">
        <f t="shared" si="46"/>
        <v>422400</v>
      </c>
      <c r="O346" s="4">
        <f t="shared" si="47"/>
        <v>0</v>
      </c>
    </row>
    <row r="347" spans="1:15">
      <c r="A347" s="11">
        <v>202607</v>
      </c>
      <c r="B347" s="19" t="s">
        <v>93</v>
      </c>
      <c r="C347" s="19" t="s">
        <v>143</v>
      </c>
      <c r="D347" s="55">
        <v>3</v>
      </c>
      <c r="E347" s="56">
        <v>15.5</v>
      </c>
      <c r="F347" s="19" t="s">
        <v>63</v>
      </c>
      <c r="G347" s="4">
        <f t="shared" si="40"/>
        <v>46.5</v>
      </c>
      <c r="H347" s="11">
        <f t="shared" si="41"/>
        <v>202606</v>
      </c>
      <c r="I347" s="55">
        <f t="shared" si="42"/>
        <v>3</v>
      </c>
      <c r="J347" s="55">
        <f t="shared" si="43"/>
        <v>0</v>
      </c>
      <c r="K347" s="4">
        <f t="shared" si="44"/>
        <v>0</v>
      </c>
      <c r="L347" s="19" t="str">
        <f t="shared" si="45"/>
        <v>➖ لا تغيير</v>
      </c>
      <c r="M347" s="12">
        <f>IF(A347="","",IFERROR(INDEX(المدخلات!$M$4:$M$15,MATCH(A347,المدخلات!$L$4:$L$15,0)),""))</f>
        <v>13200</v>
      </c>
      <c r="N347" s="4">
        <f t="shared" si="46"/>
        <v>613800</v>
      </c>
      <c r="O347" s="4">
        <f t="shared" si="47"/>
        <v>0</v>
      </c>
    </row>
    <row r="348" spans="1:15">
      <c r="A348" s="11">
        <v>202607</v>
      </c>
      <c r="B348" s="19" t="s">
        <v>93</v>
      </c>
      <c r="C348" s="19" t="s">
        <v>144</v>
      </c>
      <c r="D348" s="55">
        <v>0.38</v>
      </c>
      <c r="E348" s="56">
        <v>225</v>
      </c>
      <c r="F348" s="19" t="s">
        <v>63</v>
      </c>
      <c r="G348" s="4">
        <f t="shared" si="40"/>
        <v>85.5</v>
      </c>
      <c r="H348" s="11">
        <f t="shared" si="41"/>
        <v>202606</v>
      </c>
      <c r="I348" s="55">
        <f t="shared" si="42"/>
        <v>0.46</v>
      </c>
      <c r="J348" s="55">
        <f t="shared" si="43"/>
        <v>8.0000000000000016E-2</v>
      </c>
      <c r="K348" s="4">
        <f t="shared" si="44"/>
        <v>18.000000000000004</v>
      </c>
      <c r="L348" s="19" t="str">
        <f t="shared" si="45"/>
        <v/>
      </c>
      <c r="M348" s="12">
        <f>IF(A348="","",IFERROR(INDEX(المدخلات!$M$4:$M$15,MATCH(A348,المدخلات!$L$4:$L$15,0)),""))</f>
        <v>13200</v>
      </c>
      <c r="N348" s="4">
        <f t="shared" si="46"/>
        <v>1128600</v>
      </c>
      <c r="O348" s="4">
        <f t="shared" si="47"/>
        <v>237600.00000000006</v>
      </c>
    </row>
    <row r="349" spans="1:15">
      <c r="A349" s="11">
        <v>202607</v>
      </c>
      <c r="B349" s="19" t="s">
        <v>93</v>
      </c>
      <c r="C349" s="19" t="s">
        <v>145</v>
      </c>
      <c r="D349" s="55">
        <v>1</v>
      </c>
      <c r="E349" s="56">
        <v>16</v>
      </c>
      <c r="F349" s="19" t="s">
        <v>63</v>
      </c>
      <c r="G349" s="4">
        <f t="shared" si="40"/>
        <v>16</v>
      </c>
      <c r="H349" s="11">
        <f t="shared" si="41"/>
        <v>202606</v>
      </c>
      <c r="I349" s="55">
        <f t="shared" si="42"/>
        <v>1</v>
      </c>
      <c r="J349" s="55">
        <f t="shared" si="43"/>
        <v>0</v>
      </c>
      <c r="K349" s="4">
        <f t="shared" si="44"/>
        <v>0</v>
      </c>
      <c r="L349" s="19" t="str">
        <f t="shared" si="45"/>
        <v>➖ لا تغيير</v>
      </c>
      <c r="M349" s="12">
        <f>IF(A349="","",IFERROR(INDEX(المدخلات!$M$4:$M$15,MATCH(A349,المدخلات!$L$4:$L$15,0)),""))</f>
        <v>13200</v>
      </c>
      <c r="N349" s="4">
        <f t="shared" si="46"/>
        <v>211200</v>
      </c>
      <c r="O349" s="4">
        <f t="shared" si="47"/>
        <v>0</v>
      </c>
    </row>
    <row r="350" spans="1:15">
      <c r="A350" s="11">
        <v>202607</v>
      </c>
      <c r="B350" s="19" t="s">
        <v>93</v>
      </c>
      <c r="C350" s="19" t="s">
        <v>367</v>
      </c>
      <c r="D350" s="55">
        <v>0</v>
      </c>
      <c r="E350" s="56">
        <v>10</v>
      </c>
      <c r="F350" s="19" t="s">
        <v>63</v>
      </c>
      <c r="G350" s="4">
        <f t="shared" si="40"/>
        <v>0</v>
      </c>
      <c r="H350" s="11">
        <f t="shared" si="41"/>
        <v>0</v>
      </c>
      <c r="I350" s="55" t="str">
        <f t="shared" si="42"/>
        <v/>
      </c>
      <c r="J350" s="55">
        <f t="shared" si="43"/>
        <v>0</v>
      </c>
      <c r="K350" s="4">
        <f t="shared" si="44"/>
        <v>0</v>
      </c>
      <c r="L350" s="19" t="str">
        <f t="shared" si="45"/>
        <v>🆕 أول ظهور لهذه المادة</v>
      </c>
      <c r="M350" s="12">
        <f>IF(A350="","",IFERROR(INDEX(المدخلات!$M$4:$M$15,MATCH(A350,المدخلات!$L$4:$L$15,0)),""))</f>
        <v>13200</v>
      </c>
      <c r="N350" s="4">
        <f t="shared" si="46"/>
        <v>0</v>
      </c>
      <c r="O350" s="4">
        <f t="shared" si="47"/>
        <v>0</v>
      </c>
    </row>
    <row r="351" spans="1:15">
      <c r="A351" s="11">
        <v>202607</v>
      </c>
      <c r="B351" s="19" t="s">
        <v>93</v>
      </c>
      <c r="C351" s="19" t="s">
        <v>146</v>
      </c>
      <c r="D351" s="55">
        <v>0</v>
      </c>
      <c r="E351" s="56">
        <v>13</v>
      </c>
      <c r="F351" s="19" t="s">
        <v>63</v>
      </c>
      <c r="G351" s="4">
        <f t="shared" si="40"/>
        <v>0</v>
      </c>
      <c r="H351" s="11">
        <f t="shared" si="41"/>
        <v>202606</v>
      </c>
      <c r="I351" s="55">
        <f t="shared" si="42"/>
        <v>0</v>
      </c>
      <c r="J351" s="55">
        <f t="shared" si="43"/>
        <v>0</v>
      </c>
      <c r="K351" s="4">
        <f t="shared" si="44"/>
        <v>0</v>
      </c>
      <c r="L351" s="19" t="str">
        <f t="shared" si="45"/>
        <v>➖ لا تغيير</v>
      </c>
      <c r="M351" s="12">
        <f>IF(A351="","",IFERROR(INDEX(المدخلات!$M$4:$M$15,MATCH(A351,المدخلات!$L$4:$L$15,0)),""))</f>
        <v>13200</v>
      </c>
      <c r="N351" s="4">
        <f t="shared" si="46"/>
        <v>0</v>
      </c>
      <c r="O351" s="4">
        <f t="shared" si="47"/>
        <v>0</v>
      </c>
    </row>
    <row r="352" spans="1:15" ht="25.5">
      <c r="A352" s="11">
        <v>202607</v>
      </c>
      <c r="B352" s="19" t="s">
        <v>93</v>
      </c>
      <c r="C352" s="19" t="s">
        <v>290</v>
      </c>
      <c r="D352" s="55">
        <v>22</v>
      </c>
      <c r="E352" s="56">
        <v>18</v>
      </c>
      <c r="F352" s="19" t="s">
        <v>63</v>
      </c>
      <c r="G352" s="4">
        <f t="shared" si="40"/>
        <v>396</v>
      </c>
      <c r="H352" s="11">
        <f t="shared" si="41"/>
        <v>202606</v>
      </c>
      <c r="I352" s="55">
        <f t="shared" si="42"/>
        <v>22</v>
      </c>
      <c r="J352" s="55">
        <f t="shared" si="43"/>
        <v>0</v>
      </c>
      <c r="K352" s="4">
        <f t="shared" si="44"/>
        <v>0</v>
      </c>
      <c r="L352" s="19" t="str">
        <f t="shared" si="45"/>
        <v>➖ لا تغيير</v>
      </c>
      <c r="M352" s="12">
        <f>IF(A352="","",IFERROR(INDEX(المدخلات!$M$4:$M$15,MATCH(A352,المدخلات!$L$4:$L$15,0)),""))</f>
        <v>13200</v>
      </c>
      <c r="N352" s="4">
        <f t="shared" si="46"/>
        <v>5227200</v>
      </c>
      <c r="O352" s="4">
        <f t="shared" si="47"/>
        <v>0</v>
      </c>
    </row>
    <row r="353" spans="1:15">
      <c r="A353" s="11">
        <v>202607</v>
      </c>
      <c r="B353" s="19" t="s">
        <v>93</v>
      </c>
      <c r="C353" s="19" t="s">
        <v>147</v>
      </c>
      <c r="D353" s="55">
        <v>0</v>
      </c>
      <c r="E353" s="56">
        <v>15</v>
      </c>
      <c r="F353" s="19" t="s">
        <v>63</v>
      </c>
      <c r="G353" s="4">
        <f t="shared" si="40"/>
        <v>0</v>
      </c>
      <c r="H353" s="11">
        <f t="shared" si="41"/>
        <v>202606</v>
      </c>
      <c r="I353" s="55">
        <f t="shared" si="42"/>
        <v>0</v>
      </c>
      <c r="J353" s="55">
        <f t="shared" si="43"/>
        <v>0</v>
      </c>
      <c r="K353" s="4">
        <f t="shared" si="44"/>
        <v>0</v>
      </c>
      <c r="L353" s="19" t="str">
        <f t="shared" si="45"/>
        <v>➖ لا تغيير</v>
      </c>
      <c r="M353" s="12">
        <f>IF(A353="","",IFERROR(INDEX(المدخلات!$M$4:$M$15,MATCH(A353,المدخلات!$L$4:$L$15,0)),""))</f>
        <v>13200</v>
      </c>
      <c r="N353" s="4">
        <f t="shared" si="46"/>
        <v>0</v>
      </c>
      <c r="O353" s="4">
        <f t="shared" si="47"/>
        <v>0</v>
      </c>
    </row>
    <row r="354" spans="1:15">
      <c r="A354" s="11">
        <v>202607</v>
      </c>
      <c r="B354" s="19" t="s">
        <v>93</v>
      </c>
      <c r="C354" s="19" t="s">
        <v>148</v>
      </c>
      <c r="D354" s="55">
        <v>0</v>
      </c>
      <c r="E354" s="56">
        <v>13.2</v>
      </c>
      <c r="F354" s="19" t="s">
        <v>63</v>
      </c>
      <c r="G354" s="4">
        <f t="shared" si="40"/>
        <v>0</v>
      </c>
      <c r="H354" s="11">
        <f t="shared" si="41"/>
        <v>202606</v>
      </c>
      <c r="I354" s="55">
        <f t="shared" si="42"/>
        <v>0</v>
      </c>
      <c r="J354" s="55">
        <f t="shared" si="43"/>
        <v>0</v>
      </c>
      <c r="K354" s="4">
        <f t="shared" si="44"/>
        <v>0</v>
      </c>
      <c r="L354" s="19" t="str">
        <f t="shared" si="45"/>
        <v>➖ لا تغيير</v>
      </c>
      <c r="M354" s="12">
        <f>IF(A354="","",IFERROR(INDEX(المدخلات!$M$4:$M$15,MATCH(A354,المدخلات!$L$4:$L$15,0)),""))</f>
        <v>13200</v>
      </c>
      <c r="N354" s="4">
        <f t="shared" si="46"/>
        <v>0</v>
      </c>
      <c r="O354" s="4">
        <f t="shared" si="47"/>
        <v>0</v>
      </c>
    </row>
    <row r="355" spans="1:15">
      <c r="A355" s="11">
        <v>202607</v>
      </c>
      <c r="B355" s="19" t="s">
        <v>93</v>
      </c>
      <c r="C355" s="19" t="s">
        <v>291</v>
      </c>
      <c r="D355" s="55">
        <v>2</v>
      </c>
      <c r="E355" s="56">
        <v>425</v>
      </c>
      <c r="F355" s="19" t="s">
        <v>63</v>
      </c>
      <c r="G355" s="4">
        <f t="shared" si="40"/>
        <v>850</v>
      </c>
      <c r="H355" s="11">
        <f t="shared" si="41"/>
        <v>202606</v>
      </c>
      <c r="I355" s="55">
        <f t="shared" si="42"/>
        <v>2</v>
      </c>
      <c r="J355" s="55">
        <f t="shared" si="43"/>
        <v>0</v>
      </c>
      <c r="K355" s="4">
        <f t="shared" si="44"/>
        <v>0</v>
      </c>
      <c r="L355" s="19" t="str">
        <f t="shared" si="45"/>
        <v>➖ لا تغيير</v>
      </c>
      <c r="M355" s="12">
        <f>IF(A355="","",IFERROR(INDEX(المدخلات!$M$4:$M$15,MATCH(A355,المدخلات!$L$4:$L$15,0)),""))</f>
        <v>13200</v>
      </c>
      <c r="N355" s="4">
        <f t="shared" si="46"/>
        <v>11220000</v>
      </c>
      <c r="O355" s="4">
        <f t="shared" si="47"/>
        <v>0</v>
      </c>
    </row>
    <row r="356" spans="1:15">
      <c r="A356" s="11">
        <v>202607</v>
      </c>
      <c r="B356" s="19" t="s">
        <v>93</v>
      </c>
      <c r="C356" s="19" t="s">
        <v>292</v>
      </c>
      <c r="D356" s="55">
        <v>50</v>
      </c>
      <c r="E356" s="56">
        <v>22</v>
      </c>
      <c r="F356" s="19" t="s">
        <v>63</v>
      </c>
      <c r="G356" s="4">
        <f t="shared" si="40"/>
        <v>1100</v>
      </c>
      <c r="H356" s="11">
        <f t="shared" si="41"/>
        <v>202606</v>
      </c>
      <c r="I356" s="55">
        <f t="shared" si="42"/>
        <v>50</v>
      </c>
      <c r="J356" s="55">
        <f t="shared" si="43"/>
        <v>0</v>
      </c>
      <c r="K356" s="4">
        <f t="shared" si="44"/>
        <v>0</v>
      </c>
      <c r="L356" s="19" t="str">
        <f t="shared" si="45"/>
        <v>➖ لا تغيير</v>
      </c>
      <c r="M356" s="12">
        <f>IF(A356="","",IFERROR(INDEX(المدخلات!$M$4:$M$15,MATCH(A356,المدخلات!$L$4:$L$15,0)),""))</f>
        <v>13200</v>
      </c>
      <c r="N356" s="4">
        <f t="shared" si="46"/>
        <v>14520000</v>
      </c>
      <c r="O356" s="4">
        <f t="shared" si="47"/>
        <v>0</v>
      </c>
    </row>
    <row r="357" spans="1:15" ht="25.5">
      <c r="A357" s="11">
        <v>202607</v>
      </c>
      <c r="B357" s="19" t="s">
        <v>93</v>
      </c>
      <c r="C357" s="19" t="s">
        <v>293</v>
      </c>
      <c r="D357" s="55">
        <v>4</v>
      </c>
      <c r="E357" s="56">
        <v>425</v>
      </c>
      <c r="F357" s="19" t="s">
        <v>63</v>
      </c>
      <c r="G357" s="4">
        <f t="shared" si="40"/>
        <v>1700</v>
      </c>
      <c r="H357" s="11">
        <f t="shared" si="41"/>
        <v>202606</v>
      </c>
      <c r="I357" s="55">
        <f t="shared" si="42"/>
        <v>4</v>
      </c>
      <c r="J357" s="55">
        <f t="shared" si="43"/>
        <v>0</v>
      </c>
      <c r="K357" s="4">
        <f t="shared" si="44"/>
        <v>0</v>
      </c>
      <c r="L357" s="19" t="str">
        <f t="shared" si="45"/>
        <v>➖ لا تغيير</v>
      </c>
      <c r="M357" s="12">
        <f>IF(A357="","",IFERROR(INDEX(المدخلات!$M$4:$M$15,MATCH(A357,المدخلات!$L$4:$L$15,0)),""))</f>
        <v>13200</v>
      </c>
      <c r="N357" s="4">
        <f t="shared" si="46"/>
        <v>22440000</v>
      </c>
      <c r="O357" s="4">
        <f t="shared" si="47"/>
        <v>0</v>
      </c>
    </row>
    <row r="358" spans="1:15">
      <c r="A358" s="11">
        <v>202607</v>
      </c>
      <c r="B358" s="19" t="s">
        <v>93</v>
      </c>
      <c r="C358" s="19" t="s">
        <v>294</v>
      </c>
      <c r="D358" s="55">
        <v>1.44</v>
      </c>
      <c r="E358" s="56">
        <v>400</v>
      </c>
      <c r="F358" s="19" t="s">
        <v>63</v>
      </c>
      <c r="G358" s="4">
        <f t="shared" si="40"/>
        <v>576</v>
      </c>
      <c r="H358" s="11">
        <f t="shared" si="41"/>
        <v>202606</v>
      </c>
      <c r="I358" s="55">
        <f t="shared" si="42"/>
        <v>1.44</v>
      </c>
      <c r="J358" s="55">
        <f t="shared" si="43"/>
        <v>0</v>
      </c>
      <c r="K358" s="4">
        <f t="shared" si="44"/>
        <v>0</v>
      </c>
      <c r="L358" s="19" t="str">
        <f t="shared" si="45"/>
        <v>➖ لا تغيير</v>
      </c>
      <c r="M358" s="12">
        <f>IF(A358="","",IFERROR(INDEX(المدخلات!$M$4:$M$15,MATCH(A358,المدخلات!$L$4:$L$15,0)),""))</f>
        <v>13200</v>
      </c>
      <c r="N358" s="4">
        <f t="shared" si="46"/>
        <v>7603200</v>
      </c>
      <c r="O358" s="4">
        <f t="shared" si="47"/>
        <v>0</v>
      </c>
    </row>
    <row r="359" spans="1:15">
      <c r="A359" s="11">
        <v>202607</v>
      </c>
      <c r="B359" s="19" t="s">
        <v>93</v>
      </c>
      <c r="C359" s="19" t="s">
        <v>295</v>
      </c>
      <c r="D359" s="55">
        <v>105</v>
      </c>
      <c r="E359" s="56">
        <v>24</v>
      </c>
      <c r="F359" s="19" t="s">
        <v>63</v>
      </c>
      <c r="G359" s="4">
        <f t="shared" si="40"/>
        <v>2520</v>
      </c>
      <c r="H359" s="11">
        <f t="shared" si="41"/>
        <v>202606</v>
      </c>
      <c r="I359" s="55">
        <f t="shared" si="42"/>
        <v>105</v>
      </c>
      <c r="J359" s="55">
        <f t="shared" si="43"/>
        <v>0</v>
      </c>
      <c r="K359" s="4">
        <f t="shared" si="44"/>
        <v>0</v>
      </c>
      <c r="L359" s="19" t="str">
        <f t="shared" si="45"/>
        <v>➖ لا تغيير</v>
      </c>
      <c r="M359" s="12">
        <f>IF(A359="","",IFERROR(INDEX(المدخلات!$M$4:$M$15,MATCH(A359,المدخلات!$L$4:$L$15,0)),""))</f>
        <v>13200</v>
      </c>
      <c r="N359" s="4">
        <f t="shared" si="46"/>
        <v>33264000</v>
      </c>
      <c r="O359" s="4">
        <f t="shared" si="47"/>
        <v>0</v>
      </c>
    </row>
    <row r="360" spans="1:15">
      <c r="A360" s="11">
        <v>202607</v>
      </c>
      <c r="B360" s="19" t="s">
        <v>93</v>
      </c>
      <c r="C360" s="19" t="s">
        <v>296</v>
      </c>
      <c r="D360" s="55">
        <v>4</v>
      </c>
      <c r="E360" s="56">
        <v>450</v>
      </c>
      <c r="F360" s="19" t="s">
        <v>63</v>
      </c>
      <c r="G360" s="4">
        <f t="shared" si="40"/>
        <v>1800</v>
      </c>
      <c r="H360" s="11">
        <f t="shared" si="41"/>
        <v>202606</v>
      </c>
      <c r="I360" s="55">
        <f t="shared" si="42"/>
        <v>4</v>
      </c>
      <c r="J360" s="55">
        <f t="shared" si="43"/>
        <v>0</v>
      </c>
      <c r="K360" s="4">
        <f t="shared" si="44"/>
        <v>0</v>
      </c>
      <c r="L360" s="19" t="str">
        <f t="shared" si="45"/>
        <v>➖ لا تغيير</v>
      </c>
      <c r="M360" s="12">
        <f>IF(A360="","",IFERROR(INDEX(المدخلات!$M$4:$M$15,MATCH(A360,المدخلات!$L$4:$L$15,0)),""))</f>
        <v>13200</v>
      </c>
      <c r="N360" s="4">
        <f t="shared" si="46"/>
        <v>23760000</v>
      </c>
      <c r="O360" s="4">
        <f t="shared" si="47"/>
        <v>0</v>
      </c>
    </row>
    <row r="361" spans="1:15">
      <c r="A361" s="11">
        <v>202607</v>
      </c>
      <c r="B361" s="19" t="s">
        <v>93</v>
      </c>
      <c r="C361" s="19" t="s">
        <v>297</v>
      </c>
      <c r="D361" s="55">
        <v>2</v>
      </c>
      <c r="E361" s="56">
        <v>187.5</v>
      </c>
      <c r="F361" s="19" t="s">
        <v>63</v>
      </c>
      <c r="G361" s="4">
        <f t="shared" si="40"/>
        <v>375</v>
      </c>
      <c r="H361" s="11">
        <f t="shared" si="41"/>
        <v>202606</v>
      </c>
      <c r="I361" s="55">
        <f t="shared" si="42"/>
        <v>2</v>
      </c>
      <c r="J361" s="55">
        <f t="shared" si="43"/>
        <v>0</v>
      </c>
      <c r="K361" s="4">
        <f t="shared" si="44"/>
        <v>0</v>
      </c>
      <c r="L361" s="19" t="str">
        <f t="shared" si="45"/>
        <v>➖ لا تغيير</v>
      </c>
      <c r="M361" s="12">
        <f>IF(A361="","",IFERROR(INDEX(المدخلات!$M$4:$M$15,MATCH(A361,المدخلات!$L$4:$L$15,0)),""))</f>
        <v>13200</v>
      </c>
      <c r="N361" s="4">
        <f t="shared" si="46"/>
        <v>4950000</v>
      </c>
      <c r="O361" s="4">
        <f t="shared" si="47"/>
        <v>0</v>
      </c>
    </row>
    <row r="362" spans="1:15">
      <c r="A362" s="11">
        <v>202607</v>
      </c>
      <c r="B362" s="19" t="s">
        <v>93</v>
      </c>
      <c r="C362" s="19" t="s">
        <v>237</v>
      </c>
      <c r="D362" s="55">
        <v>0.4</v>
      </c>
      <c r="E362" s="56">
        <v>200000</v>
      </c>
      <c r="F362" s="19" t="s">
        <v>62</v>
      </c>
      <c r="G362" s="4">
        <f t="shared" si="40"/>
        <v>80000</v>
      </c>
      <c r="H362" s="11">
        <f t="shared" si="41"/>
        <v>202606</v>
      </c>
      <c r="I362" s="55">
        <f t="shared" si="42"/>
        <v>0</v>
      </c>
      <c r="J362" s="55">
        <f t="shared" si="43"/>
        <v>0</v>
      </c>
      <c r="K362" s="4">
        <f t="shared" si="44"/>
        <v>0</v>
      </c>
      <c r="L362" s="19" t="str">
        <f t="shared" si="45"/>
        <v>ℹ️ زيادة كمية (شراء/تصحيح) - لا تُحتسب استهلاكاً</v>
      </c>
      <c r="M362" s="12">
        <f>IF(A362="","",IFERROR(INDEX(المدخلات!$M$4:$M$15,MATCH(A362,المدخلات!$L$4:$L$15,0)),""))</f>
        <v>13200</v>
      </c>
      <c r="N362" s="4">
        <f t="shared" si="46"/>
        <v>80000</v>
      </c>
      <c r="O362" s="4">
        <f t="shared" si="47"/>
        <v>0</v>
      </c>
    </row>
    <row r="363" spans="1:15">
      <c r="A363" s="11">
        <v>202607</v>
      </c>
      <c r="B363" s="19" t="s">
        <v>93</v>
      </c>
      <c r="C363" s="19" t="s">
        <v>298</v>
      </c>
      <c r="D363" s="55">
        <v>0</v>
      </c>
      <c r="E363" s="56">
        <v>0.8</v>
      </c>
      <c r="F363" s="19" t="s">
        <v>63</v>
      </c>
      <c r="G363" s="4">
        <f t="shared" si="40"/>
        <v>0</v>
      </c>
      <c r="H363" s="11">
        <f t="shared" si="41"/>
        <v>202606</v>
      </c>
      <c r="I363" s="55">
        <f t="shared" si="42"/>
        <v>0</v>
      </c>
      <c r="J363" s="55">
        <f t="shared" si="43"/>
        <v>0</v>
      </c>
      <c r="K363" s="4">
        <f t="shared" si="44"/>
        <v>0</v>
      </c>
      <c r="L363" s="19" t="str">
        <f t="shared" si="45"/>
        <v>➖ لا تغيير</v>
      </c>
      <c r="M363" s="12">
        <f>IF(A363="","",IFERROR(INDEX(المدخلات!$M$4:$M$15,MATCH(A363,المدخلات!$L$4:$L$15,0)),""))</f>
        <v>13200</v>
      </c>
      <c r="N363" s="4">
        <f t="shared" si="46"/>
        <v>0</v>
      </c>
      <c r="O363" s="4">
        <f t="shared" si="47"/>
        <v>0</v>
      </c>
    </row>
    <row r="364" spans="1:15">
      <c r="A364" s="11">
        <v>202607</v>
      </c>
      <c r="B364" s="19" t="s">
        <v>93</v>
      </c>
      <c r="C364" s="19" t="s">
        <v>329</v>
      </c>
      <c r="D364" s="55">
        <v>18.03</v>
      </c>
      <c r="E364" s="56">
        <v>84000</v>
      </c>
      <c r="F364" s="19" t="s">
        <v>62</v>
      </c>
      <c r="G364" s="4">
        <f t="shared" si="40"/>
        <v>1514520</v>
      </c>
      <c r="H364" s="11">
        <f t="shared" si="41"/>
        <v>202606</v>
      </c>
      <c r="I364" s="55">
        <f t="shared" si="42"/>
        <v>19.87</v>
      </c>
      <c r="J364" s="55">
        <f t="shared" si="43"/>
        <v>1.8399999999999999</v>
      </c>
      <c r="K364" s="4">
        <f t="shared" si="44"/>
        <v>154560</v>
      </c>
      <c r="L364" s="19" t="str">
        <f t="shared" si="45"/>
        <v/>
      </c>
      <c r="M364" s="12">
        <f>IF(A364="","",IFERROR(INDEX(المدخلات!$M$4:$M$15,MATCH(A364,المدخلات!$L$4:$L$15,0)),""))</f>
        <v>13200</v>
      </c>
      <c r="N364" s="4">
        <f t="shared" si="46"/>
        <v>1514520</v>
      </c>
      <c r="O364" s="4">
        <f t="shared" si="47"/>
        <v>154560</v>
      </c>
    </row>
    <row r="365" spans="1:15">
      <c r="A365" s="11">
        <v>202607</v>
      </c>
      <c r="B365" s="19" t="s">
        <v>93</v>
      </c>
      <c r="C365" s="19" t="s">
        <v>330</v>
      </c>
      <c r="D365" s="55">
        <v>30.82</v>
      </c>
      <c r="E365" s="56">
        <v>126000</v>
      </c>
      <c r="F365" s="19" t="s">
        <v>62</v>
      </c>
      <c r="G365" s="4">
        <f t="shared" si="40"/>
        <v>3883320</v>
      </c>
      <c r="H365" s="11">
        <f t="shared" si="41"/>
        <v>202606</v>
      </c>
      <c r="I365" s="55">
        <f t="shared" si="42"/>
        <v>11.16</v>
      </c>
      <c r="J365" s="55">
        <f t="shared" si="43"/>
        <v>0</v>
      </c>
      <c r="K365" s="4">
        <f t="shared" si="44"/>
        <v>0</v>
      </c>
      <c r="L365" s="19" t="str">
        <f t="shared" si="45"/>
        <v>ℹ️ زيادة كمية (شراء/تصحيح) - لا تُحتسب استهلاكاً</v>
      </c>
      <c r="M365" s="12">
        <f>IF(A365="","",IFERROR(INDEX(المدخلات!$M$4:$M$15,MATCH(A365,المدخلات!$L$4:$L$15,0)),""))</f>
        <v>13200</v>
      </c>
      <c r="N365" s="4">
        <f t="shared" si="46"/>
        <v>3883320</v>
      </c>
      <c r="O365" s="4">
        <f t="shared" si="47"/>
        <v>0</v>
      </c>
    </row>
    <row r="366" spans="1:15">
      <c r="A366" s="11">
        <v>202607</v>
      </c>
      <c r="B366" s="19" t="s">
        <v>93</v>
      </c>
      <c r="C366" s="19" t="s">
        <v>238</v>
      </c>
      <c r="D366" s="55">
        <v>93.75</v>
      </c>
      <c r="E366" s="56">
        <v>96000</v>
      </c>
      <c r="F366" s="19" t="s">
        <v>62</v>
      </c>
      <c r="G366" s="4">
        <f t="shared" si="40"/>
        <v>9000000</v>
      </c>
      <c r="H366" s="11">
        <f t="shared" si="41"/>
        <v>202606</v>
      </c>
      <c r="I366" s="55">
        <f t="shared" si="42"/>
        <v>93.75</v>
      </c>
      <c r="J366" s="55">
        <f t="shared" si="43"/>
        <v>0</v>
      </c>
      <c r="K366" s="4">
        <f t="shared" si="44"/>
        <v>0</v>
      </c>
      <c r="L366" s="19" t="str">
        <f t="shared" si="45"/>
        <v>➖ لا تغيير</v>
      </c>
      <c r="M366" s="12">
        <f>IF(A366="","",IFERROR(INDEX(المدخلات!$M$4:$M$15,MATCH(A366,المدخلات!$L$4:$L$15,0)),""))</f>
        <v>13200</v>
      </c>
      <c r="N366" s="4">
        <f t="shared" si="46"/>
        <v>9000000</v>
      </c>
      <c r="O366" s="4">
        <f t="shared" si="47"/>
        <v>0</v>
      </c>
    </row>
    <row r="367" spans="1:15">
      <c r="A367" s="11">
        <v>202607</v>
      </c>
      <c r="B367" s="19" t="s">
        <v>93</v>
      </c>
      <c r="C367" s="19" t="s">
        <v>239</v>
      </c>
      <c r="D367" s="55">
        <v>80</v>
      </c>
      <c r="E367" s="56">
        <v>15000</v>
      </c>
      <c r="F367" s="19" t="s">
        <v>62</v>
      </c>
      <c r="G367" s="4">
        <f t="shared" si="40"/>
        <v>1200000</v>
      </c>
      <c r="H367" s="11">
        <f t="shared" si="41"/>
        <v>202606</v>
      </c>
      <c r="I367" s="55">
        <f t="shared" si="42"/>
        <v>80</v>
      </c>
      <c r="J367" s="55">
        <f t="shared" si="43"/>
        <v>0</v>
      </c>
      <c r="K367" s="4">
        <f t="shared" si="44"/>
        <v>0</v>
      </c>
      <c r="L367" s="19" t="str">
        <f t="shared" si="45"/>
        <v>➖ لا تغيير</v>
      </c>
      <c r="M367" s="12">
        <f>IF(A367="","",IFERROR(INDEX(المدخلات!$M$4:$M$15,MATCH(A367,المدخلات!$L$4:$L$15,0)),""))</f>
        <v>13200</v>
      </c>
      <c r="N367" s="4">
        <f t="shared" si="46"/>
        <v>1200000</v>
      </c>
      <c r="O367" s="4">
        <f t="shared" si="47"/>
        <v>0</v>
      </c>
    </row>
    <row r="368" spans="1:15">
      <c r="A368" s="11">
        <v>202607</v>
      </c>
      <c r="B368" s="19" t="s">
        <v>93</v>
      </c>
      <c r="C368" s="19" t="s">
        <v>149</v>
      </c>
      <c r="D368" s="55">
        <v>0</v>
      </c>
      <c r="E368" s="56">
        <v>0</v>
      </c>
      <c r="F368" s="19" t="s">
        <v>63</v>
      </c>
      <c r="G368" s="4">
        <f t="shared" si="40"/>
        <v>0</v>
      </c>
      <c r="H368" s="11">
        <f t="shared" si="41"/>
        <v>202606</v>
      </c>
      <c r="I368" s="55">
        <f t="shared" si="42"/>
        <v>0</v>
      </c>
      <c r="J368" s="55">
        <f t="shared" si="43"/>
        <v>0</v>
      </c>
      <c r="K368" s="4">
        <f t="shared" si="44"/>
        <v>0</v>
      </c>
      <c r="L368" s="19" t="str">
        <f t="shared" si="45"/>
        <v>➖ لا تغيير</v>
      </c>
      <c r="M368" s="12">
        <f>IF(A368="","",IFERROR(INDEX(المدخلات!$M$4:$M$15,MATCH(A368,المدخلات!$L$4:$L$15,0)),""))</f>
        <v>13200</v>
      </c>
      <c r="N368" s="4">
        <f t="shared" si="46"/>
        <v>0</v>
      </c>
      <c r="O368" s="4">
        <f t="shared" si="47"/>
        <v>0</v>
      </c>
    </row>
    <row r="369" spans="1:15">
      <c r="A369" s="11">
        <v>202607</v>
      </c>
      <c r="B369" s="19" t="s">
        <v>93</v>
      </c>
      <c r="C369" s="19" t="s">
        <v>150</v>
      </c>
      <c r="D369" s="55">
        <v>0</v>
      </c>
      <c r="E369" s="56">
        <v>0</v>
      </c>
      <c r="F369" s="19" t="s">
        <v>63</v>
      </c>
      <c r="G369" s="4">
        <f t="shared" si="40"/>
        <v>0</v>
      </c>
      <c r="H369" s="11">
        <f t="shared" si="41"/>
        <v>202606</v>
      </c>
      <c r="I369" s="55">
        <f t="shared" si="42"/>
        <v>0</v>
      </c>
      <c r="J369" s="55">
        <f t="shared" si="43"/>
        <v>0</v>
      </c>
      <c r="K369" s="4">
        <f t="shared" si="44"/>
        <v>0</v>
      </c>
      <c r="L369" s="19" t="str">
        <f t="shared" si="45"/>
        <v>➖ لا تغيير</v>
      </c>
      <c r="M369" s="12">
        <f>IF(A369="","",IFERROR(INDEX(المدخلات!$M$4:$M$15,MATCH(A369,المدخلات!$L$4:$L$15,0)),""))</f>
        <v>13200</v>
      </c>
      <c r="N369" s="4">
        <f t="shared" si="46"/>
        <v>0</v>
      </c>
      <c r="O369" s="4">
        <f t="shared" si="47"/>
        <v>0</v>
      </c>
    </row>
    <row r="370" spans="1:15">
      <c r="A370" s="11">
        <v>202607</v>
      </c>
      <c r="B370" s="19" t="s">
        <v>93</v>
      </c>
      <c r="C370" s="19" t="s">
        <v>151</v>
      </c>
      <c r="D370" s="55">
        <v>0</v>
      </c>
      <c r="E370" s="56">
        <v>642</v>
      </c>
      <c r="F370" s="19" t="s">
        <v>63</v>
      </c>
      <c r="G370" s="4">
        <f t="shared" si="40"/>
        <v>0</v>
      </c>
      <c r="H370" s="11">
        <f t="shared" si="41"/>
        <v>202606</v>
      </c>
      <c r="I370" s="55">
        <f t="shared" si="42"/>
        <v>0</v>
      </c>
      <c r="J370" s="55">
        <f t="shared" si="43"/>
        <v>0</v>
      </c>
      <c r="K370" s="4">
        <f t="shared" si="44"/>
        <v>0</v>
      </c>
      <c r="L370" s="19" t="str">
        <f t="shared" si="45"/>
        <v>➖ لا تغيير</v>
      </c>
      <c r="M370" s="12">
        <f>IF(A370="","",IFERROR(INDEX(المدخلات!$M$4:$M$15,MATCH(A370,المدخلات!$L$4:$L$15,0)),""))</f>
        <v>13200</v>
      </c>
      <c r="N370" s="4">
        <f t="shared" si="46"/>
        <v>0</v>
      </c>
      <c r="O370" s="4">
        <f t="shared" si="47"/>
        <v>0</v>
      </c>
    </row>
    <row r="371" spans="1:15">
      <c r="A371" s="11">
        <v>202607</v>
      </c>
      <c r="B371" s="19" t="s">
        <v>93</v>
      </c>
      <c r="C371" s="19" t="s">
        <v>152</v>
      </c>
      <c r="D371" s="55">
        <v>0</v>
      </c>
      <c r="E371" s="56">
        <v>0</v>
      </c>
      <c r="F371" s="19" t="s">
        <v>63</v>
      </c>
      <c r="G371" s="4">
        <f t="shared" si="40"/>
        <v>0</v>
      </c>
      <c r="H371" s="11">
        <f t="shared" si="41"/>
        <v>0</v>
      </c>
      <c r="I371" s="55" t="str">
        <f t="shared" si="42"/>
        <v/>
      </c>
      <c r="J371" s="55">
        <f t="shared" si="43"/>
        <v>0</v>
      </c>
      <c r="K371" s="4">
        <f t="shared" si="44"/>
        <v>0</v>
      </c>
      <c r="L371" s="19" t="str">
        <f t="shared" si="45"/>
        <v>🆕 أول ظهور لهذه المادة</v>
      </c>
      <c r="M371" s="12">
        <f>IF(A371="","",IFERROR(INDEX(المدخلات!$M$4:$M$15,MATCH(A371,المدخلات!$L$4:$L$15,0)),""))</f>
        <v>13200</v>
      </c>
      <c r="N371" s="4">
        <f t="shared" si="46"/>
        <v>0</v>
      </c>
      <c r="O371" s="4">
        <f t="shared" si="47"/>
        <v>0</v>
      </c>
    </row>
    <row r="372" spans="1:15">
      <c r="A372" s="11">
        <v>202607</v>
      </c>
      <c r="B372" s="19" t="s">
        <v>93</v>
      </c>
      <c r="C372" s="19" t="s">
        <v>153</v>
      </c>
      <c r="D372" s="55">
        <v>17</v>
      </c>
      <c r="E372" s="56">
        <v>8</v>
      </c>
      <c r="F372" s="19" t="s">
        <v>63</v>
      </c>
      <c r="G372" s="4">
        <f t="shared" si="40"/>
        <v>136</v>
      </c>
      <c r="H372" s="11">
        <f t="shared" si="41"/>
        <v>202606</v>
      </c>
      <c r="I372" s="55">
        <f t="shared" si="42"/>
        <v>17</v>
      </c>
      <c r="J372" s="55">
        <f t="shared" si="43"/>
        <v>0</v>
      </c>
      <c r="K372" s="4">
        <f t="shared" si="44"/>
        <v>0</v>
      </c>
      <c r="L372" s="19" t="str">
        <f t="shared" si="45"/>
        <v>➖ لا تغيير</v>
      </c>
      <c r="M372" s="12">
        <f>IF(A372="","",IFERROR(INDEX(المدخلات!$M$4:$M$15,MATCH(A372,المدخلات!$L$4:$L$15,0)),""))</f>
        <v>13200</v>
      </c>
      <c r="N372" s="4">
        <f t="shared" si="46"/>
        <v>1795200</v>
      </c>
      <c r="O372" s="4">
        <f t="shared" si="47"/>
        <v>0</v>
      </c>
    </row>
    <row r="373" spans="1:15">
      <c r="A373" s="11">
        <v>202607</v>
      </c>
      <c r="B373" s="19" t="s">
        <v>93</v>
      </c>
      <c r="C373" s="19" t="s">
        <v>154</v>
      </c>
      <c r="D373" s="55">
        <v>0</v>
      </c>
      <c r="E373" s="56">
        <v>0.6</v>
      </c>
      <c r="F373" s="19" t="s">
        <v>63</v>
      </c>
      <c r="G373" s="4">
        <f t="shared" si="40"/>
        <v>0</v>
      </c>
      <c r="H373" s="11">
        <f t="shared" si="41"/>
        <v>202606</v>
      </c>
      <c r="I373" s="55">
        <f t="shared" si="42"/>
        <v>0</v>
      </c>
      <c r="J373" s="55">
        <f t="shared" si="43"/>
        <v>0</v>
      </c>
      <c r="K373" s="4">
        <f t="shared" si="44"/>
        <v>0</v>
      </c>
      <c r="L373" s="19" t="str">
        <f t="shared" si="45"/>
        <v>➖ لا تغيير</v>
      </c>
      <c r="M373" s="12">
        <f>IF(A373="","",IFERROR(INDEX(المدخلات!$M$4:$M$15,MATCH(A373,المدخلات!$L$4:$L$15,0)),""))</f>
        <v>13200</v>
      </c>
      <c r="N373" s="4">
        <f t="shared" si="46"/>
        <v>0</v>
      </c>
      <c r="O373" s="4">
        <f t="shared" si="47"/>
        <v>0</v>
      </c>
    </row>
    <row r="374" spans="1:15">
      <c r="A374" s="11">
        <v>202607</v>
      </c>
      <c r="B374" s="19" t="s">
        <v>93</v>
      </c>
      <c r="C374" s="19" t="s">
        <v>155</v>
      </c>
      <c r="D374" s="55">
        <v>1.36</v>
      </c>
      <c r="E374" s="56">
        <v>9.17</v>
      </c>
      <c r="F374" s="19" t="s">
        <v>63</v>
      </c>
      <c r="G374" s="4">
        <f t="shared" si="40"/>
        <v>12.471200000000001</v>
      </c>
      <c r="H374" s="11">
        <f t="shared" si="41"/>
        <v>202606</v>
      </c>
      <c r="I374" s="55">
        <f t="shared" si="42"/>
        <v>1.45</v>
      </c>
      <c r="J374" s="55">
        <f t="shared" si="43"/>
        <v>8.9999999999999858E-2</v>
      </c>
      <c r="K374" s="4">
        <f t="shared" si="44"/>
        <v>0.8252999999999987</v>
      </c>
      <c r="L374" s="19" t="str">
        <f t="shared" si="45"/>
        <v/>
      </c>
      <c r="M374" s="12">
        <f>IF(A374="","",IFERROR(INDEX(المدخلات!$M$4:$M$15,MATCH(A374,المدخلات!$L$4:$L$15,0)),""))</f>
        <v>13200</v>
      </c>
      <c r="N374" s="4">
        <f t="shared" si="46"/>
        <v>164619.84000000003</v>
      </c>
      <c r="O374" s="4">
        <f t="shared" si="47"/>
        <v>10893.959999999983</v>
      </c>
    </row>
    <row r="375" spans="1:15">
      <c r="A375" s="11">
        <v>202607</v>
      </c>
      <c r="B375" s="19" t="s">
        <v>93</v>
      </c>
      <c r="C375" s="19" t="s">
        <v>240</v>
      </c>
      <c r="D375" s="55">
        <v>0</v>
      </c>
      <c r="E375" s="56">
        <v>170000</v>
      </c>
      <c r="F375" s="19" t="s">
        <v>62</v>
      </c>
      <c r="G375" s="4">
        <f t="shared" si="40"/>
        <v>0</v>
      </c>
      <c r="H375" s="11">
        <f t="shared" si="41"/>
        <v>202606</v>
      </c>
      <c r="I375" s="55">
        <f t="shared" si="42"/>
        <v>0</v>
      </c>
      <c r="J375" s="55">
        <f t="shared" si="43"/>
        <v>0</v>
      </c>
      <c r="K375" s="4">
        <f t="shared" si="44"/>
        <v>0</v>
      </c>
      <c r="L375" s="19" t="str">
        <f t="shared" si="45"/>
        <v>➖ لا تغيير</v>
      </c>
      <c r="M375" s="12">
        <f>IF(A375="","",IFERROR(INDEX(المدخلات!$M$4:$M$15,MATCH(A375,المدخلات!$L$4:$L$15,0)),""))</f>
        <v>13200</v>
      </c>
      <c r="N375" s="4">
        <f t="shared" si="46"/>
        <v>0</v>
      </c>
      <c r="O375" s="4">
        <f t="shared" si="47"/>
        <v>0</v>
      </c>
    </row>
    <row r="376" spans="1:15">
      <c r="A376" s="11">
        <v>202607</v>
      </c>
      <c r="B376" s="19" t="s">
        <v>93</v>
      </c>
      <c r="C376" s="19" t="s">
        <v>156</v>
      </c>
      <c r="D376" s="55">
        <v>0</v>
      </c>
      <c r="E376" s="56">
        <v>423</v>
      </c>
      <c r="F376" s="19" t="s">
        <v>63</v>
      </c>
      <c r="G376" s="4">
        <f t="shared" si="40"/>
        <v>0</v>
      </c>
      <c r="H376" s="11">
        <f t="shared" si="41"/>
        <v>202606</v>
      </c>
      <c r="I376" s="55">
        <f t="shared" si="42"/>
        <v>0</v>
      </c>
      <c r="J376" s="55">
        <f t="shared" si="43"/>
        <v>0</v>
      </c>
      <c r="K376" s="4">
        <f t="shared" si="44"/>
        <v>0</v>
      </c>
      <c r="L376" s="19" t="str">
        <f t="shared" si="45"/>
        <v>➖ لا تغيير</v>
      </c>
      <c r="M376" s="12">
        <f>IF(A376="","",IFERROR(INDEX(المدخلات!$M$4:$M$15,MATCH(A376,المدخلات!$L$4:$L$15,0)),""))</f>
        <v>13200</v>
      </c>
      <c r="N376" s="4">
        <f t="shared" si="46"/>
        <v>0</v>
      </c>
      <c r="O376" s="4">
        <f t="shared" si="47"/>
        <v>0</v>
      </c>
    </row>
    <row r="377" spans="1:15">
      <c r="A377" s="11">
        <v>202607</v>
      </c>
      <c r="B377" s="19" t="s">
        <v>93</v>
      </c>
      <c r="C377" s="19" t="s">
        <v>157</v>
      </c>
      <c r="D377" s="55">
        <v>0</v>
      </c>
      <c r="E377" s="56">
        <v>448</v>
      </c>
      <c r="F377" s="19" t="s">
        <v>63</v>
      </c>
      <c r="G377" s="4">
        <f t="shared" si="40"/>
        <v>0</v>
      </c>
      <c r="H377" s="11">
        <f t="shared" si="41"/>
        <v>202606</v>
      </c>
      <c r="I377" s="55">
        <f t="shared" si="42"/>
        <v>0</v>
      </c>
      <c r="J377" s="55">
        <f t="shared" si="43"/>
        <v>0</v>
      </c>
      <c r="K377" s="4">
        <f t="shared" si="44"/>
        <v>0</v>
      </c>
      <c r="L377" s="19" t="str">
        <f t="shared" si="45"/>
        <v>➖ لا تغيير</v>
      </c>
      <c r="M377" s="12">
        <f>IF(A377="","",IFERROR(INDEX(المدخلات!$M$4:$M$15,MATCH(A377,المدخلات!$L$4:$L$15,0)),""))</f>
        <v>13200</v>
      </c>
      <c r="N377" s="4">
        <f t="shared" si="46"/>
        <v>0</v>
      </c>
      <c r="O377" s="4">
        <f t="shared" si="47"/>
        <v>0</v>
      </c>
    </row>
    <row r="378" spans="1:15">
      <c r="A378" s="11">
        <v>202607</v>
      </c>
      <c r="B378" s="19" t="s">
        <v>93</v>
      </c>
      <c r="C378" s="19" t="s">
        <v>158</v>
      </c>
      <c r="D378" s="55">
        <v>0</v>
      </c>
      <c r="E378" s="56">
        <v>448</v>
      </c>
      <c r="F378" s="19" t="s">
        <v>63</v>
      </c>
      <c r="G378" s="4">
        <f t="shared" si="40"/>
        <v>0</v>
      </c>
      <c r="H378" s="11">
        <f t="shared" si="41"/>
        <v>202606</v>
      </c>
      <c r="I378" s="55">
        <f t="shared" si="42"/>
        <v>0</v>
      </c>
      <c r="J378" s="55">
        <f t="shared" si="43"/>
        <v>0</v>
      </c>
      <c r="K378" s="4">
        <f t="shared" si="44"/>
        <v>0</v>
      </c>
      <c r="L378" s="19" t="str">
        <f t="shared" si="45"/>
        <v>➖ لا تغيير</v>
      </c>
      <c r="M378" s="12">
        <f>IF(A378="","",IFERROR(INDEX(المدخلات!$M$4:$M$15,MATCH(A378,المدخلات!$L$4:$L$15,0)),""))</f>
        <v>13200</v>
      </c>
      <c r="N378" s="4">
        <f t="shared" si="46"/>
        <v>0</v>
      </c>
      <c r="O378" s="4">
        <f t="shared" si="47"/>
        <v>0</v>
      </c>
    </row>
    <row r="379" spans="1:15">
      <c r="A379" s="11">
        <v>202607</v>
      </c>
      <c r="B379" s="19" t="s">
        <v>93</v>
      </c>
      <c r="C379" s="19" t="s">
        <v>159</v>
      </c>
      <c r="D379" s="55">
        <v>0</v>
      </c>
      <c r="E379" s="56">
        <v>448</v>
      </c>
      <c r="F379" s="19" t="s">
        <v>63</v>
      </c>
      <c r="G379" s="4">
        <f t="shared" si="40"/>
        <v>0</v>
      </c>
      <c r="H379" s="11">
        <f t="shared" si="41"/>
        <v>202606</v>
      </c>
      <c r="I379" s="55">
        <f t="shared" si="42"/>
        <v>0</v>
      </c>
      <c r="J379" s="55">
        <f t="shared" si="43"/>
        <v>0</v>
      </c>
      <c r="K379" s="4">
        <f t="shared" si="44"/>
        <v>0</v>
      </c>
      <c r="L379" s="19" t="str">
        <f t="shared" si="45"/>
        <v>➖ لا تغيير</v>
      </c>
      <c r="M379" s="12">
        <f>IF(A379="","",IFERROR(INDEX(المدخلات!$M$4:$M$15,MATCH(A379,المدخلات!$L$4:$L$15,0)),""))</f>
        <v>13200</v>
      </c>
      <c r="N379" s="4">
        <f t="shared" si="46"/>
        <v>0</v>
      </c>
      <c r="O379" s="4">
        <f t="shared" si="47"/>
        <v>0</v>
      </c>
    </row>
    <row r="380" spans="1:15">
      <c r="A380" s="11">
        <v>202607</v>
      </c>
      <c r="B380" s="19" t="s">
        <v>93</v>
      </c>
      <c r="C380" s="19" t="s">
        <v>241</v>
      </c>
      <c r="D380" s="55">
        <v>0</v>
      </c>
      <c r="E380" s="56">
        <v>0</v>
      </c>
      <c r="F380" s="19" t="s">
        <v>62</v>
      </c>
      <c r="G380" s="4">
        <f t="shared" si="40"/>
        <v>0</v>
      </c>
      <c r="H380" s="11">
        <f t="shared" si="41"/>
        <v>202606</v>
      </c>
      <c r="I380" s="55">
        <f t="shared" si="42"/>
        <v>0</v>
      </c>
      <c r="J380" s="55">
        <f t="shared" si="43"/>
        <v>0</v>
      </c>
      <c r="K380" s="4">
        <f t="shared" si="44"/>
        <v>0</v>
      </c>
      <c r="L380" s="19" t="str">
        <f t="shared" si="45"/>
        <v>➖ لا تغيير</v>
      </c>
      <c r="M380" s="12">
        <f>IF(A380="","",IFERROR(INDEX(المدخلات!$M$4:$M$15,MATCH(A380,المدخلات!$L$4:$L$15,0)),""))</f>
        <v>13200</v>
      </c>
      <c r="N380" s="4">
        <f t="shared" si="46"/>
        <v>0</v>
      </c>
      <c r="O380" s="4">
        <f t="shared" si="47"/>
        <v>0</v>
      </c>
    </row>
    <row r="381" spans="1:15">
      <c r="A381" s="11">
        <v>202607</v>
      </c>
      <c r="B381" s="19" t="s">
        <v>93</v>
      </c>
      <c r="C381" s="19" t="s">
        <v>332</v>
      </c>
      <c r="D381" s="55">
        <v>2196.5</v>
      </c>
      <c r="E381" s="56">
        <v>0</v>
      </c>
      <c r="F381" s="19" t="s">
        <v>62</v>
      </c>
      <c r="G381" s="4">
        <f t="shared" si="40"/>
        <v>0</v>
      </c>
      <c r="H381" s="11">
        <f t="shared" si="41"/>
        <v>202606</v>
      </c>
      <c r="I381" s="55">
        <f t="shared" si="42"/>
        <v>3521</v>
      </c>
      <c r="J381" s="55">
        <f t="shared" si="43"/>
        <v>1324.5</v>
      </c>
      <c r="K381" s="4">
        <f t="shared" si="44"/>
        <v>0</v>
      </c>
      <c r="L381" s="19" t="str">
        <f t="shared" si="45"/>
        <v/>
      </c>
      <c r="M381" s="12">
        <f>IF(A381="","",IFERROR(INDEX(المدخلات!$M$4:$M$15,MATCH(A381,المدخلات!$L$4:$L$15,0)),""))</f>
        <v>13200</v>
      </c>
      <c r="N381" s="4">
        <f t="shared" si="46"/>
        <v>0</v>
      </c>
      <c r="O381" s="4">
        <f t="shared" si="47"/>
        <v>0</v>
      </c>
    </row>
    <row r="382" spans="1:15">
      <c r="A382" s="11">
        <v>202607</v>
      </c>
      <c r="B382" s="19" t="s">
        <v>93</v>
      </c>
      <c r="C382" s="19" t="s">
        <v>333</v>
      </c>
      <c r="D382" s="55">
        <v>124</v>
      </c>
      <c r="E382" s="56">
        <v>0</v>
      </c>
      <c r="F382" s="19" t="s">
        <v>62</v>
      </c>
      <c r="G382" s="4">
        <f t="shared" si="40"/>
        <v>0</v>
      </c>
      <c r="H382" s="11">
        <f t="shared" si="41"/>
        <v>202606</v>
      </c>
      <c r="I382" s="55">
        <f t="shared" si="42"/>
        <v>138</v>
      </c>
      <c r="J382" s="55">
        <f t="shared" si="43"/>
        <v>14</v>
      </c>
      <c r="K382" s="4">
        <f t="shared" si="44"/>
        <v>0</v>
      </c>
      <c r="L382" s="19" t="str">
        <f t="shared" si="45"/>
        <v/>
      </c>
      <c r="M382" s="12">
        <f>IF(A382="","",IFERROR(INDEX(المدخلات!$M$4:$M$15,MATCH(A382,المدخلات!$L$4:$L$15,0)),""))</f>
        <v>13200</v>
      </c>
      <c r="N382" s="4">
        <f t="shared" si="46"/>
        <v>0</v>
      </c>
      <c r="O382" s="4">
        <f t="shared" si="47"/>
        <v>0</v>
      </c>
    </row>
    <row r="383" spans="1:15">
      <c r="A383" s="11">
        <v>202607</v>
      </c>
      <c r="B383" s="19" t="s">
        <v>93</v>
      </c>
      <c r="C383" s="19" t="s">
        <v>242</v>
      </c>
      <c r="D383" s="55">
        <v>0</v>
      </c>
      <c r="E383" s="56">
        <v>3000</v>
      </c>
      <c r="F383" s="19" t="s">
        <v>62</v>
      </c>
      <c r="G383" s="4">
        <f t="shared" si="40"/>
        <v>0</v>
      </c>
      <c r="H383" s="11">
        <f t="shared" si="41"/>
        <v>202606</v>
      </c>
      <c r="I383" s="55">
        <f t="shared" si="42"/>
        <v>0</v>
      </c>
      <c r="J383" s="55">
        <f t="shared" si="43"/>
        <v>0</v>
      </c>
      <c r="K383" s="4">
        <f t="shared" si="44"/>
        <v>0</v>
      </c>
      <c r="L383" s="19" t="str">
        <f t="shared" si="45"/>
        <v>➖ لا تغيير</v>
      </c>
      <c r="M383" s="12">
        <f>IF(A383="","",IFERROR(INDEX(المدخلات!$M$4:$M$15,MATCH(A383,المدخلات!$L$4:$L$15,0)),""))</f>
        <v>13200</v>
      </c>
      <c r="N383" s="4">
        <f t="shared" si="46"/>
        <v>0</v>
      </c>
      <c r="O383" s="4">
        <f t="shared" si="47"/>
        <v>0</v>
      </c>
    </row>
    <row r="384" spans="1:15">
      <c r="A384" s="11">
        <v>202607</v>
      </c>
      <c r="B384" s="19" t="s">
        <v>93</v>
      </c>
      <c r="C384" s="19" t="s">
        <v>160</v>
      </c>
      <c r="D384" s="55">
        <v>0</v>
      </c>
      <c r="E384" s="56">
        <v>618</v>
      </c>
      <c r="F384" s="19" t="s">
        <v>63</v>
      </c>
      <c r="G384" s="4">
        <f t="shared" si="40"/>
        <v>0</v>
      </c>
      <c r="H384" s="11">
        <f t="shared" si="41"/>
        <v>202606</v>
      </c>
      <c r="I384" s="55">
        <f t="shared" si="42"/>
        <v>0</v>
      </c>
      <c r="J384" s="55">
        <f t="shared" si="43"/>
        <v>0</v>
      </c>
      <c r="K384" s="4">
        <f t="shared" si="44"/>
        <v>0</v>
      </c>
      <c r="L384" s="19" t="str">
        <f t="shared" si="45"/>
        <v>➖ لا تغيير</v>
      </c>
      <c r="M384" s="12">
        <f>IF(A384="","",IFERROR(INDEX(المدخلات!$M$4:$M$15,MATCH(A384,المدخلات!$L$4:$L$15,0)),""))</f>
        <v>13200</v>
      </c>
      <c r="N384" s="4">
        <f t="shared" si="46"/>
        <v>0</v>
      </c>
      <c r="O384" s="4">
        <f t="shared" si="47"/>
        <v>0</v>
      </c>
    </row>
    <row r="385" spans="1:15">
      <c r="A385" s="11">
        <v>202607</v>
      </c>
      <c r="B385" s="19" t="s">
        <v>93</v>
      </c>
      <c r="C385" s="19" t="s">
        <v>334</v>
      </c>
      <c r="D385" s="55">
        <v>2.25</v>
      </c>
      <c r="E385" s="56">
        <v>302400</v>
      </c>
      <c r="F385" s="19" t="s">
        <v>62</v>
      </c>
      <c r="G385" s="4">
        <f t="shared" si="40"/>
        <v>680400</v>
      </c>
      <c r="H385" s="11">
        <f t="shared" si="41"/>
        <v>202606</v>
      </c>
      <c r="I385" s="55">
        <f t="shared" si="42"/>
        <v>1</v>
      </c>
      <c r="J385" s="55">
        <f t="shared" si="43"/>
        <v>0</v>
      </c>
      <c r="K385" s="4">
        <f t="shared" si="44"/>
        <v>0</v>
      </c>
      <c r="L385" s="19" t="str">
        <f t="shared" si="45"/>
        <v>ℹ️ زيادة كمية (شراء/تصحيح) - لا تُحتسب استهلاكاً</v>
      </c>
      <c r="M385" s="12">
        <f>IF(A385="","",IFERROR(INDEX(المدخلات!$M$4:$M$15,MATCH(A385,المدخلات!$L$4:$L$15,0)),""))</f>
        <v>13200</v>
      </c>
      <c r="N385" s="4">
        <f t="shared" si="46"/>
        <v>680400</v>
      </c>
      <c r="O385" s="4">
        <f t="shared" si="47"/>
        <v>0</v>
      </c>
    </row>
    <row r="386" spans="1:15">
      <c r="A386" s="11">
        <v>202607</v>
      </c>
      <c r="B386" s="19" t="s">
        <v>93</v>
      </c>
      <c r="C386" s="19" t="s">
        <v>243</v>
      </c>
      <c r="D386" s="55">
        <v>785</v>
      </c>
      <c r="E386" s="56">
        <v>7500</v>
      </c>
      <c r="F386" s="19" t="s">
        <v>62</v>
      </c>
      <c r="G386" s="4">
        <f t="shared" si="40"/>
        <v>5887500</v>
      </c>
      <c r="H386" s="11">
        <f t="shared" si="41"/>
        <v>202606</v>
      </c>
      <c r="I386" s="55">
        <f t="shared" si="42"/>
        <v>908</v>
      </c>
      <c r="J386" s="55">
        <f t="shared" si="43"/>
        <v>123</v>
      </c>
      <c r="K386" s="4">
        <f t="shared" si="44"/>
        <v>922500</v>
      </c>
      <c r="L386" s="19" t="str">
        <f t="shared" si="45"/>
        <v/>
      </c>
      <c r="M386" s="12">
        <f>IF(A386="","",IFERROR(INDEX(المدخلات!$M$4:$M$15,MATCH(A386,المدخلات!$L$4:$L$15,0)),""))</f>
        <v>13200</v>
      </c>
      <c r="N386" s="4">
        <f t="shared" si="46"/>
        <v>5887500</v>
      </c>
      <c r="O386" s="4">
        <f t="shared" si="47"/>
        <v>922500</v>
      </c>
    </row>
    <row r="387" spans="1:15">
      <c r="A387" s="11">
        <v>202607</v>
      </c>
      <c r="B387" s="19" t="s">
        <v>93</v>
      </c>
      <c r="C387" s="19" t="s">
        <v>161</v>
      </c>
      <c r="D387" s="55">
        <v>0</v>
      </c>
      <c r="E387" s="56">
        <v>0.55000000000000004</v>
      </c>
      <c r="F387" s="19" t="s">
        <v>63</v>
      </c>
      <c r="G387" s="4">
        <f t="shared" si="40"/>
        <v>0</v>
      </c>
      <c r="H387" s="11">
        <f t="shared" si="41"/>
        <v>202606</v>
      </c>
      <c r="I387" s="55">
        <f t="shared" si="42"/>
        <v>0</v>
      </c>
      <c r="J387" s="55">
        <f t="shared" si="43"/>
        <v>0</v>
      </c>
      <c r="K387" s="4">
        <f t="shared" si="44"/>
        <v>0</v>
      </c>
      <c r="L387" s="19" t="str">
        <f t="shared" si="45"/>
        <v>➖ لا تغيير</v>
      </c>
      <c r="M387" s="12">
        <f>IF(A387="","",IFERROR(INDEX(المدخلات!$M$4:$M$15,MATCH(A387,المدخلات!$L$4:$L$15,0)),""))</f>
        <v>13200</v>
      </c>
      <c r="N387" s="4">
        <f t="shared" si="46"/>
        <v>0</v>
      </c>
      <c r="O387" s="4">
        <f t="shared" si="47"/>
        <v>0</v>
      </c>
    </row>
    <row r="388" spans="1:15">
      <c r="A388" s="11">
        <v>202607</v>
      </c>
      <c r="B388" s="19" t="s">
        <v>93</v>
      </c>
      <c r="C388" s="19" t="s">
        <v>244</v>
      </c>
      <c r="D388" s="55">
        <v>7.9</v>
      </c>
      <c r="E388" s="56">
        <v>17000</v>
      </c>
      <c r="F388" s="19" t="s">
        <v>62</v>
      </c>
      <c r="G388" s="4">
        <f t="shared" si="40"/>
        <v>134300</v>
      </c>
      <c r="H388" s="11">
        <f t="shared" si="41"/>
        <v>202606</v>
      </c>
      <c r="I388" s="55">
        <f t="shared" si="42"/>
        <v>7.9</v>
      </c>
      <c r="J388" s="55">
        <f t="shared" si="43"/>
        <v>0</v>
      </c>
      <c r="K388" s="4">
        <f t="shared" si="44"/>
        <v>0</v>
      </c>
      <c r="L388" s="19" t="str">
        <f t="shared" si="45"/>
        <v>➖ لا تغيير</v>
      </c>
      <c r="M388" s="12">
        <f>IF(A388="","",IFERROR(INDEX(المدخلات!$M$4:$M$15,MATCH(A388,المدخلات!$L$4:$L$15,0)),""))</f>
        <v>13200</v>
      </c>
      <c r="N388" s="4">
        <f t="shared" si="46"/>
        <v>134300</v>
      </c>
      <c r="O388" s="4">
        <f t="shared" si="47"/>
        <v>0</v>
      </c>
    </row>
    <row r="389" spans="1:15">
      <c r="A389" s="11">
        <v>202607</v>
      </c>
      <c r="B389" s="19" t="s">
        <v>93</v>
      </c>
      <c r="C389" s="19" t="s">
        <v>245</v>
      </c>
      <c r="D389" s="55">
        <v>67.599999999999994</v>
      </c>
      <c r="E389" s="56">
        <v>35000</v>
      </c>
      <c r="F389" s="19" t="s">
        <v>62</v>
      </c>
      <c r="G389" s="4">
        <f t="shared" ref="G389:G452" si="48">IF(OR(D389="",E389=""),"",D389*E389)</f>
        <v>2366000</v>
      </c>
      <c r="H389" s="11">
        <f t="shared" ref="H389:H452" si="49">IF(C389="","",IFERROR(_xlfn.MAXIFS($A$5:$A$2003,$C$5:$C$2003,C389,$A$5:$A$2003,"&lt;"&amp;A389),0))</f>
        <v>202606</v>
      </c>
      <c r="I389" s="55">
        <f t="shared" ref="I389:I452" si="50">IF(OR(H389="",H389=0),"",IFERROR(SUMIFS($D$5:$D$2003,$C$5:$C$2003,C389,$A$5:$A$2003,H389),""))</f>
        <v>71.599999999999994</v>
      </c>
      <c r="J389" s="55">
        <f t="shared" ref="J389:J452" si="51">IF(C389="","",IF(I389="",0,MAX(I389-D389,0)))</f>
        <v>4</v>
      </c>
      <c r="K389" s="4">
        <f t="shared" ref="K389:K452" si="52">IF(J389="","",J389*E389)</f>
        <v>140000</v>
      </c>
      <c r="L389" s="19" t="str">
        <f t="shared" ref="L389:L452" si="53">IF(C389="","",IF(COUNTIFS($A$5:$A$2003,A389,$C$5:$C$2003,C389)&gt;1,"⚠️ مادة مكررة بنفس الشهر",IF(OR(H389="",H389=0),"🆕 أول ظهور لهذه المادة",IF(D389&gt;I389,"ℹ️ زيادة كمية (شراء/تصحيح) - لا تُحتسب استهلاكاً",IF(D389=I389,"➖ لا تغيير","")))))</f>
        <v/>
      </c>
      <c r="M389" s="12">
        <f>IF(A389="","",IFERROR(INDEX(المدخلات!$M$4:$M$15,MATCH(A389,المدخلات!$L$4:$L$15,0)),""))</f>
        <v>13200</v>
      </c>
      <c r="N389" s="4">
        <f t="shared" ref="N389:N452" si="54">IF(OR(G389="",F389=""),"",IF(F389="دولار أمريكي",IF(M389="","⚠️ لا يوجد سعر صرف",G389*M389),G389))</f>
        <v>2366000</v>
      </c>
      <c r="O389" s="4">
        <f t="shared" ref="O389:O452" si="55">IF(OR(K389="",F389=""),"",IF(F389="دولار أمريكي",IF(M389="","⚠️ لا يوجد سعر صرف",K389*M389),K389))</f>
        <v>140000</v>
      </c>
    </row>
    <row r="390" spans="1:15">
      <c r="A390" s="11">
        <v>202607</v>
      </c>
      <c r="B390" s="19" t="s">
        <v>93</v>
      </c>
      <c r="C390" s="19" t="s">
        <v>246</v>
      </c>
      <c r="D390" s="55">
        <v>0</v>
      </c>
      <c r="E390" s="56">
        <v>16000</v>
      </c>
      <c r="F390" s="19" t="s">
        <v>62</v>
      </c>
      <c r="G390" s="4">
        <f t="shared" si="48"/>
        <v>0</v>
      </c>
      <c r="H390" s="11">
        <f t="shared" si="49"/>
        <v>202606</v>
      </c>
      <c r="I390" s="55">
        <f t="shared" si="50"/>
        <v>0</v>
      </c>
      <c r="J390" s="55">
        <f t="shared" si="51"/>
        <v>0</v>
      </c>
      <c r="K390" s="4">
        <f t="shared" si="52"/>
        <v>0</v>
      </c>
      <c r="L390" s="19" t="str">
        <f t="shared" si="53"/>
        <v>➖ لا تغيير</v>
      </c>
      <c r="M390" s="12">
        <f>IF(A390="","",IFERROR(INDEX(المدخلات!$M$4:$M$15,MATCH(A390,المدخلات!$L$4:$L$15,0)),""))</f>
        <v>13200</v>
      </c>
      <c r="N390" s="4">
        <f t="shared" si="54"/>
        <v>0</v>
      </c>
      <c r="O390" s="4">
        <f t="shared" si="55"/>
        <v>0</v>
      </c>
    </row>
    <row r="391" spans="1:15">
      <c r="A391" s="11">
        <v>202607</v>
      </c>
      <c r="B391" s="19" t="s">
        <v>93</v>
      </c>
      <c r="C391" s="19" t="s">
        <v>247</v>
      </c>
      <c r="D391" s="55">
        <v>14</v>
      </c>
      <c r="E391" s="56">
        <v>9000</v>
      </c>
      <c r="F391" s="19" t="s">
        <v>62</v>
      </c>
      <c r="G391" s="4">
        <f t="shared" si="48"/>
        <v>126000</v>
      </c>
      <c r="H391" s="11">
        <f t="shared" si="49"/>
        <v>202606</v>
      </c>
      <c r="I391" s="55">
        <f t="shared" si="50"/>
        <v>14</v>
      </c>
      <c r="J391" s="55">
        <f t="shared" si="51"/>
        <v>0</v>
      </c>
      <c r="K391" s="4">
        <f t="shared" si="52"/>
        <v>0</v>
      </c>
      <c r="L391" s="19" t="str">
        <f t="shared" si="53"/>
        <v>➖ لا تغيير</v>
      </c>
      <c r="M391" s="12">
        <f>IF(A391="","",IFERROR(INDEX(المدخلات!$M$4:$M$15,MATCH(A391,المدخلات!$L$4:$L$15,0)),""))</f>
        <v>13200</v>
      </c>
      <c r="N391" s="4">
        <f t="shared" si="54"/>
        <v>126000</v>
      </c>
      <c r="O391" s="4">
        <f t="shared" si="55"/>
        <v>0</v>
      </c>
    </row>
    <row r="392" spans="1:15">
      <c r="A392" s="11">
        <v>202607</v>
      </c>
      <c r="B392" s="19" t="s">
        <v>93</v>
      </c>
      <c r="C392" s="19" t="s">
        <v>335</v>
      </c>
      <c r="D392" s="55">
        <v>4</v>
      </c>
      <c r="E392" s="56">
        <v>150000</v>
      </c>
      <c r="F392" s="19" t="s">
        <v>62</v>
      </c>
      <c r="G392" s="4">
        <f t="shared" si="48"/>
        <v>600000</v>
      </c>
      <c r="H392" s="11">
        <f t="shared" si="49"/>
        <v>202606</v>
      </c>
      <c r="I392" s="55">
        <f t="shared" si="50"/>
        <v>7</v>
      </c>
      <c r="J392" s="55">
        <f t="shared" si="51"/>
        <v>3</v>
      </c>
      <c r="K392" s="4">
        <f t="shared" si="52"/>
        <v>450000</v>
      </c>
      <c r="L392" s="19" t="str">
        <f t="shared" si="53"/>
        <v/>
      </c>
      <c r="M392" s="12">
        <f>IF(A392="","",IFERROR(INDEX(المدخلات!$M$4:$M$15,MATCH(A392,المدخلات!$L$4:$L$15,0)),""))</f>
        <v>13200</v>
      </c>
      <c r="N392" s="4">
        <f t="shared" si="54"/>
        <v>600000</v>
      </c>
      <c r="O392" s="4">
        <f t="shared" si="55"/>
        <v>450000</v>
      </c>
    </row>
    <row r="393" spans="1:15">
      <c r="A393" s="11">
        <v>202607</v>
      </c>
      <c r="B393" s="19" t="s">
        <v>93</v>
      </c>
      <c r="C393" s="19" t="s">
        <v>248</v>
      </c>
      <c r="D393" s="55">
        <v>0</v>
      </c>
      <c r="E393" s="56">
        <v>20000</v>
      </c>
      <c r="F393" s="19" t="s">
        <v>62</v>
      </c>
      <c r="G393" s="4">
        <f t="shared" si="48"/>
        <v>0</v>
      </c>
      <c r="H393" s="11">
        <f t="shared" si="49"/>
        <v>202606</v>
      </c>
      <c r="I393" s="55">
        <f t="shared" si="50"/>
        <v>0</v>
      </c>
      <c r="J393" s="55">
        <f t="shared" si="51"/>
        <v>0</v>
      </c>
      <c r="K393" s="4">
        <f t="shared" si="52"/>
        <v>0</v>
      </c>
      <c r="L393" s="19" t="str">
        <f t="shared" si="53"/>
        <v>➖ لا تغيير</v>
      </c>
      <c r="M393" s="12">
        <f>IF(A393="","",IFERROR(INDEX(المدخلات!$M$4:$M$15,MATCH(A393,المدخلات!$L$4:$L$15,0)),""))</f>
        <v>13200</v>
      </c>
      <c r="N393" s="4">
        <f t="shared" si="54"/>
        <v>0</v>
      </c>
      <c r="O393" s="4">
        <f t="shared" si="55"/>
        <v>0</v>
      </c>
    </row>
    <row r="394" spans="1:15">
      <c r="A394" s="11">
        <v>202607</v>
      </c>
      <c r="B394" s="19" t="s">
        <v>93</v>
      </c>
      <c r="C394" s="19" t="s">
        <v>249</v>
      </c>
      <c r="D394" s="55">
        <v>2335</v>
      </c>
      <c r="E394" s="56">
        <v>2500</v>
      </c>
      <c r="F394" s="19" t="s">
        <v>62</v>
      </c>
      <c r="G394" s="4">
        <f t="shared" si="48"/>
        <v>5837500</v>
      </c>
      <c r="H394" s="11">
        <f t="shared" si="49"/>
        <v>202606</v>
      </c>
      <c r="I394" s="55">
        <f t="shared" si="50"/>
        <v>2335</v>
      </c>
      <c r="J394" s="55">
        <f t="shared" si="51"/>
        <v>0</v>
      </c>
      <c r="K394" s="4">
        <f t="shared" si="52"/>
        <v>0</v>
      </c>
      <c r="L394" s="19" t="str">
        <f t="shared" si="53"/>
        <v>➖ لا تغيير</v>
      </c>
      <c r="M394" s="12">
        <f>IF(A394="","",IFERROR(INDEX(المدخلات!$M$4:$M$15,MATCH(A394,المدخلات!$L$4:$L$15,0)),""))</f>
        <v>13200</v>
      </c>
      <c r="N394" s="4">
        <f t="shared" si="54"/>
        <v>5837500</v>
      </c>
      <c r="O394" s="4">
        <f t="shared" si="55"/>
        <v>0</v>
      </c>
    </row>
    <row r="395" spans="1:15">
      <c r="A395" s="11">
        <v>202607</v>
      </c>
      <c r="B395" s="19" t="s">
        <v>93</v>
      </c>
      <c r="C395" s="19" t="s">
        <v>250</v>
      </c>
      <c r="D395" s="55">
        <v>29</v>
      </c>
      <c r="E395" s="56">
        <v>0</v>
      </c>
      <c r="F395" s="19" t="s">
        <v>62</v>
      </c>
      <c r="G395" s="4">
        <f t="shared" si="48"/>
        <v>0</v>
      </c>
      <c r="H395" s="11">
        <f t="shared" si="49"/>
        <v>202606</v>
      </c>
      <c r="I395" s="55">
        <f t="shared" si="50"/>
        <v>29</v>
      </c>
      <c r="J395" s="55">
        <f t="shared" si="51"/>
        <v>0</v>
      </c>
      <c r="K395" s="4">
        <f t="shared" si="52"/>
        <v>0</v>
      </c>
      <c r="L395" s="19" t="str">
        <f t="shared" si="53"/>
        <v>➖ لا تغيير</v>
      </c>
      <c r="M395" s="12">
        <f>IF(A395="","",IFERROR(INDEX(المدخلات!$M$4:$M$15,MATCH(A395,المدخلات!$L$4:$L$15,0)),""))</f>
        <v>13200</v>
      </c>
      <c r="N395" s="4">
        <f t="shared" si="54"/>
        <v>0</v>
      </c>
      <c r="O395" s="4">
        <f t="shared" si="55"/>
        <v>0</v>
      </c>
    </row>
    <row r="396" spans="1:15">
      <c r="A396" s="11">
        <v>202607</v>
      </c>
      <c r="B396" s="19" t="s">
        <v>93</v>
      </c>
      <c r="C396" s="19" t="s">
        <v>162</v>
      </c>
      <c r="D396" s="55">
        <v>0</v>
      </c>
      <c r="E396" s="56">
        <v>918</v>
      </c>
      <c r="F396" s="19" t="s">
        <v>63</v>
      </c>
      <c r="G396" s="4">
        <f t="shared" si="48"/>
        <v>0</v>
      </c>
      <c r="H396" s="11">
        <f t="shared" si="49"/>
        <v>202606</v>
      </c>
      <c r="I396" s="55">
        <f t="shared" si="50"/>
        <v>0</v>
      </c>
      <c r="J396" s="55">
        <f t="shared" si="51"/>
        <v>0</v>
      </c>
      <c r="K396" s="4">
        <f t="shared" si="52"/>
        <v>0</v>
      </c>
      <c r="L396" s="19" t="str">
        <f t="shared" si="53"/>
        <v>➖ لا تغيير</v>
      </c>
      <c r="M396" s="12">
        <f>IF(A396="","",IFERROR(INDEX(المدخلات!$M$4:$M$15,MATCH(A396,المدخلات!$L$4:$L$15,0)),""))</f>
        <v>13200</v>
      </c>
      <c r="N396" s="4">
        <f t="shared" si="54"/>
        <v>0</v>
      </c>
      <c r="O396" s="4">
        <f t="shared" si="55"/>
        <v>0</v>
      </c>
    </row>
    <row r="397" spans="1:15">
      <c r="A397" s="11">
        <v>202607</v>
      </c>
      <c r="B397" s="19" t="s">
        <v>93</v>
      </c>
      <c r="C397" s="19" t="s">
        <v>336</v>
      </c>
      <c r="D397" s="55">
        <v>38</v>
      </c>
      <c r="E397" s="56">
        <v>41500</v>
      </c>
      <c r="F397" s="19" t="s">
        <v>62</v>
      </c>
      <c r="G397" s="4">
        <f t="shared" si="48"/>
        <v>1577000</v>
      </c>
      <c r="H397" s="11">
        <f t="shared" si="49"/>
        <v>202606</v>
      </c>
      <c r="I397" s="55">
        <f t="shared" si="50"/>
        <v>34</v>
      </c>
      <c r="J397" s="55">
        <f t="shared" si="51"/>
        <v>0</v>
      </c>
      <c r="K397" s="4">
        <f t="shared" si="52"/>
        <v>0</v>
      </c>
      <c r="L397" s="19" t="str">
        <f t="shared" si="53"/>
        <v>ℹ️ زيادة كمية (شراء/تصحيح) - لا تُحتسب استهلاكاً</v>
      </c>
      <c r="M397" s="12">
        <f>IF(A397="","",IFERROR(INDEX(المدخلات!$M$4:$M$15,MATCH(A397,المدخلات!$L$4:$L$15,0)),""))</f>
        <v>13200</v>
      </c>
      <c r="N397" s="4">
        <f t="shared" si="54"/>
        <v>1577000</v>
      </c>
      <c r="O397" s="4">
        <f t="shared" si="55"/>
        <v>0</v>
      </c>
    </row>
    <row r="398" spans="1:15">
      <c r="A398" s="11">
        <v>202607</v>
      </c>
      <c r="B398" s="19" t="s">
        <v>93</v>
      </c>
      <c r="C398" s="19" t="s">
        <v>337</v>
      </c>
      <c r="D398" s="55">
        <v>104</v>
      </c>
      <c r="E398" s="56">
        <v>12800</v>
      </c>
      <c r="F398" s="19" t="s">
        <v>62</v>
      </c>
      <c r="G398" s="4">
        <f t="shared" si="48"/>
        <v>1331200</v>
      </c>
      <c r="H398" s="11">
        <f t="shared" si="49"/>
        <v>202606</v>
      </c>
      <c r="I398" s="55">
        <f t="shared" si="50"/>
        <v>245</v>
      </c>
      <c r="J398" s="55">
        <f t="shared" si="51"/>
        <v>141</v>
      </c>
      <c r="K398" s="4">
        <f t="shared" si="52"/>
        <v>1804800</v>
      </c>
      <c r="L398" s="19" t="str">
        <f t="shared" si="53"/>
        <v/>
      </c>
      <c r="M398" s="12">
        <f>IF(A398="","",IFERROR(INDEX(المدخلات!$M$4:$M$15,MATCH(A398,المدخلات!$L$4:$L$15,0)),""))</f>
        <v>13200</v>
      </c>
      <c r="N398" s="4">
        <f t="shared" si="54"/>
        <v>1331200</v>
      </c>
      <c r="O398" s="4">
        <f t="shared" si="55"/>
        <v>1804800</v>
      </c>
    </row>
    <row r="399" spans="1:15">
      <c r="A399" s="11">
        <v>202607</v>
      </c>
      <c r="B399" s="19" t="s">
        <v>93</v>
      </c>
      <c r="C399" s="19" t="s">
        <v>251</v>
      </c>
      <c r="D399" s="55">
        <v>0</v>
      </c>
      <c r="E399" s="56">
        <v>11000</v>
      </c>
      <c r="F399" s="19" t="s">
        <v>62</v>
      </c>
      <c r="G399" s="4">
        <f t="shared" si="48"/>
        <v>0</v>
      </c>
      <c r="H399" s="11">
        <f t="shared" si="49"/>
        <v>202606</v>
      </c>
      <c r="I399" s="55">
        <f t="shared" si="50"/>
        <v>0</v>
      </c>
      <c r="J399" s="55">
        <f t="shared" si="51"/>
        <v>0</v>
      </c>
      <c r="K399" s="4">
        <f t="shared" si="52"/>
        <v>0</v>
      </c>
      <c r="L399" s="19" t="str">
        <f t="shared" si="53"/>
        <v>➖ لا تغيير</v>
      </c>
      <c r="M399" s="12">
        <f>IF(A399="","",IFERROR(INDEX(المدخلات!$M$4:$M$15,MATCH(A399,المدخلات!$L$4:$L$15,0)),""))</f>
        <v>13200</v>
      </c>
      <c r="N399" s="4">
        <f t="shared" si="54"/>
        <v>0</v>
      </c>
      <c r="O399" s="4">
        <f t="shared" si="55"/>
        <v>0</v>
      </c>
    </row>
    <row r="400" spans="1:15" ht="25.5">
      <c r="A400" s="11">
        <v>202607</v>
      </c>
      <c r="B400" s="19" t="s">
        <v>93</v>
      </c>
      <c r="C400" s="19" t="s">
        <v>338</v>
      </c>
      <c r="D400" s="55">
        <v>4</v>
      </c>
      <c r="E400" s="56">
        <v>9000</v>
      </c>
      <c r="F400" s="19" t="s">
        <v>62</v>
      </c>
      <c r="G400" s="4">
        <f t="shared" si="48"/>
        <v>36000</v>
      </c>
      <c r="H400" s="11">
        <f t="shared" si="49"/>
        <v>202606</v>
      </c>
      <c r="I400" s="55">
        <f t="shared" si="50"/>
        <v>4</v>
      </c>
      <c r="J400" s="55">
        <f t="shared" si="51"/>
        <v>0</v>
      </c>
      <c r="K400" s="4">
        <f t="shared" si="52"/>
        <v>0</v>
      </c>
      <c r="L400" s="19" t="str">
        <f t="shared" si="53"/>
        <v>➖ لا تغيير</v>
      </c>
      <c r="M400" s="12">
        <f>IF(A400="","",IFERROR(INDEX(المدخلات!$M$4:$M$15,MATCH(A400,المدخلات!$L$4:$L$15,0)),""))</f>
        <v>13200</v>
      </c>
      <c r="N400" s="4">
        <f t="shared" si="54"/>
        <v>36000</v>
      </c>
      <c r="O400" s="4">
        <f t="shared" si="55"/>
        <v>0</v>
      </c>
    </row>
    <row r="401" spans="1:15">
      <c r="A401" s="11">
        <v>202607</v>
      </c>
      <c r="B401" s="19" t="s">
        <v>93</v>
      </c>
      <c r="C401" s="19" t="s">
        <v>163</v>
      </c>
      <c r="D401" s="55">
        <v>0</v>
      </c>
      <c r="E401" s="56">
        <v>191</v>
      </c>
      <c r="F401" s="19" t="s">
        <v>63</v>
      </c>
      <c r="G401" s="4">
        <f t="shared" si="48"/>
        <v>0</v>
      </c>
      <c r="H401" s="11">
        <f t="shared" si="49"/>
        <v>202606</v>
      </c>
      <c r="I401" s="55">
        <f t="shared" si="50"/>
        <v>0</v>
      </c>
      <c r="J401" s="55">
        <f t="shared" si="51"/>
        <v>0</v>
      </c>
      <c r="K401" s="4">
        <f t="shared" si="52"/>
        <v>0</v>
      </c>
      <c r="L401" s="19" t="str">
        <f t="shared" si="53"/>
        <v>➖ لا تغيير</v>
      </c>
      <c r="M401" s="12">
        <f>IF(A401="","",IFERROR(INDEX(المدخلات!$M$4:$M$15,MATCH(A401,المدخلات!$L$4:$L$15,0)),""))</f>
        <v>13200</v>
      </c>
      <c r="N401" s="4">
        <f t="shared" si="54"/>
        <v>0</v>
      </c>
      <c r="O401" s="4">
        <f t="shared" si="55"/>
        <v>0</v>
      </c>
    </row>
    <row r="402" spans="1:15">
      <c r="A402" s="11">
        <v>202607</v>
      </c>
      <c r="B402" s="19" t="s">
        <v>93</v>
      </c>
      <c r="C402" s="19" t="s">
        <v>164</v>
      </c>
      <c r="D402" s="55">
        <v>0</v>
      </c>
      <c r="E402" s="56">
        <v>294</v>
      </c>
      <c r="F402" s="19" t="s">
        <v>63</v>
      </c>
      <c r="G402" s="4">
        <f t="shared" si="48"/>
        <v>0</v>
      </c>
      <c r="H402" s="11">
        <f t="shared" si="49"/>
        <v>202606</v>
      </c>
      <c r="I402" s="55">
        <f t="shared" si="50"/>
        <v>0</v>
      </c>
      <c r="J402" s="55">
        <f t="shared" si="51"/>
        <v>0</v>
      </c>
      <c r="K402" s="4">
        <f t="shared" si="52"/>
        <v>0</v>
      </c>
      <c r="L402" s="19" t="str">
        <f t="shared" si="53"/>
        <v>➖ لا تغيير</v>
      </c>
      <c r="M402" s="12">
        <f>IF(A402="","",IFERROR(INDEX(المدخلات!$M$4:$M$15,MATCH(A402,المدخلات!$L$4:$L$15,0)),""))</f>
        <v>13200</v>
      </c>
      <c r="N402" s="4">
        <f t="shared" si="54"/>
        <v>0</v>
      </c>
      <c r="O402" s="4">
        <f t="shared" si="55"/>
        <v>0</v>
      </c>
    </row>
    <row r="403" spans="1:15">
      <c r="A403" s="11">
        <v>202607</v>
      </c>
      <c r="B403" s="19" t="s">
        <v>93</v>
      </c>
      <c r="C403" s="19" t="s">
        <v>165</v>
      </c>
      <c r="D403" s="55">
        <v>0</v>
      </c>
      <c r="E403" s="56">
        <v>248</v>
      </c>
      <c r="F403" s="19" t="s">
        <v>63</v>
      </c>
      <c r="G403" s="4">
        <f t="shared" si="48"/>
        <v>0</v>
      </c>
      <c r="H403" s="11">
        <f t="shared" si="49"/>
        <v>202606</v>
      </c>
      <c r="I403" s="55">
        <f t="shared" si="50"/>
        <v>0</v>
      </c>
      <c r="J403" s="55">
        <f t="shared" si="51"/>
        <v>0</v>
      </c>
      <c r="K403" s="4">
        <f t="shared" si="52"/>
        <v>0</v>
      </c>
      <c r="L403" s="19" t="str">
        <f t="shared" si="53"/>
        <v>➖ لا تغيير</v>
      </c>
      <c r="M403" s="12">
        <f>IF(A403="","",IFERROR(INDEX(المدخلات!$M$4:$M$15,MATCH(A403,المدخلات!$L$4:$L$15,0)),""))</f>
        <v>13200</v>
      </c>
      <c r="N403" s="4">
        <f t="shared" si="54"/>
        <v>0</v>
      </c>
      <c r="O403" s="4">
        <f t="shared" si="55"/>
        <v>0</v>
      </c>
    </row>
    <row r="404" spans="1:15">
      <c r="A404" s="11">
        <v>202607</v>
      </c>
      <c r="B404" s="19" t="s">
        <v>93</v>
      </c>
      <c r="C404" s="19" t="s">
        <v>166</v>
      </c>
      <c r="D404" s="55">
        <v>0</v>
      </c>
      <c r="E404" s="56">
        <v>669</v>
      </c>
      <c r="F404" s="19" t="s">
        <v>63</v>
      </c>
      <c r="G404" s="4">
        <f t="shared" si="48"/>
        <v>0</v>
      </c>
      <c r="H404" s="11">
        <f t="shared" si="49"/>
        <v>202606</v>
      </c>
      <c r="I404" s="55">
        <f t="shared" si="50"/>
        <v>0</v>
      </c>
      <c r="J404" s="55">
        <f t="shared" si="51"/>
        <v>0</v>
      </c>
      <c r="K404" s="4">
        <f t="shared" si="52"/>
        <v>0</v>
      </c>
      <c r="L404" s="19" t="str">
        <f t="shared" si="53"/>
        <v>➖ لا تغيير</v>
      </c>
      <c r="M404" s="12">
        <f>IF(A404="","",IFERROR(INDEX(المدخلات!$M$4:$M$15,MATCH(A404,المدخلات!$L$4:$L$15,0)),""))</f>
        <v>13200</v>
      </c>
      <c r="N404" s="4">
        <f t="shared" si="54"/>
        <v>0</v>
      </c>
      <c r="O404" s="4">
        <f t="shared" si="55"/>
        <v>0</v>
      </c>
    </row>
    <row r="405" spans="1:15">
      <c r="A405" s="11">
        <v>202607</v>
      </c>
      <c r="B405" s="19" t="s">
        <v>93</v>
      </c>
      <c r="C405" s="19" t="s">
        <v>167</v>
      </c>
      <c r="D405" s="55">
        <v>0</v>
      </c>
      <c r="E405" s="56">
        <v>191</v>
      </c>
      <c r="F405" s="19" t="s">
        <v>63</v>
      </c>
      <c r="G405" s="4">
        <f t="shared" si="48"/>
        <v>0</v>
      </c>
      <c r="H405" s="11">
        <f t="shared" si="49"/>
        <v>202606</v>
      </c>
      <c r="I405" s="55">
        <f t="shared" si="50"/>
        <v>0</v>
      </c>
      <c r="J405" s="55">
        <f t="shared" si="51"/>
        <v>0</v>
      </c>
      <c r="K405" s="4">
        <f t="shared" si="52"/>
        <v>0</v>
      </c>
      <c r="L405" s="19" t="str">
        <f t="shared" si="53"/>
        <v>➖ لا تغيير</v>
      </c>
      <c r="M405" s="12">
        <f>IF(A405="","",IFERROR(INDEX(المدخلات!$M$4:$M$15,MATCH(A405,المدخلات!$L$4:$L$15,0)),""))</f>
        <v>13200</v>
      </c>
      <c r="N405" s="4">
        <f t="shared" si="54"/>
        <v>0</v>
      </c>
      <c r="O405" s="4">
        <f t="shared" si="55"/>
        <v>0</v>
      </c>
    </row>
    <row r="406" spans="1:15">
      <c r="A406" s="11">
        <v>202607</v>
      </c>
      <c r="B406" s="19" t="s">
        <v>93</v>
      </c>
      <c r="C406" s="19" t="s">
        <v>168</v>
      </c>
      <c r="D406" s="55">
        <v>0</v>
      </c>
      <c r="E406" s="56">
        <v>294</v>
      </c>
      <c r="F406" s="19" t="s">
        <v>63</v>
      </c>
      <c r="G406" s="4">
        <f t="shared" si="48"/>
        <v>0</v>
      </c>
      <c r="H406" s="11">
        <f t="shared" si="49"/>
        <v>202606</v>
      </c>
      <c r="I406" s="55">
        <f t="shared" si="50"/>
        <v>0</v>
      </c>
      <c r="J406" s="55">
        <f t="shared" si="51"/>
        <v>0</v>
      </c>
      <c r="K406" s="4">
        <f t="shared" si="52"/>
        <v>0</v>
      </c>
      <c r="L406" s="19" t="str">
        <f t="shared" si="53"/>
        <v>➖ لا تغيير</v>
      </c>
      <c r="M406" s="12">
        <f>IF(A406="","",IFERROR(INDEX(المدخلات!$M$4:$M$15,MATCH(A406,المدخلات!$L$4:$L$15,0)),""))</f>
        <v>13200</v>
      </c>
      <c r="N406" s="4">
        <f t="shared" si="54"/>
        <v>0</v>
      </c>
      <c r="O406" s="4">
        <f t="shared" si="55"/>
        <v>0</v>
      </c>
    </row>
    <row r="407" spans="1:15">
      <c r="A407" s="11">
        <v>202607</v>
      </c>
      <c r="B407" s="19" t="s">
        <v>93</v>
      </c>
      <c r="C407" s="19" t="s">
        <v>169</v>
      </c>
      <c r="D407" s="55">
        <v>0</v>
      </c>
      <c r="E407" s="56">
        <v>294</v>
      </c>
      <c r="F407" s="19" t="s">
        <v>63</v>
      </c>
      <c r="G407" s="4">
        <f t="shared" si="48"/>
        <v>0</v>
      </c>
      <c r="H407" s="11">
        <f t="shared" si="49"/>
        <v>202606</v>
      </c>
      <c r="I407" s="55">
        <f t="shared" si="50"/>
        <v>0</v>
      </c>
      <c r="J407" s="55">
        <f t="shared" si="51"/>
        <v>0</v>
      </c>
      <c r="K407" s="4">
        <f t="shared" si="52"/>
        <v>0</v>
      </c>
      <c r="L407" s="19" t="str">
        <f t="shared" si="53"/>
        <v>➖ لا تغيير</v>
      </c>
      <c r="M407" s="12">
        <f>IF(A407="","",IFERROR(INDEX(المدخلات!$M$4:$M$15,MATCH(A407,المدخلات!$L$4:$L$15,0)),""))</f>
        <v>13200</v>
      </c>
      <c r="N407" s="4">
        <f t="shared" si="54"/>
        <v>0</v>
      </c>
      <c r="O407" s="4">
        <f t="shared" si="55"/>
        <v>0</v>
      </c>
    </row>
    <row r="408" spans="1:15">
      <c r="A408" s="11">
        <v>202607</v>
      </c>
      <c r="B408" s="19" t="s">
        <v>93</v>
      </c>
      <c r="C408" s="19" t="s">
        <v>170</v>
      </c>
      <c r="D408" s="55">
        <v>0</v>
      </c>
      <c r="E408" s="56">
        <v>669</v>
      </c>
      <c r="F408" s="19" t="s">
        <v>63</v>
      </c>
      <c r="G408" s="4">
        <f t="shared" si="48"/>
        <v>0</v>
      </c>
      <c r="H408" s="11">
        <f t="shared" si="49"/>
        <v>202606</v>
      </c>
      <c r="I408" s="55">
        <f t="shared" si="50"/>
        <v>0</v>
      </c>
      <c r="J408" s="55">
        <f t="shared" si="51"/>
        <v>0</v>
      </c>
      <c r="K408" s="4">
        <f t="shared" si="52"/>
        <v>0</v>
      </c>
      <c r="L408" s="19" t="str">
        <f t="shared" si="53"/>
        <v>➖ لا تغيير</v>
      </c>
      <c r="M408" s="12">
        <f>IF(A408="","",IFERROR(INDEX(المدخلات!$M$4:$M$15,MATCH(A408,المدخلات!$L$4:$L$15,0)),""))</f>
        <v>13200</v>
      </c>
      <c r="N408" s="4">
        <f t="shared" si="54"/>
        <v>0</v>
      </c>
      <c r="O408" s="4">
        <f t="shared" si="55"/>
        <v>0</v>
      </c>
    </row>
    <row r="409" spans="1:15">
      <c r="A409" s="11">
        <v>202607</v>
      </c>
      <c r="B409" s="19" t="s">
        <v>93</v>
      </c>
      <c r="C409" s="19" t="s">
        <v>171</v>
      </c>
      <c r="D409" s="55">
        <v>0</v>
      </c>
      <c r="E409" s="56">
        <v>191</v>
      </c>
      <c r="F409" s="19" t="s">
        <v>63</v>
      </c>
      <c r="G409" s="4">
        <f t="shared" si="48"/>
        <v>0</v>
      </c>
      <c r="H409" s="11">
        <f t="shared" si="49"/>
        <v>202606</v>
      </c>
      <c r="I409" s="55">
        <f t="shared" si="50"/>
        <v>0</v>
      </c>
      <c r="J409" s="55">
        <f t="shared" si="51"/>
        <v>0</v>
      </c>
      <c r="K409" s="4">
        <f t="shared" si="52"/>
        <v>0</v>
      </c>
      <c r="L409" s="19" t="str">
        <f t="shared" si="53"/>
        <v>➖ لا تغيير</v>
      </c>
      <c r="M409" s="12">
        <f>IF(A409="","",IFERROR(INDEX(المدخلات!$M$4:$M$15,MATCH(A409,المدخلات!$L$4:$L$15,0)),""))</f>
        <v>13200</v>
      </c>
      <c r="N409" s="4">
        <f t="shared" si="54"/>
        <v>0</v>
      </c>
      <c r="O409" s="4">
        <f t="shared" si="55"/>
        <v>0</v>
      </c>
    </row>
    <row r="410" spans="1:15">
      <c r="A410" s="11">
        <v>202607</v>
      </c>
      <c r="B410" s="19" t="s">
        <v>93</v>
      </c>
      <c r="C410" s="19" t="s">
        <v>172</v>
      </c>
      <c r="D410" s="55">
        <v>0</v>
      </c>
      <c r="E410" s="56">
        <v>294</v>
      </c>
      <c r="F410" s="19" t="s">
        <v>63</v>
      </c>
      <c r="G410" s="4">
        <f t="shared" si="48"/>
        <v>0</v>
      </c>
      <c r="H410" s="11">
        <f t="shared" si="49"/>
        <v>202606</v>
      </c>
      <c r="I410" s="55">
        <f t="shared" si="50"/>
        <v>0</v>
      </c>
      <c r="J410" s="55">
        <f t="shared" si="51"/>
        <v>0</v>
      </c>
      <c r="K410" s="4">
        <f t="shared" si="52"/>
        <v>0</v>
      </c>
      <c r="L410" s="19" t="str">
        <f t="shared" si="53"/>
        <v>➖ لا تغيير</v>
      </c>
      <c r="M410" s="12">
        <f>IF(A410="","",IFERROR(INDEX(المدخلات!$M$4:$M$15,MATCH(A410,المدخلات!$L$4:$L$15,0)),""))</f>
        <v>13200</v>
      </c>
      <c r="N410" s="4">
        <f t="shared" si="54"/>
        <v>0</v>
      </c>
      <c r="O410" s="4">
        <f t="shared" si="55"/>
        <v>0</v>
      </c>
    </row>
    <row r="411" spans="1:15">
      <c r="A411" s="11">
        <v>202607</v>
      </c>
      <c r="B411" s="19" t="s">
        <v>93</v>
      </c>
      <c r="C411" s="19" t="s">
        <v>173</v>
      </c>
      <c r="D411" s="55">
        <v>0</v>
      </c>
      <c r="E411" s="56">
        <v>248</v>
      </c>
      <c r="F411" s="19" t="s">
        <v>63</v>
      </c>
      <c r="G411" s="4">
        <f t="shared" si="48"/>
        <v>0</v>
      </c>
      <c r="H411" s="11">
        <f t="shared" si="49"/>
        <v>202606</v>
      </c>
      <c r="I411" s="55">
        <f t="shared" si="50"/>
        <v>0</v>
      </c>
      <c r="J411" s="55">
        <f t="shared" si="51"/>
        <v>0</v>
      </c>
      <c r="K411" s="4">
        <f t="shared" si="52"/>
        <v>0</v>
      </c>
      <c r="L411" s="19" t="str">
        <f t="shared" si="53"/>
        <v>➖ لا تغيير</v>
      </c>
      <c r="M411" s="12">
        <f>IF(A411="","",IFERROR(INDEX(المدخلات!$M$4:$M$15,MATCH(A411,المدخلات!$L$4:$L$15,0)),""))</f>
        <v>13200</v>
      </c>
      <c r="N411" s="4">
        <f t="shared" si="54"/>
        <v>0</v>
      </c>
      <c r="O411" s="4">
        <f t="shared" si="55"/>
        <v>0</v>
      </c>
    </row>
    <row r="412" spans="1:15">
      <c r="A412" s="11">
        <v>202607</v>
      </c>
      <c r="B412" s="19" t="s">
        <v>93</v>
      </c>
      <c r="C412" s="19" t="s">
        <v>174</v>
      </c>
      <c r="D412" s="55">
        <v>0</v>
      </c>
      <c r="E412" s="56">
        <v>669</v>
      </c>
      <c r="F412" s="19" t="s">
        <v>63</v>
      </c>
      <c r="G412" s="4">
        <f t="shared" si="48"/>
        <v>0</v>
      </c>
      <c r="H412" s="11">
        <f t="shared" si="49"/>
        <v>202606</v>
      </c>
      <c r="I412" s="55">
        <f t="shared" si="50"/>
        <v>0</v>
      </c>
      <c r="J412" s="55">
        <f t="shared" si="51"/>
        <v>0</v>
      </c>
      <c r="K412" s="4">
        <f t="shared" si="52"/>
        <v>0</v>
      </c>
      <c r="L412" s="19" t="str">
        <f t="shared" si="53"/>
        <v>➖ لا تغيير</v>
      </c>
      <c r="M412" s="12">
        <f>IF(A412="","",IFERROR(INDEX(المدخلات!$M$4:$M$15,MATCH(A412,المدخلات!$L$4:$L$15,0)),""))</f>
        <v>13200</v>
      </c>
      <c r="N412" s="4">
        <f t="shared" si="54"/>
        <v>0</v>
      </c>
      <c r="O412" s="4">
        <f t="shared" si="55"/>
        <v>0</v>
      </c>
    </row>
    <row r="413" spans="1:15">
      <c r="A413" s="11">
        <v>202607</v>
      </c>
      <c r="B413" s="19" t="s">
        <v>93</v>
      </c>
      <c r="C413" s="19" t="s">
        <v>339</v>
      </c>
      <c r="D413" s="55">
        <v>0</v>
      </c>
      <c r="E413" s="56">
        <v>2300</v>
      </c>
      <c r="F413" s="19" t="s">
        <v>62</v>
      </c>
      <c r="G413" s="4">
        <f t="shared" si="48"/>
        <v>0</v>
      </c>
      <c r="H413" s="11">
        <f t="shared" si="49"/>
        <v>202606</v>
      </c>
      <c r="I413" s="55">
        <f t="shared" si="50"/>
        <v>0</v>
      </c>
      <c r="J413" s="55">
        <f t="shared" si="51"/>
        <v>0</v>
      </c>
      <c r="K413" s="4">
        <f t="shared" si="52"/>
        <v>0</v>
      </c>
      <c r="L413" s="19" t="str">
        <f t="shared" si="53"/>
        <v>➖ لا تغيير</v>
      </c>
      <c r="M413" s="12">
        <f>IF(A413="","",IFERROR(INDEX(المدخلات!$M$4:$M$15,MATCH(A413,المدخلات!$L$4:$L$15,0)),""))</f>
        <v>13200</v>
      </c>
      <c r="N413" s="4">
        <f t="shared" si="54"/>
        <v>0</v>
      </c>
      <c r="O413" s="4">
        <f t="shared" si="55"/>
        <v>0</v>
      </c>
    </row>
    <row r="414" spans="1:15">
      <c r="A414" s="11">
        <v>202607</v>
      </c>
      <c r="B414" s="19" t="s">
        <v>93</v>
      </c>
      <c r="C414" s="19" t="s">
        <v>175</v>
      </c>
      <c r="D414" s="55">
        <v>0</v>
      </c>
      <c r="E414" s="56">
        <v>185</v>
      </c>
      <c r="F414" s="19" t="s">
        <v>63</v>
      </c>
      <c r="G414" s="4">
        <f t="shared" si="48"/>
        <v>0</v>
      </c>
      <c r="H414" s="11">
        <f t="shared" si="49"/>
        <v>202606</v>
      </c>
      <c r="I414" s="55">
        <f t="shared" si="50"/>
        <v>0</v>
      </c>
      <c r="J414" s="55">
        <f t="shared" si="51"/>
        <v>0</v>
      </c>
      <c r="K414" s="4">
        <f t="shared" si="52"/>
        <v>0</v>
      </c>
      <c r="L414" s="19" t="str">
        <f t="shared" si="53"/>
        <v>➖ لا تغيير</v>
      </c>
      <c r="M414" s="12">
        <f>IF(A414="","",IFERROR(INDEX(المدخلات!$M$4:$M$15,MATCH(A414,المدخلات!$L$4:$L$15,0)),""))</f>
        <v>13200</v>
      </c>
      <c r="N414" s="4">
        <f t="shared" si="54"/>
        <v>0</v>
      </c>
      <c r="O414" s="4">
        <f t="shared" si="55"/>
        <v>0</v>
      </c>
    </row>
    <row r="415" spans="1:15">
      <c r="A415" s="11">
        <v>202607</v>
      </c>
      <c r="B415" s="19" t="s">
        <v>93</v>
      </c>
      <c r="C415" s="19" t="s">
        <v>176</v>
      </c>
      <c r="D415" s="55">
        <v>0</v>
      </c>
      <c r="E415" s="56">
        <v>340</v>
      </c>
      <c r="F415" s="19" t="s">
        <v>63</v>
      </c>
      <c r="G415" s="4">
        <f t="shared" si="48"/>
        <v>0</v>
      </c>
      <c r="H415" s="11">
        <f t="shared" si="49"/>
        <v>202606</v>
      </c>
      <c r="I415" s="55">
        <f t="shared" si="50"/>
        <v>0</v>
      </c>
      <c r="J415" s="55">
        <f t="shared" si="51"/>
        <v>0</v>
      </c>
      <c r="K415" s="4">
        <f t="shared" si="52"/>
        <v>0</v>
      </c>
      <c r="L415" s="19" t="str">
        <f t="shared" si="53"/>
        <v>➖ لا تغيير</v>
      </c>
      <c r="M415" s="12">
        <f>IF(A415="","",IFERROR(INDEX(المدخلات!$M$4:$M$15,MATCH(A415,المدخلات!$L$4:$L$15,0)),""))</f>
        <v>13200</v>
      </c>
      <c r="N415" s="4">
        <f t="shared" si="54"/>
        <v>0</v>
      </c>
      <c r="O415" s="4">
        <f t="shared" si="55"/>
        <v>0</v>
      </c>
    </row>
    <row r="416" spans="1:15">
      <c r="A416" s="11">
        <v>202607</v>
      </c>
      <c r="B416" s="19" t="s">
        <v>93</v>
      </c>
      <c r="C416" s="19" t="s">
        <v>177</v>
      </c>
      <c r="D416" s="55">
        <v>0</v>
      </c>
      <c r="E416" s="56">
        <v>242</v>
      </c>
      <c r="F416" s="19" t="s">
        <v>63</v>
      </c>
      <c r="G416" s="4">
        <f t="shared" si="48"/>
        <v>0</v>
      </c>
      <c r="H416" s="11">
        <f t="shared" si="49"/>
        <v>202606</v>
      </c>
      <c r="I416" s="55">
        <f t="shared" si="50"/>
        <v>0</v>
      </c>
      <c r="J416" s="55">
        <f t="shared" si="51"/>
        <v>0</v>
      </c>
      <c r="K416" s="4">
        <f t="shared" si="52"/>
        <v>0</v>
      </c>
      <c r="L416" s="19" t="str">
        <f t="shared" si="53"/>
        <v>➖ لا تغيير</v>
      </c>
      <c r="M416" s="12">
        <f>IF(A416="","",IFERROR(INDEX(المدخلات!$M$4:$M$15,MATCH(A416,المدخلات!$L$4:$L$15,0)),""))</f>
        <v>13200</v>
      </c>
      <c r="N416" s="4">
        <f t="shared" si="54"/>
        <v>0</v>
      </c>
      <c r="O416" s="4">
        <f t="shared" si="55"/>
        <v>0</v>
      </c>
    </row>
    <row r="417" spans="1:15">
      <c r="A417" s="11">
        <v>202607</v>
      </c>
      <c r="B417" s="19" t="s">
        <v>93</v>
      </c>
      <c r="C417" s="19" t="s">
        <v>299</v>
      </c>
      <c r="D417" s="55">
        <v>0</v>
      </c>
      <c r="E417" s="56">
        <v>0</v>
      </c>
      <c r="F417" s="19" t="s">
        <v>63</v>
      </c>
      <c r="G417" s="4">
        <f t="shared" si="48"/>
        <v>0</v>
      </c>
      <c r="H417" s="11">
        <f t="shared" si="49"/>
        <v>202606</v>
      </c>
      <c r="I417" s="55">
        <f t="shared" si="50"/>
        <v>0</v>
      </c>
      <c r="J417" s="55">
        <f t="shared" si="51"/>
        <v>0</v>
      </c>
      <c r="K417" s="4">
        <f t="shared" si="52"/>
        <v>0</v>
      </c>
      <c r="L417" s="19" t="str">
        <f t="shared" si="53"/>
        <v>➖ لا تغيير</v>
      </c>
      <c r="M417" s="12">
        <f>IF(A417="","",IFERROR(INDEX(المدخلات!$M$4:$M$15,MATCH(A417,المدخلات!$L$4:$L$15,0)),""))</f>
        <v>13200</v>
      </c>
      <c r="N417" s="4">
        <f t="shared" si="54"/>
        <v>0</v>
      </c>
      <c r="O417" s="4">
        <f t="shared" si="55"/>
        <v>0</v>
      </c>
    </row>
    <row r="418" spans="1:15">
      <c r="A418" s="11">
        <v>202607</v>
      </c>
      <c r="B418" s="19" t="s">
        <v>93</v>
      </c>
      <c r="C418" s="19" t="s">
        <v>178</v>
      </c>
      <c r="D418" s="55">
        <v>0</v>
      </c>
      <c r="E418" s="56">
        <v>657</v>
      </c>
      <c r="F418" s="19" t="s">
        <v>63</v>
      </c>
      <c r="G418" s="4">
        <f t="shared" si="48"/>
        <v>0</v>
      </c>
      <c r="H418" s="11">
        <f t="shared" si="49"/>
        <v>202606</v>
      </c>
      <c r="I418" s="55">
        <f t="shared" si="50"/>
        <v>0</v>
      </c>
      <c r="J418" s="55">
        <f t="shared" si="51"/>
        <v>0</v>
      </c>
      <c r="K418" s="4">
        <f t="shared" si="52"/>
        <v>0</v>
      </c>
      <c r="L418" s="19" t="str">
        <f t="shared" si="53"/>
        <v>➖ لا تغيير</v>
      </c>
      <c r="M418" s="12">
        <f>IF(A418="","",IFERROR(INDEX(المدخلات!$M$4:$M$15,MATCH(A418,المدخلات!$L$4:$L$15,0)),""))</f>
        <v>13200</v>
      </c>
      <c r="N418" s="4">
        <f t="shared" si="54"/>
        <v>0</v>
      </c>
      <c r="O418" s="4">
        <f t="shared" si="55"/>
        <v>0</v>
      </c>
    </row>
    <row r="419" spans="1:15">
      <c r="A419" s="11">
        <v>202607</v>
      </c>
      <c r="B419" s="19" t="s">
        <v>93</v>
      </c>
      <c r="C419" s="19" t="s">
        <v>179</v>
      </c>
      <c r="D419" s="55">
        <v>0</v>
      </c>
      <c r="E419" s="56">
        <v>191</v>
      </c>
      <c r="F419" s="19" t="s">
        <v>63</v>
      </c>
      <c r="G419" s="4">
        <f t="shared" si="48"/>
        <v>0</v>
      </c>
      <c r="H419" s="11">
        <f t="shared" si="49"/>
        <v>202606</v>
      </c>
      <c r="I419" s="55">
        <f t="shared" si="50"/>
        <v>0</v>
      </c>
      <c r="J419" s="55">
        <f t="shared" si="51"/>
        <v>0</v>
      </c>
      <c r="K419" s="4">
        <f t="shared" si="52"/>
        <v>0</v>
      </c>
      <c r="L419" s="19" t="str">
        <f t="shared" si="53"/>
        <v>➖ لا تغيير</v>
      </c>
      <c r="M419" s="12">
        <f>IF(A419="","",IFERROR(INDEX(المدخلات!$M$4:$M$15,MATCH(A419,المدخلات!$L$4:$L$15,0)),""))</f>
        <v>13200</v>
      </c>
      <c r="N419" s="4">
        <f t="shared" si="54"/>
        <v>0</v>
      </c>
      <c r="O419" s="4">
        <f t="shared" si="55"/>
        <v>0</v>
      </c>
    </row>
    <row r="420" spans="1:15">
      <c r="A420" s="11">
        <v>202607</v>
      </c>
      <c r="B420" s="19" t="s">
        <v>93</v>
      </c>
      <c r="C420" s="19" t="s">
        <v>180</v>
      </c>
      <c r="D420" s="55">
        <v>0</v>
      </c>
      <c r="E420" s="56">
        <v>294</v>
      </c>
      <c r="F420" s="19" t="s">
        <v>63</v>
      </c>
      <c r="G420" s="4">
        <f t="shared" si="48"/>
        <v>0</v>
      </c>
      <c r="H420" s="11">
        <f t="shared" si="49"/>
        <v>202606</v>
      </c>
      <c r="I420" s="55">
        <f t="shared" si="50"/>
        <v>0</v>
      </c>
      <c r="J420" s="55">
        <f t="shared" si="51"/>
        <v>0</v>
      </c>
      <c r="K420" s="4">
        <f t="shared" si="52"/>
        <v>0</v>
      </c>
      <c r="L420" s="19" t="str">
        <f t="shared" si="53"/>
        <v>➖ لا تغيير</v>
      </c>
      <c r="M420" s="12">
        <f>IF(A420="","",IFERROR(INDEX(المدخلات!$M$4:$M$15,MATCH(A420,المدخلات!$L$4:$L$15,0)),""))</f>
        <v>13200</v>
      </c>
      <c r="N420" s="4">
        <f t="shared" si="54"/>
        <v>0</v>
      </c>
      <c r="O420" s="4">
        <f t="shared" si="55"/>
        <v>0</v>
      </c>
    </row>
    <row r="421" spans="1:15">
      <c r="A421" s="11">
        <v>202607</v>
      </c>
      <c r="B421" s="19" t="s">
        <v>93</v>
      </c>
      <c r="C421" s="19" t="s">
        <v>181</v>
      </c>
      <c r="D421" s="55">
        <v>0</v>
      </c>
      <c r="E421" s="56">
        <v>248</v>
      </c>
      <c r="F421" s="19" t="s">
        <v>63</v>
      </c>
      <c r="G421" s="4">
        <f t="shared" si="48"/>
        <v>0</v>
      </c>
      <c r="H421" s="11">
        <f t="shared" si="49"/>
        <v>202606</v>
      </c>
      <c r="I421" s="55">
        <f t="shared" si="50"/>
        <v>0</v>
      </c>
      <c r="J421" s="55">
        <f t="shared" si="51"/>
        <v>0</v>
      </c>
      <c r="K421" s="4">
        <f t="shared" si="52"/>
        <v>0</v>
      </c>
      <c r="L421" s="19" t="str">
        <f t="shared" si="53"/>
        <v>➖ لا تغيير</v>
      </c>
      <c r="M421" s="12">
        <f>IF(A421="","",IFERROR(INDEX(المدخلات!$M$4:$M$15,MATCH(A421,المدخلات!$L$4:$L$15,0)),""))</f>
        <v>13200</v>
      </c>
      <c r="N421" s="4">
        <f t="shared" si="54"/>
        <v>0</v>
      </c>
      <c r="O421" s="4">
        <f t="shared" si="55"/>
        <v>0</v>
      </c>
    </row>
    <row r="422" spans="1:15">
      <c r="A422" s="11">
        <v>202607</v>
      </c>
      <c r="B422" s="19" t="s">
        <v>93</v>
      </c>
      <c r="C422" s="19" t="s">
        <v>182</v>
      </c>
      <c r="D422" s="55">
        <v>0</v>
      </c>
      <c r="E422" s="56">
        <v>669</v>
      </c>
      <c r="F422" s="19" t="s">
        <v>63</v>
      </c>
      <c r="G422" s="4">
        <f t="shared" si="48"/>
        <v>0</v>
      </c>
      <c r="H422" s="11">
        <f t="shared" si="49"/>
        <v>202606</v>
      </c>
      <c r="I422" s="55">
        <f t="shared" si="50"/>
        <v>0</v>
      </c>
      <c r="J422" s="55">
        <f t="shared" si="51"/>
        <v>0</v>
      </c>
      <c r="K422" s="4">
        <f t="shared" si="52"/>
        <v>0</v>
      </c>
      <c r="L422" s="19" t="str">
        <f t="shared" si="53"/>
        <v>➖ لا تغيير</v>
      </c>
      <c r="M422" s="12">
        <f>IF(A422="","",IFERROR(INDEX(المدخلات!$M$4:$M$15,MATCH(A422,المدخلات!$L$4:$L$15,0)),""))</f>
        <v>13200</v>
      </c>
      <c r="N422" s="4">
        <f t="shared" si="54"/>
        <v>0</v>
      </c>
      <c r="O422" s="4">
        <f t="shared" si="55"/>
        <v>0</v>
      </c>
    </row>
    <row r="423" spans="1:15">
      <c r="A423" s="11">
        <v>202607</v>
      </c>
      <c r="B423" s="19" t="s">
        <v>93</v>
      </c>
      <c r="C423" s="19" t="s">
        <v>340</v>
      </c>
      <c r="D423" s="55">
        <v>6359.2</v>
      </c>
      <c r="E423" s="56">
        <v>0</v>
      </c>
      <c r="F423" s="19" t="s">
        <v>62</v>
      </c>
      <c r="G423" s="4">
        <f t="shared" si="48"/>
        <v>0</v>
      </c>
      <c r="H423" s="11">
        <f t="shared" si="49"/>
        <v>202606</v>
      </c>
      <c r="I423" s="55">
        <f t="shared" si="50"/>
        <v>4556.2</v>
      </c>
      <c r="J423" s="55">
        <f t="shared" si="51"/>
        <v>0</v>
      </c>
      <c r="K423" s="4">
        <f t="shared" si="52"/>
        <v>0</v>
      </c>
      <c r="L423" s="19" t="str">
        <f t="shared" si="53"/>
        <v>ℹ️ زيادة كمية (شراء/تصحيح) - لا تُحتسب استهلاكاً</v>
      </c>
      <c r="M423" s="12">
        <f>IF(A423="","",IFERROR(INDEX(المدخلات!$M$4:$M$15,MATCH(A423,المدخلات!$L$4:$L$15,0)),""))</f>
        <v>13200</v>
      </c>
      <c r="N423" s="4">
        <f t="shared" si="54"/>
        <v>0</v>
      </c>
      <c r="O423" s="4">
        <f t="shared" si="55"/>
        <v>0</v>
      </c>
    </row>
    <row r="424" spans="1:15">
      <c r="A424" s="11">
        <v>202607</v>
      </c>
      <c r="B424" s="19" t="s">
        <v>93</v>
      </c>
      <c r="C424" s="19" t="s">
        <v>341</v>
      </c>
      <c r="D424" s="55">
        <v>3756</v>
      </c>
      <c r="E424" s="56">
        <v>0</v>
      </c>
      <c r="F424" s="19" t="s">
        <v>62</v>
      </c>
      <c r="G424" s="4">
        <f t="shared" si="48"/>
        <v>0</v>
      </c>
      <c r="H424" s="11">
        <f t="shared" si="49"/>
        <v>202606</v>
      </c>
      <c r="I424" s="55">
        <f t="shared" si="50"/>
        <v>6424.07</v>
      </c>
      <c r="J424" s="55">
        <f t="shared" si="51"/>
        <v>2668.0699999999997</v>
      </c>
      <c r="K424" s="4">
        <f t="shared" si="52"/>
        <v>0</v>
      </c>
      <c r="L424" s="19" t="str">
        <f t="shared" si="53"/>
        <v/>
      </c>
      <c r="M424" s="12">
        <f>IF(A424="","",IFERROR(INDEX(المدخلات!$M$4:$M$15,MATCH(A424,المدخلات!$L$4:$L$15,0)),""))</f>
        <v>13200</v>
      </c>
      <c r="N424" s="4">
        <f t="shared" si="54"/>
        <v>0</v>
      </c>
      <c r="O424" s="4">
        <f t="shared" si="55"/>
        <v>0</v>
      </c>
    </row>
    <row r="425" spans="1:15">
      <c r="A425" s="11">
        <v>202607</v>
      </c>
      <c r="B425" s="19" t="s">
        <v>93</v>
      </c>
      <c r="C425" s="19" t="s">
        <v>342</v>
      </c>
      <c r="D425" s="55">
        <v>1934</v>
      </c>
      <c r="E425" s="56">
        <v>0</v>
      </c>
      <c r="F425" s="19" t="s">
        <v>62</v>
      </c>
      <c r="G425" s="4">
        <f t="shared" si="48"/>
        <v>0</v>
      </c>
      <c r="H425" s="11">
        <f t="shared" si="49"/>
        <v>202606</v>
      </c>
      <c r="I425" s="55">
        <f t="shared" si="50"/>
        <v>1942</v>
      </c>
      <c r="J425" s="55">
        <f t="shared" si="51"/>
        <v>8</v>
      </c>
      <c r="K425" s="4">
        <f t="shared" si="52"/>
        <v>0</v>
      </c>
      <c r="L425" s="19" t="str">
        <f t="shared" si="53"/>
        <v/>
      </c>
      <c r="M425" s="12">
        <f>IF(A425="","",IFERROR(INDEX(المدخلات!$M$4:$M$15,MATCH(A425,المدخلات!$L$4:$L$15,0)),""))</f>
        <v>13200</v>
      </c>
      <c r="N425" s="4">
        <f t="shared" si="54"/>
        <v>0</v>
      </c>
      <c r="O425" s="4">
        <f t="shared" si="55"/>
        <v>0</v>
      </c>
    </row>
    <row r="426" spans="1:15">
      <c r="A426" s="11">
        <v>202607</v>
      </c>
      <c r="B426" s="19" t="s">
        <v>93</v>
      </c>
      <c r="C426" s="19" t="s">
        <v>343</v>
      </c>
      <c r="D426" s="55">
        <v>1566</v>
      </c>
      <c r="E426" s="56">
        <v>0</v>
      </c>
      <c r="F426" s="19" t="s">
        <v>62</v>
      </c>
      <c r="G426" s="4">
        <f t="shared" si="48"/>
        <v>0</v>
      </c>
      <c r="H426" s="11">
        <f t="shared" si="49"/>
        <v>202606</v>
      </c>
      <c r="I426" s="55">
        <f t="shared" si="50"/>
        <v>2032</v>
      </c>
      <c r="J426" s="55">
        <f t="shared" si="51"/>
        <v>466</v>
      </c>
      <c r="K426" s="4">
        <f t="shared" si="52"/>
        <v>0</v>
      </c>
      <c r="L426" s="19" t="str">
        <f t="shared" si="53"/>
        <v/>
      </c>
      <c r="M426" s="12">
        <f>IF(A426="","",IFERROR(INDEX(المدخلات!$M$4:$M$15,MATCH(A426,المدخلات!$L$4:$L$15,0)),""))</f>
        <v>13200</v>
      </c>
      <c r="N426" s="4">
        <f t="shared" si="54"/>
        <v>0</v>
      </c>
      <c r="O426" s="4">
        <f t="shared" si="55"/>
        <v>0</v>
      </c>
    </row>
    <row r="427" spans="1:15">
      <c r="A427" s="11">
        <v>202607</v>
      </c>
      <c r="B427" s="19" t="s">
        <v>93</v>
      </c>
      <c r="C427" s="19" t="s">
        <v>344</v>
      </c>
      <c r="D427" s="55">
        <v>34</v>
      </c>
      <c r="E427" s="56">
        <v>0</v>
      </c>
      <c r="F427" s="19" t="s">
        <v>62</v>
      </c>
      <c r="G427" s="4">
        <f t="shared" si="48"/>
        <v>0</v>
      </c>
      <c r="H427" s="11">
        <f t="shared" si="49"/>
        <v>202606</v>
      </c>
      <c r="I427" s="55">
        <f t="shared" si="50"/>
        <v>18</v>
      </c>
      <c r="J427" s="55">
        <f t="shared" si="51"/>
        <v>0</v>
      </c>
      <c r="K427" s="4">
        <f t="shared" si="52"/>
        <v>0</v>
      </c>
      <c r="L427" s="19" t="str">
        <f t="shared" si="53"/>
        <v>ℹ️ زيادة كمية (شراء/تصحيح) - لا تُحتسب استهلاكاً</v>
      </c>
      <c r="M427" s="12">
        <f>IF(A427="","",IFERROR(INDEX(المدخلات!$M$4:$M$15,MATCH(A427,المدخلات!$L$4:$L$15,0)),""))</f>
        <v>13200</v>
      </c>
      <c r="N427" s="4">
        <f t="shared" si="54"/>
        <v>0</v>
      </c>
      <c r="O427" s="4">
        <f t="shared" si="55"/>
        <v>0</v>
      </c>
    </row>
    <row r="428" spans="1:15">
      <c r="A428" s="11">
        <v>202607</v>
      </c>
      <c r="B428" s="19" t="s">
        <v>93</v>
      </c>
      <c r="C428" s="19" t="s">
        <v>345</v>
      </c>
      <c r="D428" s="55">
        <v>65</v>
      </c>
      <c r="E428" s="56">
        <v>0</v>
      </c>
      <c r="F428" s="19" t="s">
        <v>62</v>
      </c>
      <c r="G428" s="4">
        <f t="shared" si="48"/>
        <v>0</v>
      </c>
      <c r="H428" s="11">
        <f t="shared" si="49"/>
        <v>202606</v>
      </c>
      <c r="I428" s="55">
        <f t="shared" si="50"/>
        <v>32</v>
      </c>
      <c r="J428" s="55">
        <f t="shared" si="51"/>
        <v>0</v>
      </c>
      <c r="K428" s="4">
        <f t="shared" si="52"/>
        <v>0</v>
      </c>
      <c r="L428" s="19" t="str">
        <f t="shared" si="53"/>
        <v>ℹ️ زيادة كمية (شراء/تصحيح) - لا تُحتسب استهلاكاً</v>
      </c>
      <c r="M428" s="12">
        <f>IF(A428="","",IFERROR(INDEX(المدخلات!$M$4:$M$15,MATCH(A428,المدخلات!$L$4:$L$15,0)),""))</f>
        <v>13200</v>
      </c>
      <c r="N428" s="4">
        <f t="shared" si="54"/>
        <v>0</v>
      </c>
      <c r="O428" s="4">
        <f t="shared" si="55"/>
        <v>0</v>
      </c>
    </row>
    <row r="429" spans="1:15">
      <c r="A429" s="11">
        <v>202607</v>
      </c>
      <c r="B429" s="19" t="s">
        <v>93</v>
      </c>
      <c r="C429" s="19" t="s">
        <v>346</v>
      </c>
      <c r="D429" s="55">
        <v>427</v>
      </c>
      <c r="E429" s="56">
        <v>0</v>
      </c>
      <c r="F429" s="19" t="s">
        <v>62</v>
      </c>
      <c r="G429" s="4">
        <f t="shared" si="48"/>
        <v>0</v>
      </c>
      <c r="H429" s="11">
        <f t="shared" si="49"/>
        <v>202606</v>
      </c>
      <c r="I429" s="55">
        <f t="shared" si="50"/>
        <v>404</v>
      </c>
      <c r="J429" s="55">
        <f t="shared" si="51"/>
        <v>0</v>
      </c>
      <c r="K429" s="4">
        <f t="shared" si="52"/>
        <v>0</v>
      </c>
      <c r="L429" s="19" t="str">
        <f t="shared" si="53"/>
        <v>ℹ️ زيادة كمية (شراء/تصحيح) - لا تُحتسب استهلاكاً</v>
      </c>
      <c r="M429" s="12">
        <f>IF(A429="","",IFERROR(INDEX(المدخلات!$M$4:$M$15,MATCH(A429,المدخلات!$L$4:$L$15,0)),""))</f>
        <v>13200</v>
      </c>
      <c r="N429" s="4">
        <f t="shared" si="54"/>
        <v>0</v>
      </c>
      <c r="O429" s="4">
        <f t="shared" si="55"/>
        <v>0</v>
      </c>
    </row>
    <row r="430" spans="1:15">
      <c r="A430" s="11">
        <v>202607</v>
      </c>
      <c r="B430" s="19" t="s">
        <v>93</v>
      </c>
      <c r="C430" s="19" t="s">
        <v>347</v>
      </c>
      <c r="D430" s="55">
        <v>41</v>
      </c>
      <c r="E430" s="56">
        <v>0</v>
      </c>
      <c r="F430" s="19" t="s">
        <v>62</v>
      </c>
      <c r="G430" s="4">
        <f t="shared" si="48"/>
        <v>0</v>
      </c>
      <c r="H430" s="11">
        <f t="shared" si="49"/>
        <v>202606</v>
      </c>
      <c r="I430" s="55">
        <f t="shared" si="50"/>
        <v>38</v>
      </c>
      <c r="J430" s="55">
        <f t="shared" si="51"/>
        <v>0</v>
      </c>
      <c r="K430" s="4">
        <f t="shared" si="52"/>
        <v>0</v>
      </c>
      <c r="L430" s="19" t="str">
        <f t="shared" si="53"/>
        <v>ℹ️ زيادة كمية (شراء/تصحيح) - لا تُحتسب استهلاكاً</v>
      </c>
      <c r="M430" s="12">
        <f>IF(A430="","",IFERROR(INDEX(المدخلات!$M$4:$M$15,MATCH(A430,المدخلات!$L$4:$L$15,0)),""))</f>
        <v>13200</v>
      </c>
      <c r="N430" s="4">
        <f t="shared" si="54"/>
        <v>0</v>
      </c>
      <c r="O430" s="4">
        <f t="shared" si="55"/>
        <v>0</v>
      </c>
    </row>
    <row r="431" spans="1:15">
      <c r="A431" s="11">
        <v>202607</v>
      </c>
      <c r="B431" s="19" t="s">
        <v>93</v>
      </c>
      <c r="C431" s="19" t="s">
        <v>348</v>
      </c>
      <c r="D431" s="55">
        <v>0</v>
      </c>
      <c r="E431" s="56">
        <v>119500</v>
      </c>
      <c r="F431" s="19" t="s">
        <v>62</v>
      </c>
      <c r="G431" s="4">
        <f t="shared" si="48"/>
        <v>0</v>
      </c>
      <c r="H431" s="11">
        <f t="shared" si="49"/>
        <v>202606</v>
      </c>
      <c r="I431" s="55">
        <f t="shared" si="50"/>
        <v>0</v>
      </c>
      <c r="J431" s="55">
        <f t="shared" si="51"/>
        <v>0</v>
      </c>
      <c r="K431" s="4">
        <f t="shared" si="52"/>
        <v>0</v>
      </c>
      <c r="L431" s="19" t="str">
        <f t="shared" si="53"/>
        <v>➖ لا تغيير</v>
      </c>
      <c r="M431" s="12">
        <f>IF(A431="","",IFERROR(INDEX(المدخلات!$M$4:$M$15,MATCH(A431,المدخلات!$L$4:$L$15,0)),""))</f>
        <v>13200</v>
      </c>
      <c r="N431" s="4">
        <f t="shared" si="54"/>
        <v>0</v>
      </c>
      <c r="O431" s="4">
        <f t="shared" si="55"/>
        <v>0</v>
      </c>
    </row>
    <row r="432" spans="1:15">
      <c r="A432" s="11">
        <v>202607</v>
      </c>
      <c r="B432" s="19" t="s">
        <v>93</v>
      </c>
      <c r="C432" s="19" t="s">
        <v>183</v>
      </c>
      <c r="D432" s="55">
        <v>11</v>
      </c>
      <c r="E432" s="56">
        <v>5</v>
      </c>
      <c r="F432" s="19" t="s">
        <v>63</v>
      </c>
      <c r="G432" s="4">
        <f t="shared" si="48"/>
        <v>55</v>
      </c>
      <c r="H432" s="11">
        <f t="shared" si="49"/>
        <v>202606</v>
      </c>
      <c r="I432" s="55">
        <f t="shared" si="50"/>
        <v>24</v>
      </c>
      <c r="J432" s="55">
        <f t="shared" si="51"/>
        <v>13</v>
      </c>
      <c r="K432" s="4">
        <f t="shared" si="52"/>
        <v>65</v>
      </c>
      <c r="L432" s="19" t="str">
        <f t="shared" si="53"/>
        <v/>
      </c>
      <c r="M432" s="12">
        <f>IF(A432="","",IFERROR(INDEX(المدخلات!$M$4:$M$15,MATCH(A432,المدخلات!$L$4:$L$15,0)),""))</f>
        <v>13200</v>
      </c>
      <c r="N432" s="4">
        <f t="shared" si="54"/>
        <v>726000</v>
      </c>
      <c r="O432" s="4">
        <f t="shared" si="55"/>
        <v>858000</v>
      </c>
    </row>
    <row r="433" spans="1:15">
      <c r="A433" s="11">
        <v>202607</v>
      </c>
      <c r="B433" s="19" t="s">
        <v>93</v>
      </c>
      <c r="C433" s="19" t="s">
        <v>184</v>
      </c>
      <c r="D433" s="55">
        <v>0</v>
      </c>
      <c r="E433" s="56">
        <v>100</v>
      </c>
      <c r="F433" s="19" t="s">
        <v>63</v>
      </c>
      <c r="G433" s="4">
        <f t="shared" si="48"/>
        <v>0</v>
      </c>
      <c r="H433" s="11">
        <f t="shared" si="49"/>
        <v>0</v>
      </c>
      <c r="I433" s="55" t="str">
        <f t="shared" si="50"/>
        <v/>
      </c>
      <c r="J433" s="55">
        <f t="shared" si="51"/>
        <v>0</v>
      </c>
      <c r="K433" s="4">
        <f t="shared" si="52"/>
        <v>0</v>
      </c>
      <c r="L433" s="19" t="str">
        <f t="shared" si="53"/>
        <v>🆕 أول ظهور لهذه المادة</v>
      </c>
      <c r="M433" s="12">
        <f>IF(A433="","",IFERROR(INDEX(المدخلات!$M$4:$M$15,MATCH(A433,المدخلات!$L$4:$L$15,0)),""))</f>
        <v>13200</v>
      </c>
      <c r="N433" s="4">
        <f t="shared" si="54"/>
        <v>0</v>
      </c>
      <c r="O433" s="4">
        <f t="shared" si="55"/>
        <v>0</v>
      </c>
    </row>
    <row r="434" spans="1:15">
      <c r="A434" s="11">
        <v>202607</v>
      </c>
      <c r="B434" s="19" t="s">
        <v>93</v>
      </c>
      <c r="C434" s="19" t="s">
        <v>185</v>
      </c>
      <c r="D434" s="55">
        <v>1731</v>
      </c>
      <c r="E434" s="56">
        <v>3</v>
      </c>
      <c r="F434" s="19" t="s">
        <v>63</v>
      </c>
      <c r="G434" s="4">
        <f t="shared" si="48"/>
        <v>5193</v>
      </c>
      <c r="H434" s="11">
        <f t="shared" si="49"/>
        <v>202606</v>
      </c>
      <c r="I434" s="55">
        <f t="shared" si="50"/>
        <v>576</v>
      </c>
      <c r="J434" s="55">
        <f t="shared" si="51"/>
        <v>0</v>
      </c>
      <c r="K434" s="4">
        <f t="shared" si="52"/>
        <v>0</v>
      </c>
      <c r="L434" s="19" t="str">
        <f t="shared" si="53"/>
        <v>ℹ️ زيادة كمية (شراء/تصحيح) - لا تُحتسب استهلاكاً</v>
      </c>
      <c r="M434" s="12">
        <f>IF(A434="","",IFERROR(INDEX(المدخلات!$M$4:$M$15,MATCH(A434,المدخلات!$L$4:$L$15,0)),""))</f>
        <v>13200</v>
      </c>
      <c r="N434" s="4">
        <f t="shared" si="54"/>
        <v>68547600</v>
      </c>
      <c r="O434" s="4">
        <f t="shared" si="55"/>
        <v>0</v>
      </c>
    </row>
    <row r="435" spans="1:15">
      <c r="A435" s="11">
        <v>202607</v>
      </c>
      <c r="B435" s="19" t="s">
        <v>93</v>
      </c>
      <c r="C435" s="19" t="s">
        <v>252</v>
      </c>
      <c r="D435" s="55">
        <v>0.2</v>
      </c>
      <c r="E435" s="56">
        <v>812500</v>
      </c>
      <c r="F435" s="19" t="s">
        <v>62</v>
      </c>
      <c r="G435" s="4">
        <f t="shared" si="48"/>
        <v>162500</v>
      </c>
      <c r="H435" s="11">
        <f t="shared" si="49"/>
        <v>202606</v>
      </c>
      <c r="I435" s="55">
        <f t="shared" si="50"/>
        <v>-31</v>
      </c>
      <c r="J435" s="55">
        <f t="shared" si="51"/>
        <v>0</v>
      </c>
      <c r="K435" s="4">
        <f t="shared" si="52"/>
        <v>0</v>
      </c>
      <c r="L435" s="19" t="str">
        <f t="shared" si="53"/>
        <v>ℹ️ زيادة كمية (شراء/تصحيح) - لا تُحتسب استهلاكاً</v>
      </c>
      <c r="M435" s="12">
        <f>IF(A435="","",IFERROR(INDEX(المدخلات!$M$4:$M$15,MATCH(A435,المدخلات!$L$4:$L$15,0)),""))</f>
        <v>13200</v>
      </c>
      <c r="N435" s="4">
        <f t="shared" si="54"/>
        <v>162500</v>
      </c>
      <c r="O435" s="4">
        <f t="shared" si="55"/>
        <v>0</v>
      </c>
    </row>
    <row r="436" spans="1:15">
      <c r="A436" s="11">
        <v>202607</v>
      </c>
      <c r="B436" s="19" t="s">
        <v>93</v>
      </c>
      <c r="C436" s="19" t="s">
        <v>349</v>
      </c>
      <c r="D436" s="55">
        <v>0</v>
      </c>
      <c r="E436" s="56">
        <v>24500</v>
      </c>
      <c r="F436" s="19" t="s">
        <v>62</v>
      </c>
      <c r="G436" s="4">
        <f t="shared" si="48"/>
        <v>0</v>
      </c>
      <c r="H436" s="11">
        <f t="shared" si="49"/>
        <v>202606</v>
      </c>
      <c r="I436" s="55">
        <f t="shared" si="50"/>
        <v>0</v>
      </c>
      <c r="J436" s="55">
        <f t="shared" si="51"/>
        <v>0</v>
      </c>
      <c r="K436" s="4">
        <f t="shared" si="52"/>
        <v>0</v>
      </c>
      <c r="L436" s="19" t="str">
        <f t="shared" si="53"/>
        <v>➖ لا تغيير</v>
      </c>
      <c r="M436" s="12">
        <f>IF(A436="","",IFERROR(INDEX(المدخلات!$M$4:$M$15,MATCH(A436,المدخلات!$L$4:$L$15,0)),""))</f>
        <v>13200</v>
      </c>
      <c r="N436" s="4">
        <f t="shared" si="54"/>
        <v>0</v>
      </c>
      <c r="O436" s="4">
        <f t="shared" si="55"/>
        <v>0</v>
      </c>
    </row>
    <row r="437" spans="1:15">
      <c r="A437" s="11">
        <v>202607</v>
      </c>
      <c r="B437" s="19" t="s">
        <v>93</v>
      </c>
      <c r="C437" s="19" t="s">
        <v>350</v>
      </c>
      <c r="D437" s="55">
        <v>0</v>
      </c>
      <c r="E437" s="56">
        <v>7000</v>
      </c>
      <c r="F437" s="19" t="s">
        <v>62</v>
      </c>
      <c r="G437" s="4">
        <f t="shared" si="48"/>
        <v>0</v>
      </c>
      <c r="H437" s="11">
        <f t="shared" si="49"/>
        <v>202606</v>
      </c>
      <c r="I437" s="55">
        <f t="shared" si="50"/>
        <v>0</v>
      </c>
      <c r="J437" s="55">
        <f t="shared" si="51"/>
        <v>0</v>
      </c>
      <c r="K437" s="4">
        <f t="shared" si="52"/>
        <v>0</v>
      </c>
      <c r="L437" s="19" t="str">
        <f t="shared" si="53"/>
        <v>➖ لا تغيير</v>
      </c>
      <c r="M437" s="12">
        <f>IF(A437="","",IFERROR(INDEX(المدخلات!$M$4:$M$15,MATCH(A437,المدخلات!$L$4:$L$15,0)),""))</f>
        <v>13200</v>
      </c>
      <c r="N437" s="4">
        <f t="shared" si="54"/>
        <v>0</v>
      </c>
      <c r="O437" s="4">
        <f t="shared" si="55"/>
        <v>0</v>
      </c>
    </row>
    <row r="438" spans="1:15">
      <c r="A438" s="11">
        <v>202607</v>
      </c>
      <c r="B438" s="19" t="s">
        <v>93</v>
      </c>
      <c r="C438" s="19" t="s">
        <v>186</v>
      </c>
      <c r="D438" s="55">
        <v>0</v>
      </c>
      <c r="E438" s="56">
        <v>0</v>
      </c>
      <c r="F438" s="19" t="s">
        <v>63</v>
      </c>
      <c r="G438" s="4">
        <f t="shared" si="48"/>
        <v>0</v>
      </c>
      <c r="H438" s="11">
        <f t="shared" si="49"/>
        <v>202606</v>
      </c>
      <c r="I438" s="55">
        <f t="shared" si="50"/>
        <v>0</v>
      </c>
      <c r="J438" s="55">
        <f t="shared" si="51"/>
        <v>0</v>
      </c>
      <c r="K438" s="4">
        <f t="shared" si="52"/>
        <v>0</v>
      </c>
      <c r="L438" s="19" t="str">
        <f t="shared" si="53"/>
        <v>➖ لا تغيير</v>
      </c>
      <c r="M438" s="12">
        <f>IF(A438="","",IFERROR(INDEX(المدخلات!$M$4:$M$15,MATCH(A438,المدخلات!$L$4:$L$15,0)),""))</f>
        <v>13200</v>
      </c>
      <c r="N438" s="4">
        <f t="shared" si="54"/>
        <v>0</v>
      </c>
      <c r="O438" s="4">
        <f t="shared" si="55"/>
        <v>0</v>
      </c>
    </row>
    <row r="439" spans="1:15">
      <c r="A439" s="11">
        <v>202607</v>
      </c>
      <c r="B439" s="19" t="s">
        <v>93</v>
      </c>
      <c r="C439" s="19" t="s">
        <v>187</v>
      </c>
      <c r="D439" s="55">
        <v>0</v>
      </c>
      <c r="E439" s="56">
        <v>0.66</v>
      </c>
      <c r="F439" s="19" t="s">
        <v>63</v>
      </c>
      <c r="G439" s="4">
        <f t="shared" si="48"/>
        <v>0</v>
      </c>
      <c r="H439" s="11">
        <f t="shared" si="49"/>
        <v>202606</v>
      </c>
      <c r="I439" s="55">
        <f t="shared" si="50"/>
        <v>34</v>
      </c>
      <c r="J439" s="55">
        <f t="shared" si="51"/>
        <v>34</v>
      </c>
      <c r="K439" s="4">
        <f t="shared" si="52"/>
        <v>22.44</v>
      </c>
      <c r="L439" s="19" t="str">
        <f t="shared" si="53"/>
        <v/>
      </c>
      <c r="M439" s="12">
        <f>IF(A439="","",IFERROR(INDEX(المدخلات!$M$4:$M$15,MATCH(A439,المدخلات!$L$4:$L$15,0)),""))</f>
        <v>13200</v>
      </c>
      <c r="N439" s="4">
        <f t="shared" si="54"/>
        <v>0</v>
      </c>
      <c r="O439" s="4">
        <f t="shared" si="55"/>
        <v>296208</v>
      </c>
    </row>
    <row r="440" spans="1:15">
      <c r="A440" s="11">
        <v>202607</v>
      </c>
      <c r="B440" s="19" t="s">
        <v>93</v>
      </c>
      <c r="C440" s="19" t="s">
        <v>253</v>
      </c>
      <c r="D440" s="55">
        <v>541</v>
      </c>
      <c r="E440" s="56">
        <v>9000</v>
      </c>
      <c r="F440" s="19" t="s">
        <v>62</v>
      </c>
      <c r="G440" s="4">
        <f t="shared" si="48"/>
        <v>4869000</v>
      </c>
      <c r="H440" s="11">
        <f t="shared" si="49"/>
        <v>202606</v>
      </c>
      <c r="I440" s="55">
        <f t="shared" si="50"/>
        <v>589</v>
      </c>
      <c r="J440" s="55">
        <f t="shared" si="51"/>
        <v>48</v>
      </c>
      <c r="K440" s="4">
        <f t="shared" si="52"/>
        <v>432000</v>
      </c>
      <c r="L440" s="19" t="str">
        <f t="shared" si="53"/>
        <v/>
      </c>
      <c r="M440" s="12">
        <f>IF(A440="","",IFERROR(INDEX(المدخلات!$M$4:$M$15,MATCH(A440,المدخلات!$L$4:$L$15,0)),""))</f>
        <v>13200</v>
      </c>
      <c r="N440" s="4">
        <f t="shared" si="54"/>
        <v>4869000</v>
      </c>
      <c r="O440" s="4">
        <f t="shared" si="55"/>
        <v>432000</v>
      </c>
    </row>
    <row r="441" spans="1:15">
      <c r="A441" s="11">
        <v>202607</v>
      </c>
      <c r="B441" s="19" t="s">
        <v>93</v>
      </c>
      <c r="C441" s="19" t="s">
        <v>254</v>
      </c>
      <c r="D441" s="55">
        <v>0</v>
      </c>
      <c r="E441" s="56">
        <v>144000</v>
      </c>
      <c r="F441" s="19" t="s">
        <v>62</v>
      </c>
      <c r="G441" s="4">
        <f t="shared" si="48"/>
        <v>0</v>
      </c>
      <c r="H441" s="11">
        <f t="shared" si="49"/>
        <v>202606</v>
      </c>
      <c r="I441" s="55">
        <f t="shared" si="50"/>
        <v>0</v>
      </c>
      <c r="J441" s="55">
        <f t="shared" si="51"/>
        <v>0</v>
      </c>
      <c r="K441" s="4">
        <f t="shared" si="52"/>
        <v>0</v>
      </c>
      <c r="L441" s="19" t="str">
        <f t="shared" si="53"/>
        <v>➖ لا تغيير</v>
      </c>
      <c r="M441" s="12">
        <f>IF(A441="","",IFERROR(INDEX(المدخلات!$M$4:$M$15,MATCH(A441,المدخلات!$L$4:$L$15,0)),""))</f>
        <v>13200</v>
      </c>
      <c r="N441" s="4">
        <f t="shared" si="54"/>
        <v>0</v>
      </c>
      <c r="O441" s="4">
        <f t="shared" si="55"/>
        <v>0</v>
      </c>
    </row>
    <row r="442" spans="1:15">
      <c r="A442" s="11">
        <v>202607</v>
      </c>
      <c r="B442" s="19" t="s">
        <v>93</v>
      </c>
      <c r="C442" s="19" t="s">
        <v>300</v>
      </c>
      <c r="D442" s="55">
        <v>0</v>
      </c>
      <c r="E442" s="56">
        <v>69</v>
      </c>
      <c r="F442" s="19" t="s">
        <v>63</v>
      </c>
      <c r="G442" s="4">
        <f t="shared" si="48"/>
        <v>0</v>
      </c>
      <c r="H442" s="11">
        <f t="shared" si="49"/>
        <v>202606</v>
      </c>
      <c r="I442" s="55">
        <f t="shared" si="50"/>
        <v>0</v>
      </c>
      <c r="J442" s="55">
        <f t="shared" si="51"/>
        <v>0</v>
      </c>
      <c r="K442" s="4">
        <f t="shared" si="52"/>
        <v>0</v>
      </c>
      <c r="L442" s="19" t="str">
        <f t="shared" si="53"/>
        <v>➖ لا تغيير</v>
      </c>
      <c r="M442" s="12">
        <f>IF(A442="","",IFERROR(INDEX(المدخلات!$M$4:$M$15,MATCH(A442,المدخلات!$L$4:$L$15,0)),""))</f>
        <v>13200</v>
      </c>
      <c r="N442" s="4">
        <f t="shared" si="54"/>
        <v>0</v>
      </c>
      <c r="O442" s="4">
        <f t="shared" si="55"/>
        <v>0</v>
      </c>
    </row>
    <row r="443" spans="1:15">
      <c r="A443" s="11">
        <v>202607</v>
      </c>
      <c r="B443" s="19" t="s">
        <v>93</v>
      </c>
      <c r="C443" s="19" t="s">
        <v>301</v>
      </c>
      <c r="D443" s="55">
        <v>0</v>
      </c>
      <c r="E443" s="56">
        <v>105.4</v>
      </c>
      <c r="F443" s="19" t="s">
        <v>63</v>
      </c>
      <c r="G443" s="4">
        <f t="shared" si="48"/>
        <v>0</v>
      </c>
      <c r="H443" s="11">
        <f t="shared" si="49"/>
        <v>202606</v>
      </c>
      <c r="I443" s="55">
        <f t="shared" si="50"/>
        <v>0</v>
      </c>
      <c r="J443" s="55">
        <f t="shared" si="51"/>
        <v>0</v>
      </c>
      <c r="K443" s="4">
        <f t="shared" si="52"/>
        <v>0</v>
      </c>
      <c r="L443" s="19" t="str">
        <f t="shared" si="53"/>
        <v>➖ لا تغيير</v>
      </c>
      <c r="M443" s="12">
        <f>IF(A443="","",IFERROR(INDEX(المدخلات!$M$4:$M$15,MATCH(A443,المدخلات!$L$4:$L$15,0)),""))</f>
        <v>13200</v>
      </c>
      <c r="N443" s="4">
        <f t="shared" si="54"/>
        <v>0</v>
      </c>
      <c r="O443" s="4">
        <f t="shared" si="55"/>
        <v>0</v>
      </c>
    </row>
    <row r="444" spans="1:15">
      <c r="A444" s="11">
        <v>202607</v>
      </c>
      <c r="B444" s="19" t="s">
        <v>93</v>
      </c>
      <c r="C444" s="19" t="s">
        <v>302</v>
      </c>
      <c r="D444" s="55">
        <v>0</v>
      </c>
      <c r="E444" s="56">
        <v>60.48</v>
      </c>
      <c r="F444" s="19" t="s">
        <v>63</v>
      </c>
      <c r="G444" s="4">
        <f t="shared" si="48"/>
        <v>0</v>
      </c>
      <c r="H444" s="11">
        <f t="shared" si="49"/>
        <v>202606</v>
      </c>
      <c r="I444" s="55">
        <f t="shared" si="50"/>
        <v>0</v>
      </c>
      <c r="J444" s="55">
        <f t="shared" si="51"/>
        <v>0</v>
      </c>
      <c r="K444" s="4">
        <f t="shared" si="52"/>
        <v>0</v>
      </c>
      <c r="L444" s="19" t="str">
        <f t="shared" si="53"/>
        <v>➖ لا تغيير</v>
      </c>
      <c r="M444" s="12">
        <f>IF(A444="","",IFERROR(INDEX(المدخلات!$M$4:$M$15,MATCH(A444,المدخلات!$L$4:$L$15,0)),""))</f>
        <v>13200</v>
      </c>
      <c r="N444" s="4">
        <f t="shared" si="54"/>
        <v>0</v>
      </c>
      <c r="O444" s="4">
        <f t="shared" si="55"/>
        <v>0</v>
      </c>
    </row>
    <row r="445" spans="1:15" ht="25.5" customHeight="1">
      <c r="A445" s="11">
        <v>202607</v>
      </c>
      <c r="B445" s="19" t="s">
        <v>93</v>
      </c>
      <c r="C445" s="19" t="s">
        <v>255</v>
      </c>
      <c r="D445" s="55">
        <v>0</v>
      </c>
      <c r="E445" s="56">
        <v>5500</v>
      </c>
      <c r="F445" s="19" t="s">
        <v>62</v>
      </c>
      <c r="G445" s="4">
        <f t="shared" si="48"/>
        <v>0</v>
      </c>
      <c r="H445" s="11">
        <f t="shared" si="49"/>
        <v>202606</v>
      </c>
      <c r="I445" s="55">
        <f t="shared" si="50"/>
        <v>0</v>
      </c>
      <c r="J445" s="55">
        <f t="shared" si="51"/>
        <v>0</v>
      </c>
      <c r="K445" s="4">
        <f t="shared" si="52"/>
        <v>0</v>
      </c>
      <c r="L445" s="19" t="str">
        <f t="shared" si="53"/>
        <v>➖ لا تغيير</v>
      </c>
      <c r="M445" s="12">
        <f>IF(A445="","",IFERROR(INDEX(المدخلات!$M$4:$M$15,MATCH(A445,المدخلات!$L$4:$L$15,0)),""))</f>
        <v>13200</v>
      </c>
      <c r="N445" s="4">
        <f t="shared" si="54"/>
        <v>0</v>
      </c>
      <c r="O445" s="4">
        <f t="shared" si="55"/>
        <v>0</v>
      </c>
    </row>
    <row r="446" spans="1:15">
      <c r="A446" s="11">
        <v>202607</v>
      </c>
      <c r="B446" s="19" t="s">
        <v>93</v>
      </c>
      <c r="C446" s="19" t="s">
        <v>351</v>
      </c>
      <c r="D446" s="55">
        <v>2</v>
      </c>
      <c r="E446" s="56">
        <v>28000</v>
      </c>
      <c r="F446" s="19" t="s">
        <v>62</v>
      </c>
      <c r="G446" s="4">
        <f t="shared" si="48"/>
        <v>56000</v>
      </c>
      <c r="H446" s="11">
        <f t="shared" si="49"/>
        <v>202606</v>
      </c>
      <c r="I446" s="55">
        <f t="shared" si="50"/>
        <v>0</v>
      </c>
      <c r="J446" s="55">
        <f t="shared" si="51"/>
        <v>0</v>
      </c>
      <c r="K446" s="4">
        <f t="shared" si="52"/>
        <v>0</v>
      </c>
      <c r="L446" s="19" t="str">
        <f t="shared" si="53"/>
        <v>ℹ️ زيادة كمية (شراء/تصحيح) - لا تُحتسب استهلاكاً</v>
      </c>
      <c r="M446" s="12">
        <f>IF(A446="","",IFERROR(INDEX(المدخلات!$M$4:$M$15,MATCH(A446,المدخلات!$L$4:$L$15,0)),""))</f>
        <v>13200</v>
      </c>
      <c r="N446" s="4">
        <f t="shared" si="54"/>
        <v>56000</v>
      </c>
      <c r="O446" s="4">
        <f t="shared" si="55"/>
        <v>0</v>
      </c>
    </row>
    <row r="447" spans="1:15">
      <c r="A447" s="11">
        <v>202607</v>
      </c>
      <c r="B447" s="19" t="s">
        <v>93</v>
      </c>
      <c r="C447" s="19" t="s">
        <v>256</v>
      </c>
      <c r="D447" s="55">
        <v>-2</v>
      </c>
      <c r="E447" s="56">
        <v>0</v>
      </c>
      <c r="F447" s="19" t="s">
        <v>62</v>
      </c>
      <c r="G447" s="4">
        <f t="shared" si="48"/>
        <v>0</v>
      </c>
      <c r="H447" s="11">
        <f t="shared" si="49"/>
        <v>202606</v>
      </c>
      <c r="I447" s="55">
        <f t="shared" si="50"/>
        <v>-2</v>
      </c>
      <c r="J447" s="55">
        <f t="shared" si="51"/>
        <v>0</v>
      </c>
      <c r="K447" s="4">
        <f t="shared" si="52"/>
        <v>0</v>
      </c>
      <c r="L447" s="19" t="str">
        <f t="shared" si="53"/>
        <v>➖ لا تغيير</v>
      </c>
      <c r="M447" s="12">
        <f>IF(A447="","",IFERROR(INDEX(المدخلات!$M$4:$M$15,MATCH(A447,المدخلات!$L$4:$L$15,0)),""))</f>
        <v>13200</v>
      </c>
      <c r="N447" s="4">
        <f t="shared" si="54"/>
        <v>0</v>
      </c>
      <c r="O447" s="4">
        <f t="shared" si="55"/>
        <v>0</v>
      </c>
    </row>
    <row r="448" spans="1:15">
      <c r="A448" s="11">
        <v>202607</v>
      </c>
      <c r="B448" s="19" t="s">
        <v>93</v>
      </c>
      <c r="C448" s="19" t="s">
        <v>188</v>
      </c>
      <c r="D448" s="55">
        <v>1</v>
      </c>
      <c r="E448" s="56">
        <v>0.875</v>
      </c>
      <c r="F448" s="19" t="s">
        <v>63</v>
      </c>
      <c r="G448" s="4">
        <f t="shared" si="48"/>
        <v>0.875</v>
      </c>
      <c r="H448" s="11">
        <f t="shared" si="49"/>
        <v>202606</v>
      </c>
      <c r="I448" s="55">
        <f t="shared" si="50"/>
        <v>1</v>
      </c>
      <c r="J448" s="55">
        <f t="shared" si="51"/>
        <v>0</v>
      </c>
      <c r="K448" s="4">
        <f t="shared" si="52"/>
        <v>0</v>
      </c>
      <c r="L448" s="19" t="str">
        <f t="shared" si="53"/>
        <v>➖ لا تغيير</v>
      </c>
      <c r="M448" s="12">
        <f>IF(A448="","",IFERROR(INDEX(المدخلات!$M$4:$M$15,MATCH(A448,المدخلات!$L$4:$L$15,0)),""))</f>
        <v>13200</v>
      </c>
      <c r="N448" s="4">
        <f t="shared" si="54"/>
        <v>11550</v>
      </c>
      <c r="O448" s="4">
        <f t="shared" si="55"/>
        <v>0</v>
      </c>
    </row>
    <row r="449" spans="1:15">
      <c r="A449" s="11">
        <v>202607</v>
      </c>
      <c r="B449" s="19" t="s">
        <v>93</v>
      </c>
      <c r="C449" s="19" t="s">
        <v>189</v>
      </c>
      <c r="D449" s="55">
        <v>0</v>
      </c>
      <c r="E449" s="56">
        <v>0.65</v>
      </c>
      <c r="F449" s="19" t="s">
        <v>63</v>
      </c>
      <c r="G449" s="4">
        <f t="shared" si="48"/>
        <v>0</v>
      </c>
      <c r="H449" s="11">
        <f t="shared" si="49"/>
        <v>202606</v>
      </c>
      <c r="I449" s="55">
        <f t="shared" si="50"/>
        <v>0</v>
      </c>
      <c r="J449" s="55">
        <f t="shared" si="51"/>
        <v>0</v>
      </c>
      <c r="K449" s="4">
        <f t="shared" si="52"/>
        <v>0</v>
      </c>
      <c r="L449" s="19" t="str">
        <f t="shared" si="53"/>
        <v>➖ لا تغيير</v>
      </c>
      <c r="M449" s="12">
        <f>IF(A449="","",IFERROR(INDEX(المدخلات!$M$4:$M$15,MATCH(A449,المدخلات!$L$4:$L$15,0)),""))</f>
        <v>13200</v>
      </c>
      <c r="N449" s="4">
        <f t="shared" si="54"/>
        <v>0</v>
      </c>
      <c r="O449" s="4">
        <f t="shared" si="55"/>
        <v>0</v>
      </c>
    </row>
    <row r="450" spans="1:15">
      <c r="A450" s="11">
        <v>202607</v>
      </c>
      <c r="B450" s="19" t="s">
        <v>93</v>
      </c>
      <c r="C450" s="19" t="s">
        <v>190</v>
      </c>
      <c r="D450" s="55">
        <v>1</v>
      </c>
      <c r="E450" s="56">
        <v>0.91600000000000004</v>
      </c>
      <c r="F450" s="19" t="s">
        <v>63</v>
      </c>
      <c r="G450" s="4">
        <f t="shared" si="48"/>
        <v>0.91600000000000004</v>
      </c>
      <c r="H450" s="11">
        <f t="shared" si="49"/>
        <v>202606</v>
      </c>
      <c r="I450" s="55">
        <f t="shared" si="50"/>
        <v>1</v>
      </c>
      <c r="J450" s="55">
        <f t="shared" si="51"/>
        <v>0</v>
      </c>
      <c r="K450" s="4">
        <f t="shared" si="52"/>
        <v>0</v>
      </c>
      <c r="L450" s="19" t="str">
        <f t="shared" si="53"/>
        <v>➖ لا تغيير</v>
      </c>
      <c r="M450" s="12">
        <f>IF(A450="","",IFERROR(INDEX(المدخلات!$M$4:$M$15,MATCH(A450,المدخلات!$L$4:$L$15,0)),""))</f>
        <v>13200</v>
      </c>
      <c r="N450" s="4">
        <f t="shared" si="54"/>
        <v>12091.2</v>
      </c>
      <c r="O450" s="4">
        <f t="shared" si="55"/>
        <v>0</v>
      </c>
    </row>
    <row r="451" spans="1:15">
      <c r="A451" s="11">
        <v>202607</v>
      </c>
      <c r="B451" s="19" t="s">
        <v>93</v>
      </c>
      <c r="C451" s="19" t="s">
        <v>191</v>
      </c>
      <c r="D451" s="55">
        <v>0.83</v>
      </c>
      <c r="E451" s="56">
        <v>300</v>
      </c>
      <c r="F451" s="19" t="s">
        <v>63</v>
      </c>
      <c r="G451" s="4">
        <f t="shared" si="48"/>
        <v>249</v>
      </c>
      <c r="H451" s="11">
        <f t="shared" si="49"/>
        <v>202606</v>
      </c>
      <c r="I451" s="55">
        <f t="shared" si="50"/>
        <v>0.83</v>
      </c>
      <c r="J451" s="55">
        <f t="shared" si="51"/>
        <v>0</v>
      </c>
      <c r="K451" s="4">
        <f t="shared" si="52"/>
        <v>0</v>
      </c>
      <c r="L451" s="19" t="str">
        <f t="shared" si="53"/>
        <v>➖ لا تغيير</v>
      </c>
      <c r="M451" s="12">
        <f>IF(A451="","",IFERROR(INDEX(المدخلات!$M$4:$M$15,MATCH(A451,المدخلات!$L$4:$L$15,0)),""))</f>
        <v>13200</v>
      </c>
      <c r="N451" s="4">
        <f t="shared" si="54"/>
        <v>3286800</v>
      </c>
      <c r="O451" s="4">
        <f t="shared" si="55"/>
        <v>0</v>
      </c>
    </row>
    <row r="452" spans="1:15">
      <c r="A452" s="11">
        <v>202607</v>
      </c>
      <c r="B452" s="19" t="s">
        <v>93</v>
      </c>
      <c r="C452" s="19" t="s">
        <v>192</v>
      </c>
      <c r="D452" s="55">
        <v>0</v>
      </c>
      <c r="E452" s="56">
        <v>0.5</v>
      </c>
      <c r="F452" s="19" t="s">
        <v>63</v>
      </c>
      <c r="G452" s="4">
        <f t="shared" si="48"/>
        <v>0</v>
      </c>
      <c r="H452" s="11">
        <f t="shared" si="49"/>
        <v>202606</v>
      </c>
      <c r="I452" s="55">
        <f t="shared" si="50"/>
        <v>0</v>
      </c>
      <c r="J452" s="55">
        <f t="shared" si="51"/>
        <v>0</v>
      </c>
      <c r="K452" s="4">
        <f t="shared" si="52"/>
        <v>0</v>
      </c>
      <c r="L452" s="19" t="str">
        <f t="shared" si="53"/>
        <v>➖ لا تغيير</v>
      </c>
      <c r="M452" s="12">
        <f>IF(A452="","",IFERROR(INDEX(المدخلات!$M$4:$M$15,MATCH(A452,المدخلات!$L$4:$L$15,0)),""))</f>
        <v>13200</v>
      </c>
      <c r="N452" s="4">
        <f t="shared" si="54"/>
        <v>0</v>
      </c>
      <c r="O452" s="4">
        <f t="shared" si="55"/>
        <v>0</v>
      </c>
    </row>
    <row r="453" spans="1:15">
      <c r="A453" s="11">
        <v>202607</v>
      </c>
      <c r="B453" s="19" t="s">
        <v>93</v>
      </c>
      <c r="C453" s="19" t="s">
        <v>352</v>
      </c>
      <c r="D453" s="55">
        <v>70.8</v>
      </c>
      <c r="E453" s="56">
        <v>15000</v>
      </c>
      <c r="F453" s="19" t="s">
        <v>62</v>
      </c>
      <c r="G453" s="4">
        <f t="shared" ref="G453:G516" si="56">IF(OR(D453="",E453=""),"",D453*E453)</f>
        <v>1062000</v>
      </c>
      <c r="H453" s="11">
        <f t="shared" ref="H453:H516" si="57">IF(C453="","",IFERROR(_xlfn.MAXIFS($A$5:$A$2003,$C$5:$C$2003,C453,$A$5:$A$2003,"&lt;"&amp;A453),0))</f>
        <v>202606</v>
      </c>
      <c r="I453" s="55">
        <f t="shared" ref="I453:I516" si="58">IF(OR(H453="",H453=0),"",IFERROR(SUMIFS($D$5:$D$2003,$C$5:$C$2003,C453,$A$5:$A$2003,H453),""))</f>
        <v>0</v>
      </c>
      <c r="J453" s="55">
        <f t="shared" ref="J453:J516" si="59">IF(C453="","",IF(I453="",0,MAX(I453-D453,0)))</f>
        <v>0</v>
      </c>
      <c r="K453" s="4">
        <f t="shared" ref="K453:K516" si="60">IF(J453="","",J453*E453)</f>
        <v>0</v>
      </c>
      <c r="L453" s="19" t="str">
        <f t="shared" ref="L453:L516" si="61">IF(C453="","",IF(COUNTIFS($A$5:$A$2003,A453,$C$5:$C$2003,C453)&gt;1,"⚠️ مادة مكررة بنفس الشهر",IF(OR(H453="",H453=0),"🆕 أول ظهور لهذه المادة",IF(D453&gt;I453,"ℹ️ زيادة كمية (شراء/تصحيح) - لا تُحتسب استهلاكاً",IF(D453=I453,"➖ لا تغيير","")))))</f>
        <v>ℹ️ زيادة كمية (شراء/تصحيح) - لا تُحتسب استهلاكاً</v>
      </c>
      <c r="M453" s="12">
        <f>IF(A453="","",IFERROR(INDEX(المدخلات!$M$4:$M$15,MATCH(A453,المدخلات!$L$4:$L$15,0)),""))</f>
        <v>13200</v>
      </c>
      <c r="N453" s="4">
        <f t="shared" ref="N453:N516" si="62">IF(OR(G453="",F453=""),"",IF(F453="دولار أمريكي",IF(M453="","⚠️ لا يوجد سعر صرف",G453*M453),G453))</f>
        <v>1062000</v>
      </c>
      <c r="O453" s="4">
        <f t="shared" ref="O453:O516" si="63">IF(OR(K453="",F453=""),"",IF(F453="دولار أمريكي",IF(M453="","⚠️ لا يوجد سعر صرف",K453*M453),K453))</f>
        <v>0</v>
      </c>
    </row>
    <row r="454" spans="1:15">
      <c r="A454" s="11">
        <v>202607</v>
      </c>
      <c r="B454" s="19" t="s">
        <v>93</v>
      </c>
      <c r="C454" s="19" t="s">
        <v>193</v>
      </c>
      <c r="D454" s="55">
        <v>1393</v>
      </c>
      <c r="E454" s="56">
        <v>2.5</v>
      </c>
      <c r="F454" s="19" t="s">
        <v>63</v>
      </c>
      <c r="G454" s="4">
        <f t="shared" si="56"/>
        <v>3482.5</v>
      </c>
      <c r="H454" s="11">
        <f t="shared" si="57"/>
        <v>202606</v>
      </c>
      <c r="I454" s="55">
        <f t="shared" si="58"/>
        <v>548</v>
      </c>
      <c r="J454" s="55">
        <f t="shared" si="59"/>
        <v>0</v>
      </c>
      <c r="K454" s="4">
        <f t="shared" si="60"/>
        <v>0</v>
      </c>
      <c r="L454" s="19" t="str">
        <f t="shared" si="61"/>
        <v>ℹ️ زيادة كمية (شراء/تصحيح) - لا تُحتسب استهلاكاً</v>
      </c>
      <c r="M454" s="12">
        <f>IF(A454="","",IFERROR(INDEX(المدخلات!$M$4:$M$15,MATCH(A454,المدخلات!$L$4:$L$15,0)),""))</f>
        <v>13200</v>
      </c>
      <c r="N454" s="4">
        <f t="shared" si="62"/>
        <v>45969000</v>
      </c>
      <c r="O454" s="4">
        <f t="shared" si="63"/>
        <v>0</v>
      </c>
    </row>
    <row r="455" spans="1:15">
      <c r="A455" s="11">
        <v>202607</v>
      </c>
      <c r="B455" s="19" t="s">
        <v>93</v>
      </c>
      <c r="C455" s="19" t="s">
        <v>353</v>
      </c>
      <c r="D455" s="55">
        <v>4</v>
      </c>
      <c r="E455" s="56">
        <v>6000</v>
      </c>
      <c r="F455" s="19" t="s">
        <v>62</v>
      </c>
      <c r="G455" s="4">
        <f t="shared" si="56"/>
        <v>24000</v>
      </c>
      <c r="H455" s="11">
        <f t="shared" si="57"/>
        <v>202606</v>
      </c>
      <c r="I455" s="55">
        <f t="shared" si="58"/>
        <v>4</v>
      </c>
      <c r="J455" s="55">
        <f t="shared" si="59"/>
        <v>0</v>
      </c>
      <c r="K455" s="4">
        <f t="shared" si="60"/>
        <v>0</v>
      </c>
      <c r="L455" s="19" t="str">
        <f t="shared" si="61"/>
        <v>➖ لا تغيير</v>
      </c>
      <c r="M455" s="12">
        <f>IF(A455="","",IFERROR(INDEX(المدخلات!$M$4:$M$15,MATCH(A455,المدخلات!$L$4:$L$15,0)),""))</f>
        <v>13200</v>
      </c>
      <c r="N455" s="4">
        <f t="shared" si="62"/>
        <v>24000</v>
      </c>
      <c r="O455" s="4">
        <f t="shared" si="63"/>
        <v>0</v>
      </c>
    </row>
    <row r="456" spans="1:15">
      <c r="A456" s="11">
        <v>202607</v>
      </c>
      <c r="B456" s="19" t="s">
        <v>93</v>
      </c>
      <c r="C456" s="19" t="s">
        <v>354</v>
      </c>
      <c r="D456" s="55">
        <v>-7</v>
      </c>
      <c r="E456" s="56">
        <v>0</v>
      </c>
      <c r="F456" s="19" t="s">
        <v>62</v>
      </c>
      <c r="G456" s="4">
        <f t="shared" si="56"/>
        <v>0</v>
      </c>
      <c r="H456" s="11">
        <f t="shared" si="57"/>
        <v>202606</v>
      </c>
      <c r="I456" s="55">
        <f t="shared" si="58"/>
        <v>-7</v>
      </c>
      <c r="J456" s="55">
        <f t="shared" si="59"/>
        <v>0</v>
      </c>
      <c r="K456" s="4">
        <f t="shared" si="60"/>
        <v>0</v>
      </c>
      <c r="L456" s="19" t="str">
        <f t="shared" si="61"/>
        <v>➖ لا تغيير</v>
      </c>
      <c r="M456" s="12">
        <f>IF(A456="","",IFERROR(INDEX(المدخلات!$M$4:$M$15,MATCH(A456,المدخلات!$L$4:$L$15,0)),""))</f>
        <v>13200</v>
      </c>
      <c r="N456" s="4">
        <f t="shared" si="62"/>
        <v>0</v>
      </c>
      <c r="O456" s="4">
        <f t="shared" si="63"/>
        <v>0</v>
      </c>
    </row>
    <row r="457" spans="1:15">
      <c r="A457" s="11">
        <v>202607</v>
      </c>
      <c r="B457" s="19" t="s">
        <v>93</v>
      </c>
      <c r="C457" s="19" t="s">
        <v>303</v>
      </c>
      <c r="D457" s="55">
        <v>12</v>
      </c>
      <c r="E457" s="56">
        <v>0.21</v>
      </c>
      <c r="F457" s="19" t="s">
        <v>63</v>
      </c>
      <c r="G457" s="4">
        <f t="shared" si="56"/>
        <v>2.52</v>
      </c>
      <c r="H457" s="11">
        <f t="shared" si="57"/>
        <v>202606</v>
      </c>
      <c r="I457" s="55">
        <f t="shared" si="58"/>
        <v>12</v>
      </c>
      <c r="J457" s="55">
        <f t="shared" si="59"/>
        <v>0</v>
      </c>
      <c r="K457" s="4">
        <f t="shared" si="60"/>
        <v>0</v>
      </c>
      <c r="L457" s="19" t="str">
        <f t="shared" si="61"/>
        <v>➖ لا تغيير</v>
      </c>
      <c r="M457" s="12">
        <f>IF(A457="","",IFERROR(INDEX(المدخلات!$M$4:$M$15,MATCH(A457,المدخلات!$L$4:$L$15,0)),""))</f>
        <v>13200</v>
      </c>
      <c r="N457" s="4">
        <f t="shared" si="62"/>
        <v>33264</v>
      </c>
      <c r="O457" s="4">
        <f t="shared" si="63"/>
        <v>0</v>
      </c>
    </row>
    <row r="458" spans="1:15">
      <c r="A458" s="11">
        <v>202607</v>
      </c>
      <c r="B458" s="19" t="s">
        <v>93</v>
      </c>
      <c r="C458" s="19" t="s">
        <v>355</v>
      </c>
      <c r="D458" s="55">
        <v>-141</v>
      </c>
      <c r="E458" s="56">
        <v>0</v>
      </c>
      <c r="F458" s="19" t="s">
        <v>62</v>
      </c>
      <c r="G458" s="4">
        <f t="shared" si="56"/>
        <v>0</v>
      </c>
      <c r="H458" s="11">
        <f t="shared" si="57"/>
        <v>202606</v>
      </c>
      <c r="I458" s="55">
        <f t="shared" si="58"/>
        <v>-16</v>
      </c>
      <c r="J458" s="55">
        <f t="shared" si="59"/>
        <v>125</v>
      </c>
      <c r="K458" s="4">
        <f t="shared" si="60"/>
        <v>0</v>
      </c>
      <c r="L458" s="19" t="str">
        <f t="shared" si="61"/>
        <v/>
      </c>
      <c r="M458" s="12">
        <f>IF(A458="","",IFERROR(INDEX(المدخلات!$M$4:$M$15,MATCH(A458,المدخلات!$L$4:$L$15,0)),""))</f>
        <v>13200</v>
      </c>
      <c r="N458" s="4">
        <f t="shared" si="62"/>
        <v>0</v>
      </c>
      <c r="O458" s="4">
        <f t="shared" si="63"/>
        <v>0</v>
      </c>
    </row>
    <row r="459" spans="1:15">
      <c r="A459" s="11">
        <v>202607</v>
      </c>
      <c r="B459" s="19" t="s">
        <v>93</v>
      </c>
      <c r="C459" s="19" t="s">
        <v>194</v>
      </c>
      <c r="D459" s="55">
        <v>617.5</v>
      </c>
      <c r="E459" s="56">
        <v>1.35</v>
      </c>
      <c r="F459" s="19" t="s">
        <v>63</v>
      </c>
      <c r="G459" s="4">
        <f t="shared" si="56"/>
        <v>833.625</v>
      </c>
      <c r="H459" s="11">
        <f t="shared" si="57"/>
        <v>202606</v>
      </c>
      <c r="I459" s="55">
        <f t="shared" si="58"/>
        <v>337.5</v>
      </c>
      <c r="J459" s="55">
        <f t="shared" si="59"/>
        <v>0</v>
      </c>
      <c r="K459" s="4">
        <f t="shared" si="60"/>
        <v>0</v>
      </c>
      <c r="L459" s="19" t="str">
        <f t="shared" si="61"/>
        <v>ℹ️ زيادة كمية (شراء/تصحيح) - لا تُحتسب استهلاكاً</v>
      </c>
      <c r="M459" s="12">
        <f>IF(A459="","",IFERROR(INDEX(المدخلات!$M$4:$M$15,MATCH(A459,المدخلات!$L$4:$L$15,0)),""))</f>
        <v>13200</v>
      </c>
      <c r="N459" s="4">
        <f t="shared" si="62"/>
        <v>11003850</v>
      </c>
      <c r="O459" s="4">
        <f t="shared" si="63"/>
        <v>0</v>
      </c>
    </row>
    <row r="460" spans="1:15">
      <c r="A460" s="11">
        <v>202607</v>
      </c>
      <c r="B460" s="19" t="s">
        <v>93</v>
      </c>
      <c r="C460" s="19" t="s">
        <v>356</v>
      </c>
      <c r="D460" s="55">
        <v>0</v>
      </c>
      <c r="E460" s="56">
        <v>0</v>
      </c>
      <c r="F460" s="19" t="s">
        <v>62</v>
      </c>
      <c r="G460" s="4">
        <f t="shared" si="56"/>
        <v>0</v>
      </c>
      <c r="H460" s="11">
        <f t="shared" si="57"/>
        <v>202606</v>
      </c>
      <c r="I460" s="55">
        <f t="shared" si="58"/>
        <v>0</v>
      </c>
      <c r="J460" s="55">
        <f t="shared" si="59"/>
        <v>0</v>
      </c>
      <c r="K460" s="4">
        <f t="shared" si="60"/>
        <v>0</v>
      </c>
      <c r="L460" s="19" t="str">
        <f t="shared" si="61"/>
        <v>➖ لا تغيير</v>
      </c>
      <c r="M460" s="12">
        <f>IF(A460="","",IFERROR(INDEX(المدخلات!$M$4:$M$15,MATCH(A460,المدخلات!$L$4:$L$15,0)),""))</f>
        <v>13200</v>
      </c>
      <c r="N460" s="4">
        <f t="shared" si="62"/>
        <v>0</v>
      </c>
      <c r="O460" s="4">
        <f t="shared" si="63"/>
        <v>0</v>
      </c>
    </row>
    <row r="461" spans="1:15">
      <c r="A461" s="11">
        <v>202607</v>
      </c>
      <c r="B461" s="19" t="s">
        <v>93</v>
      </c>
      <c r="C461" s="19" t="s">
        <v>357</v>
      </c>
      <c r="D461" s="55">
        <v>0</v>
      </c>
      <c r="E461" s="56">
        <v>105000</v>
      </c>
      <c r="F461" s="19" t="s">
        <v>62</v>
      </c>
      <c r="G461" s="4">
        <f t="shared" si="56"/>
        <v>0</v>
      </c>
      <c r="H461" s="11">
        <f t="shared" si="57"/>
        <v>202606</v>
      </c>
      <c r="I461" s="55">
        <f t="shared" si="58"/>
        <v>0</v>
      </c>
      <c r="J461" s="55">
        <f t="shared" si="59"/>
        <v>0</v>
      </c>
      <c r="K461" s="4">
        <f t="shared" si="60"/>
        <v>0</v>
      </c>
      <c r="L461" s="19" t="str">
        <f t="shared" si="61"/>
        <v>➖ لا تغيير</v>
      </c>
      <c r="M461" s="12">
        <f>IF(A461="","",IFERROR(INDEX(المدخلات!$M$4:$M$15,MATCH(A461,المدخلات!$L$4:$L$15,0)),""))</f>
        <v>13200</v>
      </c>
      <c r="N461" s="4">
        <f t="shared" si="62"/>
        <v>0</v>
      </c>
      <c r="O461" s="4">
        <f t="shared" si="63"/>
        <v>0</v>
      </c>
    </row>
    <row r="462" spans="1:15">
      <c r="A462" s="11">
        <v>202607</v>
      </c>
      <c r="B462" s="19" t="s">
        <v>93</v>
      </c>
      <c r="C462" s="19" t="s">
        <v>304</v>
      </c>
      <c r="D462" s="55">
        <v>0</v>
      </c>
      <c r="E462" s="56">
        <v>450</v>
      </c>
      <c r="F462" s="19" t="s">
        <v>63</v>
      </c>
      <c r="G462" s="4">
        <f t="shared" si="56"/>
        <v>0</v>
      </c>
      <c r="H462" s="11">
        <f t="shared" si="57"/>
        <v>202606</v>
      </c>
      <c r="I462" s="55">
        <f t="shared" si="58"/>
        <v>0</v>
      </c>
      <c r="J462" s="55">
        <f t="shared" si="59"/>
        <v>0</v>
      </c>
      <c r="K462" s="4">
        <f t="shared" si="60"/>
        <v>0</v>
      </c>
      <c r="L462" s="19" t="str">
        <f t="shared" si="61"/>
        <v>➖ لا تغيير</v>
      </c>
      <c r="M462" s="12">
        <f>IF(A462="","",IFERROR(INDEX(المدخلات!$M$4:$M$15,MATCH(A462,المدخلات!$L$4:$L$15,0)),""))</f>
        <v>13200</v>
      </c>
      <c r="N462" s="4">
        <f t="shared" si="62"/>
        <v>0</v>
      </c>
      <c r="O462" s="4">
        <f t="shared" si="63"/>
        <v>0</v>
      </c>
    </row>
    <row r="463" spans="1:15">
      <c r="A463" s="11">
        <v>202607</v>
      </c>
      <c r="B463" s="19" t="s">
        <v>93</v>
      </c>
      <c r="C463" s="19" t="s">
        <v>358</v>
      </c>
      <c r="D463" s="55">
        <v>504</v>
      </c>
      <c r="E463" s="56">
        <v>5500</v>
      </c>
      <c r="F463" s="19" t="s">
        <v>62</v>
      </c>
      <c r="G463" s="4">
        <f t="shared" si="56"/>
        <v>2772000</v>
      </c>
      <c r="H463" s="11">
        <f t="shared" si="57"/>
        <v>202606</v>
      </c>
      <c r="I463" s="55">
        <f t="shared" si="58"/>
        <v>544</v>
      </c>
      <c r="J463" s="55">
        <f t="shared" si="59"/>
        <v>40</v>
      </c>
      <c r="K463" s="4">
        <f t="shared" si="60"/>
        <v>220000</v>
      </c>
      <c r="L463" s="19" t="str">
        <f t="shared" si="61"/>
        <v/>
      </c>
      <c r="M463" s="12">
        <f>IF(A463="","",IFERROR(INDEX(المدخلات!$M$4:$M$15,MATCH(A463,المدخلات!$L$4:$L$15,0)),""))</f>
        <v>13200</v>
      </c>
      <c r="N463" s="4">
        <f t="shared" si="62"/>
        <v>2772000</v>
      </c>
      <c r="O463" s="4">
        <f t="shared" si="63"/>
        <v>220000</v>
      </c>
    </row>
    <row r="464" spans="1:15">
      <c r="A464" s="11">
        <v>202607</v>
      </c>
      <c r="B464" s="19" t="s">
        <v>93</v>
      </c>
      <c r="C464" s="19" t="s">
        <v>359</v>
      </c>
      <c r="D464" s="55">
        <v>0</v>
      </c>
      <c r="E464" s="56">
        <v>0</v>
      </c>
      <c r="F464" s="19" t="s">
        <v>62</v>
      </c>
      <c r="G464" s="4">
        <f t="shared" si="56"/>
        <v>0</v>
      </c>
      <c r="H464" s="11">
        <f t="shared" si="57"/>
        <v>202606</v>
      </c>
      <c r="I464" s="55">
        <f t="shared" si="58"/>
        <v>0</v>
      </c>
      <c r="J464" s="55">
        <f t="shared" si="59"/>
        <v>0</v>
      </c>
      <c r="K464" s="4">
        <f t="shared" si="60"/>
        <v>0</v>
      </c>
      <c r="L464" s="19" t="str">
        <f t="shared" si="61"/>
        <v>➖ لا تغيير</v>
      </c>
      <c r="M464" s="12">
        <f>IF(A464="","",IFERROR(INDEX(المدخلات!$M$4:$M$15,MATCH(A464,المدخلات!$L$4:$L$15,0)),""))</f>
        <v>13200</v>
      </c>
      <c r="N464" s="4">
        <f t="shared" si="62"/>
        <v>0</v>
      </c>
      <c r="O464" s="4">
        <f t="shared" si="63"/>
        <v>0</v>
      </c>
    </row>
    <row r="465" spans="1:15">
      <c r="A465" s="11">
        <v>202607</v>
      </c>
      <c r="B465" s="19" t="s">
        <v>93</v>
      </c>
      <c r="C465" s="19" t="s">
        <v>195</v>
      </c>
      <c r="D465" s="55">
        <v>0</v>
      </c>
      <c r="E465" s="56">
        <v>2</v>
      </c>
      <c r="F465" s="19" t="s">
        <v>63</v>
      </c>
      <c r="G465" s="4">
        <f t="shared" si="56"/>
        <v>0</v>
      </c>
      <c r="H465" s="11">
        <f t="shared" si="57"/>
        <v>202606</v>
      </c>
      <c r="I465" s="55">
        <f t="shared" si="58"/>
        <v>0</v>
      </c>
      <c r="J465" s="55">
        <f t="shared" si="59"/>
        <v>0</v>
      </c>
      <c r="K465" s="4">
        <f t="shared" si="60"/>
        <v>0</v>
      </c>
      <c r="L465" s="19" t="str">
        <f t="shared" si="61"/>
        <v>➖ لا تغيير</v>
      </c>
      <c r="M465" s="12">
        <f>IF(A465="","",IFERROR(INDEX(المدخلات!$M$4:$M$15,MATCH(A465,المدخلات!$L$4:$L$15,0)),""))</f>
        <v>13200</v>
      </c>
      <c r="N465" s="4">
        <f t="shared" si="62"/>
        <v>0</v>
      </c>
      <c r="O465" s="4">
        <f t="shared" si="63"/>
        <v>0</v>
      </c>
    </row>
    <row r="466" spans="1:15">
      <c r="A466" s="11">
        <v>202607</v>
      </c>
      <c r="B466" s="19" t="s">
        <v>93</v>
      </c>
      <c r="C466" s="19" t="s">
        <v>196</v>
      </c>
      <c r="D466" s="55">
        <v>0</v>
      </c>
      <c r="E466" s="56">
        <v>89.3</v>
      </c>
      <c r="F466" s="19" t="s">
        <v>63</v>
      </c>
      <c r="G466" s="4">
        <f t="shared" si="56"/>
        <v>0</v>
      </c>
      <c r="H466" s="11">
        <f t="shared" si="57"/>
        <v>202606</v>
      </c>
      <c r="I466" s="55">
        <f t="shared" si="58"/>
        <v>0</v>
      </c>
      <c r="J466" s="55">
        <f t="shared" si="59"/>
        <v>0</v>
      </c>
      <c r="K466" s="4">
        <f t="shared" si="60"/>
        <v>0</v>
      </c>
      <c r="L466" s="19" t="str">
        <f t="shared" si="61"/>
        <v>➖ لا تغيير</v>
      </c>
      <c r="M466" s="12">
        <f>IF(A466="","",IFERROR(INDEX(المدخلات!$M$4:$M$15,MATCH(A466,المدخلات!$L$4:$L$15,0)),""))</f>
        <v>13200</v>
      </c>
      <c r="N466" s="4">
        <f t="shared" si="62"/>
        <v>0</v>
      </c>
      <c r="O466" s="4">
        <f t="shared" si="63"/>
        <v>0</v>
      </c>
    </row>
    <row r="467" spans="1:15">
      <c r="A467" s="11">
        <v>202607</v>
      </c>
      <c r="B467" s="19" t="s">
        <v>93</v>
      </c>
      <c r="C467" s="19" t="s">
        <v>197</v>
      </c>
      <c r="D467" s="55">
        <v>3</v>
      </c>
      <c r="E467" s="56">
        <v>2</v>
      </c>
      <c r="F467" s="19" t="s">
        <v>63</v>
      </c>
      <c r="G467" s="4">
        <f t="shared" si="56"/>
        <v>6</v>
      </c>
      <c r="H467" s="11">
        <f t="shared" si="57"/>
        <v>202606</v>
      </c>
      <c r="I467" s="55">
        <f t="shared" si="58"/>
        <v>3</v>
      </c>
      <c r="J467" s="55">
        <f t="shared" si="59"/>
        <v>0</v>
      </c>
      <c r="K467" s="4">
        <f t="shared" si="60"/>
        <v>0</v>
      </c>
      <c r="L467" s="19" t="str">
        <f t="shared" si="61"/>
        <v>➖ لا تغيير</v>
      </c>
      <c r="M467" s="12">
        <f>IF(A467="","",IFERROR(INDEX(المدخلات!$M$4:$M$15,MATCH(A467,المدخلات!$L$4:$L$15,0)),""))</f>
        <v>13200</v>
      </c>
      <c r="N467" s="4">
        <f t="shared" si="62"/>
        <v>79200</v>
      </c>
      <c r="O467" s="4">
        <f t="shared" si="63"/>
        <v>0</v>
      </c>
    </row>
    <row r="468" spans="1:15">
      <c r="A468" s="11">
        <v>202607</v>
      </c>
      <c r="B468" s="19" t="s">
        <v>93</v>
      </c>
      <c r="C468" s="19" t="s">
        <v>360</v>
      </c>
      <c r="D468" s="55">
        <v>0</v>
      </c>
      <c r="E468" s="56">
        <v>0</v>
      </c>
      <c r="F468" s="19" t="s">
        <v>62</v>
      </c>
      <c r="G468" s="4">
        <f t="shared" si="56"/>
        <v>0</v>
      </c>
      <c r="H468" s="11">
        <f t="shared" si="57"/>
        <v>202606</v>
      </c>
      <c r="I468" s="55">
        <f t="shared" si="58"/>
        <v>0</v>
      </c>
      <c r="J468" s="55">
        <f t="shared" si="59"/>
        <v>0</v>
      </c>
      <c r="K468" s="4">
        <f t="shared" si="60"/>
        <v>0</v>
      </c>
      <c r="L468" s="19" t="str">
        <f t="shared" si="61"/>
        <v>➖ لا تغيير</v>
      </c>
      <c r="M468" s="12">
        <f>IF(A468="","",IFERROR(INDEX(المدخلات!$M$4:$M$15,MATCH(A468,المدخلات!$L$4:$L$15,0)),""))</f>
        <v>13200</v>
      </c>
      <c r="N468" s="4">
        <f t="shared" si="62"/>
        <v>0</v>
      </c>
      <c r="O468" s="4">
        <f t="shared" si="63"/>
        <v>0</v>
      </c>
    </row>
    <row r="469" spans="1:15">
      <c r="A469" s="11">
        <v>202607</v>
      </c>
      <c r="B469" s="19" t="s">
        <v>93</v>
      </c>
      <c r="C469" s="19" t="s">
        <v>361</v>
      </c>
      <c r="D469" s="55">
        <v>0</v>
      </c>
      <c r="E469" s="56">
        <v>0</v>
      </c>
      <c r="F469" s="19" t="s">
        <v>62</v>
      </c>
      <c r="G469" s="4">
        <f t="shared" si="56"/>
        <v>0</v>
      </c>
      <c r="H469" s="11">
        <f t="shared" si="57"/>
        <v>202606</v>
      </c>
      <c r="I469" s="55">
        <f t="shared" si="58"/>
        <v>-5</v>
      </c>
      <c r="J469" s="55">
        <f t="shared" si="59"/>
        <v>0</v>
      </c>
      <c r="K469" s="4">
        <f t="shared" si="60"/>
        <v>0</v>
      </c>
      <c r="L469" s="19" t="str">
        <f t="shared" si="61"/>
        <v>ℹ️ زيادة كمية (شراء/تصحيح) - لا تُحتسب استهلاكاً</v>
      </c>
      <c r="M469" s="12">
        <f>IF(A469="","",IFERROR(INDEX(المدخلات!$M$4:$M$15,MATCH(A469,المدخلات!$L$4:$L$15,0)),""))</f>
        <v>13200</v>
      </c>
      <c r="N469" s="4">
        <f t="shared" si="62"/>
        <v>0</v>
      </c>
      <c r="O469" s="4">
        <f t="shared" si="63"/>
        <v>0</v>
      </c>
    </row>
    <row r="470" spans="1:15">
      <c r="A470" s="11">
        <v>202607</v>
      </c>
      <c r="B470" s="19" t="s">
        <v>93</v>
      </c>
      <c r="C470" s="19" t="s">
        <v>305</v>
      </c>
      <c r="D470" s="55">
        <v>0</v>
      </c>
      <c r="E470" s="56">
        <v>1.625</v>
      </c>
      <c r="F470" s="19" t="s">
        <v>63</v>
      </c>
      <c r="G470" s="4">
        <f t="shared" si="56"/>
        <v>0</v>
      </c>
      <c r="H470" s="11">
        <f t="shared" si="57"/>
        <v>202606</v>
      </c>
      <c r="I470" s="55">
        <f t="shared" si="58"/>
        <v>0</v>
      </c>
      <c r="J470" s="55">
        <f t="shared" si="59"/>
        <v>0</v>
      </c>
      <c r="K470" s="4">
        <f t="shared" si="60"/>
        <v>0</v>
      </c>
      <c r="L470" s="19" t="str">
        <f t="shared" si="61"/>
        <v>➖ لا تغيير</v>
      </c>
      <c r="M470" s="12">
        <f>IF(A470="","",IFERROR(INDEX(المدخلات!$M$4:$M$15,MATCH(A470,المدخلات!$L$4:$L$15,0)),""))</f>
        <v>13200</v>
      </c>
      <c r="N470" s="4">
        <f t="shared" si="62"/>
        <v>0</v>
      </c>
      <c r="O470" s="4">
        <f t="shared" si="63"/>
        <v>0</v>
      </c>
    </row>
    <row r="471" spans="1:15">
      <c r="A471" s="11">
        <v>202607</v>
      </c>
      <c r="B471" s="19" t="s">
        <v>93</v>
      </c>
      <c r="C471" s="19" t="s">
        <v>257</v>
      </c>
      <c r="D471" s="55">
        <v>0</v>
      </c>
      <c r="E471" s="56">
        <v>20000</v>
      </c>
      <c r="F471" s="19" t="s">
        <v>62</v>
      </c>
      <c r="G471" s="4">
        <f t="shared" si="56"/>
        <v>0</v>
      </c>
      <c r="H471" s="11">
        <f t="shared" si="57"/>
        <v>202606</v>
      </c>
      <c r="I471" s="55">
        <f t="shared" si="58"/>
        <v>0</v>
      </c>
      <c r="J471" s="55">
        <f t="shared" si="59"/>
        <v>0</v>
      </c>
      <c r="K471" s="4">
        <f t="shared" si="60"/>
        <v>0</v>
      </c>
      <c r="L471" s="19" t="str">
        <f t="shared" si="61"/>
        <v>➖ لا تغيير</v>
      </c>
      <c r="M471" s="12">
        <f>IF(A471="","",IFERROR(INDEX(المدخلات!$M$4:$M$15,MATCH(A471,المدخلات!$L$4:$L$15,0)),""))</f>
        <v>13200</v>
      </c>
      <c r="N471" s="4">
        <f t="shared" si="62"/>
        <v>0</v>
      </c>
      <c r="O471" s="4">
        <f t="shared" si="63"/>
        <v>0</v>
      </c>
    </row>
    <row r="472" spans="1:15">
      <c r="A472" s="11">
        <v>202607</v>
      </c>
      <c r="B472" s="19" t="s">
        <v>93</v>
      </c>
      <c r="C472" s="19" t="s">
        <v>258</v>
      </c>
      <c r="D472" s="55">
        <v>-30</v>
      </c>
      <c r="E472" s="56">
        <v>0</v>
      </c>
      <c r="F472" s="19" t="s">
        <v>62</v>
      </c>
      <c r="G472" s="4">
        <f t="shared" si="56"/>
        <v>0</v>
      </c>
      <c r="H472" s="11">
        <f t="shared" si="57"/>
        <v>202606</v>
      </c>
      <c r="I472" s="55">
        <f t="shared" si="58"/>
        <v>-20</v>
      </c>
      <c r="J472" s="55">
        <f t="shared" si="59"/>
        <v>10</v>
      </c>
      <c r="K472" s="4">
        <f t="shared" si="60"/>
        <v>0</v>
      </c>
      <c r="L472" s="19" t="str">
        <f t="shared" si="61"/>
        <v/>
      </c>
      <c r="M472" s="12">
        <f>IF(A472="","",IFERROR(INDEX(المدخلات!$M$4:$M$15,MATCH(A472,المدخلات!$L$4:$L$15,0)),""))</f>
        <v>13200</v>
      </c>
      <c r="N472" s="4">
        <f t="shared" si="62"/>
        <v>0</v>
      </c>
      <c r="O472" s="4">
        <f t="shared" si="63"/>
        <v>0</v>
      </c>
    </row>
    <row r="473" spans="1:15">
      <c r="A473" s="11">
        <v>202607</v>
      </c>
      <c r="B473" s="19" t="s">
        <v>93</v>
      </c>
      <c r="C473" s="19" t="s">
        <v>259</v>
      </c>
      <c r="D473" s="55">
        <v>-7</v>
      </c>
      <c r="E473" s="56">
        <v>0</v>
      </c>
      <c r="F473" s="19" t="s">
        <v>62</v>
      </c>
      <c r="G473" s="4">
        <f t="shared" si="56"/>
        <v>0</v>
      </c>
      <c r="H473" s="11">
        <f t="shared" si="57"/>
        <v>202606</v>
      </c>
      <c r="I473" s="55">
        <f t="shared" si="58"/>
        <v>-8</v>
      </c>
      <c r="J473" s="55">
        <f t="shared" si="59"/>
        <v>0</v>
      </c>
      <c r="K473" s="4">
        <f t="shared" si="60"/>
        <v>0</v>
      </c>
      <c r="L473" s="19" t="str">
        <f t="shared" si="61"/>
        <v>ℹ️ زيادة كمية (شراء/تصحيح) - لا تُحتسب استهلاكاً</v>
      </c>
      <c r="M473" s="12">
        <f>IF(A473="","",IFERROR(INDEX(المدخلات!$M$4:$M$15,MATCH(A473,المدخلات!$L$4:$L$15,0)),""))</f>
        <v>13200</v>
      </c>
      <c r="N473" s="4">
        <f t="shared" si="62"/>
        <v>0</v>
      </c>
      <c r="O473" s="4">
        <f t="shared" si="63"/>
        <v>0</v>
      </c>
    </row>
    <row r="474" spans="1:15">
      <c r="A474" s="11">
        <v>202607</v>
      </c>
      <c r="B474" s="19" t="s">
        <v>93</v>
      </c>
      <c r="C474" s="19" t="s">
        <v>198</v>
      </c>
      <c r="D474" s="55">
        <v>0</v>
      </c>
      <c r="E474" s="56">
        <v>3</v>
      </c>
      <c r="F474" s="19" t="s">
        <v>63</v>
      </c>
      <c r="G474" s="4">
        <f t="shared" si="56"/>
        <v>0</v>
      </c>
      <c r="H474" s="11">
        <f t="shared" si="57"/>
        <v>202606</v>
      </c>
      <c r="I474" s="55">
        <f t="shared" si="58"/>
        <v>6</v>
      </c>
      <c r="J474" s="55">
        <f t="shared" si="59"/>
        <v>6</v>
      </c>
      <c r="K474" s="4">
        <f t="shared" si="60"/>
        <v>18</v>
      </c>
      <c r="L474" s="19" t="str">
        <f t="shared" si="61"/>
        <v/>
      </c>
      <c r="M474" s="12">
        <f>IF(A474="","",IFERROR(INDEX(المدخلات!$M$4:$M$15,MATCH(A474,المدخلات!$L$4:$L$15,0)),""))</f>
        <v>13200</v>
      </c>
      <c r="N474" s="4">
        <f t="shared" si="62"/>
        <v>0</v>
      </c>
      <c r="O474" s="4">
        <f t="shared" si="63"/>
        <v>237600</v>
      </c>
    </row>
    <row r="475" spans="1:15">
      <c r="A475" s="11">
        <v>202607</v>
      </c>
      <c r="B475" s="19" t="s">
        <v>93</v>
      </c>
      <c r="C475" s="19" t="s">
        <v>199</v>
      </c>
      <c r="D475" s="55">
        <v>16.5</v>
      </c>
      <c r="E475" s="56">
        <v>3.335</v>
      </c>
      <c r="F475" s="19" t="s">
        <v>63</v>
      </c>
      <c r="G475" s="4">
        <f t="shared" si="56"/>
        <v>55.027499999999996</v>
      </c>
      <c r="H475" s="11">
        <f t="shared" si="57"/>
        <v>202606</v>
      </c>
      <c r="I475" s="55">
        <f t="shared" si="58"/>
        <v>16.5</v>
      </c>
      <c r="J475" s="55">
        <f t="shared" si="59"/>
        <v>0</v>
      </c>
      <c r="K475" s="4">
        <f t="shared" si="60"/>
        <v>0</v>
      </c>
      <c r="L475" s="19" t="str">
        <f t="shared" si="61"/>
        <v>➖ لا تغيير</v>
      </c>
      <c r="M475" s="12">
        <f>IF(A475="","",IFERROR(INDEX(المدخلات!$M$4:$M$15,MATCH(A475,المدخلات!$L$4:$L$15,0)),""))</f>
        <v>13200</v>
      </c>
      <c r="N475" s="4">
        <f t="shared" si="62"/>
        <v>726363</v>
      </c>
      <c r="O475" s="4">
        <f t="shared" si="63"/>
        <v>0</v>
      </c>
    </row>
    <row r="476" spans="1:15">
      <c r="A476" s="11">
        <v>202607</v>
      </c>
      <c r="B476" s="19" t="s">
        <v>93</v>
      </c>
      <c r="C476" s="19" t="s">
        <v>260</v>
      </c>
      <c r="D476" s="55">
        <v>230.4</v>
      </c>
      <c r="E476" s="56">
        <v>55000</v>
      </c>
      <c r="F476" s="19" t="s">
        <v>62</v>
      </c>
      <c r="G476" s="4">
        <f t="shared" si="56"/>
        <v>12672000</v>
      </c>
      <c r="H476" s="11">
        <f t="shared" si="57"/>
        <v>202606</v>
      </c>
      <c r="I476" s="55">
        <f t="shared" si="58"/>
        <v>330.4</v>
      </c>
      <c r="J476" s="55">
        <f t="shared" si="59"/>
        <v>99.999999999999972</v>
      </c>
      <c r="K476" s="4">
        <f t="shared" si="60"/>
        <v>5499999.9999999981</v>
      </c>
      <c r="L476" s="19" t="str">
        <f t="shared" si="61"/>
        <v/>
      </c>
      <c r="M476" s="12">
        <f>IF(A476="","",IFERROR(INDEX(المدخلات!$M$4:$M$15,MATCH(A476,المدخلات!$L$4:$L$15,0)),""))</f>
        <v>13200</v>
      </c>
      <c r="N476" s="4">
        <f t="shared" si="62"/>
        <v>12672000</v>
      </c>
      <c r="O476" s="4">
        <f t="shared" si="63"/>
        <v>5499999.9999999981</v>
      </c>
    </row>
    <row r="477" spans="1:15">
      <c r="A477" s="11">
        <v>202607</v>
      </c>
      <c r="B477" s="19" t="s">
        <v>93</v>
      </c>
      <c r="C477" s="19" t="s">
        <v>364</v>
      </c>
      <c r="D477" s="55">
        <v>0</v>
      </c>
      <c r="E477" s="56">
        <v>0</v>
      </c>
      <c r="F477" s="19" t="s">
        <v>62</v>
      </c>
      <c r="G477" s="4">
        <f t="shared" si="56"/>
        <v>0</v>
      </c>
      <c r="H477" s="11">
        <f t="shared" si="57"/>
        <v>202606</v>
      </c>
      <c r="I477" s="55">
        <f t="shared" si="58"/>
        <v>0</v>
      </c>
      <c r="J477" s="55">
        <f t="shared" si="59"/>
        <v>0</v>
      </c>
      <c r="K477" s="4">
        <f t="shared" si="60"/>
        <v>0</v>
      </c>
      <c r="L477" s="19" t="str">
        <f t="shared" si="61"/>
        <v>⚠️ مادة مكررة بنفس الشهر</v>
      </c>
      <c r="M477" s="12">
        <f>IF(A477="","",IFERROR(INDEX(المدخلات!$M$4:$M$15,MATCH(A477,المدخلات!$L$4:$L$15,0)),""))</f>
        <v>13200</v>
      </c>
      <c r="N477" s="4">
        <f t="shared" si="62"/>
        <v>0</v>
      </c>
      <c r="O477" s="4">
        <f t="shared" si="63"/>
        <v>0</v>
      </c>
    </row>
    <row r="478" spans="1:15">
      <c r="A478" s="11">
        <v>202607</v>
      </c>
      <c r="B478" s="19" t="s">
        <v>93</v>
      </c>
      <c r="C478" s="19" t="s">
        <v>306</v>
      </c>
      <c r="D478" s="55">
        <v>625</v>
      </c>
      <c r="E478" s="56">
        <v>0.21</v>
      </c>
      <c r="F478" s="19" t="s">
        <v>63</v>
      </c>
      <c r="G478" s="4">
        <f t="shared" si="56"/>
        <v>131.25</v>
      </c>
      <c r="H478" s="11">
        <f t="shared" si="57"/>
        <v>202606</v>
      </c>
      <c r="I478" s="55">
        <f t="shared" si="58"/>
        <v>60</v>
      </c>
      <c r="J478" s="55">
        <f t="shared" si="59"/>
        <v>0</v>
      </c>
      <c r="K478" s="4">
        <f t="shared" si="60"/>
        <v>0</v>
      </c>
      <c r="L478" s="19" t="str">
        <f t="shared" si="61"/>
        <v>ℹ️ زيادة كمية (شراء/تصحيح) - لا تُحتسب استهلاكاً</v>
      </c>
      <c r="M478" s="12">
        <f>IF(A478="","",IFERROR(INDEX(المدخلات!$M$4:$M$15,MATCH(A478,المدخلات!$L$4:$L$15,0)),""))</f>
        <v>13200</v>
      </c>
      <c r="N478" s="4">
        <f t="shared" si="62"/>
        <v>1732500</v>
      </c>
      <c r="O478" s="4">
        <f t="shared" si="63"/>
        <v>0</v>
      </c>
    </row>
    <row r="479" spans="1:15">
      <c r="A479" s="11">
        <v>202607</v>
      </c>
      <c r="B479" s="19" t="s">
        <v>93</v>
      </c>
      <c r="C479" s="19" t="s">
        <v>200</v>
      </c>
      <c r="D479" s="55">
        <v>207.5</v>
      </c>
      <c r="E479" s="56">
        <v>0.65</v>
      </c>
      <c r="F479" s="19" t="s">
        <v>63</v>
      </c>
      <c r="G479" s="4">
        <f t="shared" si="56"/>
        <v>134.875</v>
      </c>
      <c r="H479" s="11">
        <f t="shared" si="57"/>
        <v>202606</v>
      </c>
      <c r="I479" s="55">
        <f t="shared" si="58"/>
        <v>207.5</v>
      </c>
      <c r="J479" s="55">
        <f t="shared" si="59"/>
        <v>0</v>
      </c>
      <c r="K479" s="4">
        <f t="shared" si="60"/>
        <v>0</v>
      </c>
      <c r="L479" s="19" t="str">
        <f t="shared" si="61"/>
        <v>➖ لا تغيير</v>
      </c>
      <c r="M479" s="12">
        <f>IF(A479="","",IFERROR(INDEX(المدخلات!$M$4:$M$15,MATCH(A479,المدخلات!$L$4:$L$15,0)),""))</f>
        <v>13200</v>
      </c>
      <c r="N479" s="4">
        <f t="shared" si="62"/>
        <v>1780350</v>
      </c>
      <c r="O479" s="4">
        <f t="shared" si="63"/>
        <v>0</v>
      </c>
    </row>
    <row r="480" spans="1:15">
      <c r="A480" s="11">
        <v>202607</v>
      </c>
      <c r="B480" s="19" t="s">
        <v>93</v>
      </c>
      <c r="C480" s="19" t="s">
        <v>362</v>
      </c>
      <c r="D480" s="55">
        <v>0</v>
      </c>
      <c r="E480" s="56">
        <v>10700</v>
      </c>
      <c r="F480" s="19" t="s">
        <v>62</v>
      </c>
      <c r="G480" s="4">
        <f t="shared" si="56"/>
        <v>0</v>
      </c>
      <c r="H480" s="11">
        <f t="shared" si="57"/>
        <v>202606</v>
      </c>
      <c r="I480" s="55">
        <f t="shared" si="58"/>
        <v>0</v>
      </c>
      <c r="J480" s="55">
        <f t="shared" si="59"/>
        <v>0</v>
      </c>
      <c r="K480" s="4">
        <f t="shared" si="60"/>
        <v>0</v>
      </c>
      <c r="L480" s="19" t="str">
        <f t="shared" si="61"/>
        <v>⚠️ مادة مكررة بنفس الشهر</v>
      </c>
      <c r="M480" s="12">
        <f>IF(A480="","",IFERROR(INDEX(المدخلات!$M$4:$M$15,MATCH(A480,المدخلات!$L$4:$L$15,0)),""))</f>
        <v>13200</v>
      </c>
      <c r="N480" s="4">
        <f t="shared" si="62"/>
        <v>0</v>
      </c>
      <c r="O480" s="4">
        <f t="shared" si="63"/>
        <v>0</v>
      </c>
    </row>
    <row r="481" spans="1:15">
      <c r="A481" s="11">
        <v>202607</v>
      </c>
      <c r="B481" s="19" t="s">
        <v>93</v>
      </c>
      <c r="C481" s="19" t="s">
        <v>363</v>
      </c>
      <c r="D481" s="55">
        <v>0</v>
      </c>
      <c r="E481" s="56">
        <v>3500</v>
      </c>
      <c r="F481" s="19" t="s">
        <v>62</v>
      </c>
      <c r="G481" s="4">
        <f t="shared" si="56"/>
        <v>0</v>
      </c>
      <c r="H481" s="11">
        <f t="shared" si="57"/>
        <v>202606</v>
      </c>
      <c r="I481" s="55">
        <f t="shared" si="58"/>
        <v>0</v>
      </c>
      <c r="J481" s="55">
        <f t="shared" si="59"/>
        <v>0</v>
      </c>
      <c r="K481" s="4">
        <f t="shared" si="60"/>
        <v>0</v>
      </c>
      <c r="L481" s="19" t="str">
        <f t="shared" si="61"/>
        <v>➖ لا تغيير</v>
      </c>
      <c r="M481" s="12">
        <f>IF(A481="","",IFERROR(INDEX(المدخلات!$M$4:$M$15,MATCH(A481,المدخلات!$L$4:$L$15,0)),""))</f>
        <v>13200</v>
      </c>
      <c r="N481" s="4">
        <f t="shared" si="62"/>
        <v>0</v>
      </c>
      <c r="O481" s="4">
        <f t="shared" si="63"/>
        <v>0</v>
      </c>
    </row>
    <row r="482" spans="1:15">
      <c r="A482" s="11"/>
      <c r="B482" s="19"/>
      <c r="C482" s="19"/>
      <c r="D482" s="55"/>
      <c r="E482" s="56"/>
      <c r="F482" s="19"/>
      <c r="G482" s="4" t="str">
        <f t="shared" si="56"/>
        <v/>
      </c>
      <c r="H482" s="11" t="str">
        <f t="shared" si="57"/>
        <v/>
      </c>
      <c r="I482" s="55" t="str">
        <f t="shared" si="58"/>
        <v/>
      </c>
      <c r="J482" s="55" t="str">
        <f t="shared" si="59"/>
        <v/>
      </c>
      <c r="K482" s="4" t="str">
        <f t="shared" si="60"/>
        <v/>
      </c>
      <c r="L482" s="19" t="str">
        <f t="shared" si="61"/>
        <v/>
      </c>
      <c r="M482" s="12" t="str">
        <f>IF(A482="","",IFERROR(INDEX(المدخلات!$M$4:$M$15,MATCH(A482,المدخلات!$L$4:$L$15,0)),""))</f>
        <v/>
      </c>
      <c r="N482" s="4" t="str">
        <f t="shared" si="62"/>
        <v/>
      </c>
      <c r="O482" s="4" t="str">
        <f t="shared" si="63"/>
        <v/>
      </c>
    </row>
    <row r="483" spans="1:15">
      <c r="A483" s="11"/>
      <c r="B483" s="19"/>
      <c r="C483" s="19"/>
      <c r="D483" s="55"/>
      <c r="E483" s="56"/>
      <c r="F483" s="19"/>
      <c r="G483" s="4" t="str">
        <f t="shared" si="56"/>
        <v/>
      </c>
      <c r="H483" s="11" t="str">
        <f t="shared" si="57"/>
        <v/>
      </c>
      <c r="I483" s="55" t="str">
        <f t="shared" si="58"/>
        <v/>
      </c>
      <c r="J483" s="55" t="str">
        <f t="shared" si="59"/>
        <v/>
      </c>
      <c r="K483" s="4" t="str">
        <f t="shared" si="60"/>
        <v/>
      </c>
      <c r="L483" s="19" t="str">
        <f t="shared" si="61"/>
        <v/>
      </c>
      <c r="M483" s="12" t="str">
        <f>IF(A483="","",IFERROR(INDEX(المدخلات!$M$4:$M$15,MATCH(A483,المدخلات!$L$4:$L$15,0)),""))</f>
        <v/>
      </c>
      <c r="N483" s="4" t="str">
        <f t="shared" si="62"/>
        <v/>
      </c>
      <c r="O483" s="4" t="str">
        <f t="shared" si="63"/>
        <v/>
      </c>
    </row>
    <row r="484" spans="1:15">
      <c r="A484" s="11"/>
      <c r="B484" s="19"/>
      <c r="C484" s="19"/>
      <c r="D484" s="55"/>
      <c r="E484" s="56"/>
      <c r="F484" s="19"/>
      <c r="G484" s="4" t="str">
        <f t="shared" si="56"/>
        <v/>
      </c>
      <c r="H484" s="11" t="str">
        <f t="shared" si="57"/>
        <v/>
      </c>
      <c r="I484" s="55" t="str">
        <f t="shared" si="58"/>
        <v/>
      </c>
      <c r="J484" s="55" t="str">
        <f t="shared" si="59"/>
        <v/>
      </c>
      <c r="K484" s="4" t="str">
        <f t="shared" si="60"/>
        <v/>
      </c>
      <c r="L484" s="19" t="str">
        <f t="shared" si="61"/>
        <v/>
      </c>
      <c r="M484" s="12" t="str">
        <f>IF(A484="","",IFERROR(INDEX(المدخلات!$M$4:$M$15,MATCH(A484,المدخلات!$L$4:$L$15,0)),""))</f>
        <v/>
      </c>
      <c r="N484" s="4" t="str">
        <f t="shared" si="62"/>
        <v/>
      </c>
      <c r="O484" s="4" t="str">
        <f t="shared" si="63"/>
        <v/>
      </c>
    </row>
    <row r="485" spans="1:15">
      <c r="A485" s="11"/>
      <c r="B485" s="19"/>
      <c r="C485" s="19"/>
      <c r="D485" s="55"/>
      <c r="E485" s="56"/>
      <c r="F485" s="19"/>
      <c r="G485" s="4" t="str">
        <f t="shared" si="56"/>
        <v/>
      </c>
      <c r="H485" s="11" t="str">
        <f t="shared" si="57"/>
        <v/>
      </c>
      <c r="I485" s="55" t="str">
        <f t="shared" si="58"/>
        <v/>
      </c>
      <c r="J485" s="55" t="str">
        <f t="shared" si="59"/>
        <v/>
      </c>
      <c r="K485" s="4" t="str">
        <f t="shared" si="60"/>
        <v/>
      </c>
      <c r="L485" s="19" t="str">
        <f t="shared" si="61"/>
        <v/>
      </c>
      <c r="M485" s="12" t="str">
        <f>IF(A485="","",IFERROR(INDEX(المدخلات!$M$4:$M$15,MATCH(A485,المدخلات!$L$4:$L$15,0)),""))</f>
        <v/>
      </c>
      <c r="N485" s="4" t="str">
        <f t="shared" si="62"/>
        <v/>
      </c>
      <c r="O485" s="4" t="str">
        <f t="shared" si="63"/>
        <v/>
      </c>
    </row>
    <row r="486" spans="1:15">
      <c r="A486" s="11"/>
      <c r="B486" s="19"/>
      <c r="C486" s="19"/>
      <c r="D486" s="55"/>
      <c r="E486" s="56"/>
      <c r="F486" s="19"/>
      <c r="G486" s="4" t="str">
        <f t="shared" si="56"/>
        <v/>
      </c>
      <c r="H486" s="11" t="str">
        <f t="shared" si="57"/>
        <v/>
      </c>
      <c r="I486" s="55" t="str">
        <f t="shared" si="58"/>
        <v/>
      </c>
      <c r="J486" s="55" t="str">
        <f t="shared" si="59"/>
        <v/>
      </c>
      <c r="K486" s="4" t="str">
        <f t="shared" si="60"/>
        <v/>
      </c>
      <c r="L486" s="19" t="str">
        <f t="shared" si="61"/>
        <v/>
      </c>
      <c r="M486" s="12" t="str">
        <f>IF(A486="","",IFERROR(INDEX(المدخلات!$M$4:$M$15,MATCH(A486,المدخلات!$L$4:$L$15,0)),""))</f>
        <v/>
      </c>
      <c r="N486" s="4" t="str">
        <f t="shared" si="62"/>
        <v/>
      </c>
      <c r="O486" s="4" t="str">
        <f t="shared" si="63"/>
        <v/>
      </c>
    </row>
    <row r="487" spans="1:15">
      <c r="A487" s="11"/>
      <c r="B487" s="19"/>
      <c r="C487" s="19"/>
      <c r="D487" s="55"/>
      <c r="E487" s="56"/>
      <c r="F487" s="19"/>
      <c r="G487" s="4" t="str">
        <f t="shared" si="56"/>
        <v/>
      </c>
      <c r="H487" s="11" t="str">
        <f t="shared" si="57"/>
        <v/>
      </c>
      <c r="I487" s="55" t="str">
        <f t="shared" si="58"/>
        <v/>
      </c>
      <c r="J487" s="55" t="str">
        <f t="shared" si="59"/>
        <v/>
      </c>
      <c r="K487" s="4" t="str">
        <f t="shared" si="60"/>
        <v/>
      </c>
      <c r="L487" s="19" t="str">
        <f t="shared" si="61"/>
        <v/>
      </c>
      <c r="M487" s="12" t="str">
        <f>IF(A487="","",IFERROR(INDEX(المدخلات!$M$4:$M$15,MATCH(A487,المدخلات!$L$4:$L$15,0)),""))</f>
        <v/>
      </c>
      <c r="N487" s="4" t="str">
        <f t="shared" si="62"/>
        <v/>
      </c>
      <c r="O487" s="4" t="str">
        <f t="shared" si="63"/>
        <v/>
      </c>
    </row>
    <row r="488" spans="1:15">
      <c r="A488" s="11"/>
      <c r="B488" s="19"/>
      <c r="C488" s="19"/>
      <c r="D488" s="55"/>
      <c r="E488" s="56"/>
      <c r="F488" s="19"/>
      <c r="G488" s="4" t="str">
        <f t="shared" si="56"/>
        <v/>
      </c>
      <c r="H488" s="11" t="str">
        <f t="shared" si="57"/>
        <v/>
      </c>
      <c r="I488" s="55" t="str">
        <f t="shared" si="58"/>
        <v/>
      </c>
      <c r="J488" s="55" t="str">
        <f t="shared" si="59"/>
        <v/>
      </c>
      <c r="K488" s="4" t="str">
        <f t="shared" si="60"/>
        <v/>
      </c>
      <c r="L488" s="19" t="str">
        <f t="shared" si="61"/>
        <v/>
      </c>
      <c r="M488" s="12" t="str">
        <f>IF(A488="","",IFERROR(INDEX(المدخلات!$M$4:$M$15,MATCH(A488,المدخلات!$L$4:$L$15,0)),""))</f>
        <v/>
      </c>
      <c r="N488" s="4" t="str">
        <f t="shared" si="62"/>
        <v/>
      </c>
      <c r="O488" s="4" t="str">
        <f t="shared" si="63"/>
        <v/>
      </c>
    </row>
    <row r="489" spans="1:15">
      <c r="A489" s="11"/>
      <c r="B489" s="19"/>
      <c r="C489" s="19"/>
      <c r="D489" s="55"/>
      <c r="E489" s="56"/>
      <c r="F489" s="19"/>
      <c r="G489" s="4" t="str">
        <f t="shared" si="56"/>
        <v/>
      </c>
      <c r="H489" s="11" t="str">
        <f t="shared" si="57"/>
        <v/>
      </c>
      <c r="I489" s="55" t="str">
        <f t="shared" si="58"/>
        <v/>
      </c>
      <c r="J489" s="55" t="str">
        <f t="shared" si="59"/>
        <v/>
      </c>
      <c r="K489" s="4" t="str">
        <f t="shared" si="60"/>
        <v/>
      </c>
      <c r="L489" s="19" t="str">
        <f t="shared" si="61"/>
        <v/>
      </c>
      <c r="M489" s="12" t="str">
        <f>IF(A489="","",IFERROR(INDEX(المدخلات!$M$4:$M$15,MATCH(A489,المدخلات!$L$4:$L$15,0)),""))</f>
        <v/>
      </c>
      <c r="N489" s="4" t="str">
        <f t="shared" si="62"/>
        <v/>
      </c>
      <c r="O489" s="4" t="str">
        <f t="shared" si="63"/>
        <v/>
      </c>
    </row>
    <row r="490" spans="1:15">
      <c r="A490" s="11"/>
      <c r="B490" s="19"/>
      <c r="C490" s="19"/>
      <c r="D490" s="55"/>
      <c r="E490" s="56"/>
      <c r="F490" s="19"/>
      <c r="G490" s="4" t="str">
        <f t="shared" si="56"/>
        <v/>
      </c>
      <c r="H490" s="11" t="str">
        <f t="shared" si="57"/>
        <v/>
      </c>
      <c r="I490" s="55" t="str">
        <f t="shared" si="58"/>
        <v/>
      </c>
      <c r="J490" s="55" t="str">
        <f t="shared" si="59"/>
        <v/>
      </c>
      <c r="K490" s="4" t="str">
        <f t="shared" si="60"/>
        <v/>
      </c>
      <c r="L490" s="19" t="str">
        <f t="shared" si="61"/>
        <v/>
      </c>
      <c r="M490" s="12" t="str">
        <f>IF(A490="","",IFERROR(INDEX(المدخلات!$M$4:$M$15,MATCH(A490,المدخلات!$L$4:$L$15,0)),""))</f>
        <v/>
      </c>
      <c r="N490" s="4" t="str">
        <f t="shared" si="62"/>
        <v/>
      </c>
      <c r="O490" s="4" t="str">
        <f t="shared" si="63"/>
        <v/>
      </c>
    </row>
    <row r="491" spans="1:15">
      <c r="A491" s="11"/>
      <c r="B491" s="19"/>
      <c r="C491" s="19"/>
      <c r="D491" s="55"/>
      <c r="E491" s="56"/>
      <c r="F491" s="19"/>
      <c r="G491" s="4" t="str">
        <f t="shared" si="56"/>
        <v/>
      </c>
      <c r="H491" s="11" t="str">
        <f t="shared" si="57"/>
        <v/>
      </c>
      <c r="I491" s="55" t="str">
        <f t="shared" si="58"/>
        <v/>
      </c>
      <c r="J491" s="55" t="str">
        <f t="shared" si="59"/>
        <v/>
      </c>
      <c r="K491" s="4" t="str">
        <f t="shared" si="60"/>
        <v/>
      </c>
      <c r="L491" s="19" t="str">
        <f t="shared" si="61"/>
        <v/>
      </c>
      <c r="M491" s="12" t="str">
        <f>IF(A491="","",IFERROR(INDEX(المدخلات!$M$4:$M$15,MATCH(A491,المدخلات!$L$4:$L$15,0)),""))</f>
        <v/>
      </c>
      <c r="N491" s="4" t="str">
        <f t="shared" si="62"/>
        <v/>
      </c>
      <c r="O491" s="4" t="str">
        <f t="shared" si="63"/>
        <v/>
      </c>
    </row>
    <row r="492" spans="1:15">
      <c r="A492" s="11"/>
      <c r="B492" s="19"/>
      <c r="C492" s="19"/>
      <c r="D492" s="55"/>
      <c r="E492" s="56"/>
      <c r="F492" s="19"/>
      <c r="G492" s="4" t="str">
        <f t="shared" si="56"/>
        <v/>
      </c>
      <c r="H492" s="11" t="str">
        <f t="shared" si="57"/>
        <v/>
      </c>
      <c r="I492" s="55" t="str">
        <f t="shared" si="58"/>
        <v/>
      </c>
      <c r="J492" s="55" t="str">
        <f t="shared" si="59"/>
        <v/>
      </c>
      <c r="K492" s="4" t="str">
        <f t="shared" si="60"/>
        <v/>
      </c>
      <c r="L492" s="19" t="str">
        <f t="shared" si="61"/>
        <v/>
      </c>
      <c r="M492" s="12" t="str">
        <f>IF(A492="","",IFERROR(INDEX(المدخلات!$M$4:$M$15,MATCH(A492,المدخلات!$L$4:$L$15,0)),""))</f>
        <v/>
      </c>
      <c r="N492" s="4" t="str">
        <f t="shared" si="62"/>
        <v/>
      </c>
      <c r="O492" s="4" t="str">
        <f t="shared" si="63"/>
        <v/>
      </c>
    </row>
    <row r="493" spans="1:15">
      <c r="A493" s="11"/>
      <c r="B493" s="19"/>
      <c r="C493" s="19"/>
      <c r="D493" s="55"/>
      <c r="E493" s="56"/>
      <c r="F493" s="19"/>
      <c r="G493" s="4" t="str">
        <f t="shared" si="56"/>
        <v/>
      </c>
      <c r="H493" s="11" t="str">
        <f t="shared" si="57"/>
        <v/>
      </c>
      <c r="I493" s="55" t="str">
        <f t="shared" si="58"/>
        <v/>
      </c>
      <c r="J493" s="55" t="str">
        <f t="shared" si="59"/>
        <v/>
      </c>
      <c r="K493" s="4" t="str">
        <f t="shared" si="60"/>
        <v/>
      </c>
      <c r="L493" s="19" t="str">
        <f t="shared" si="61"/>
        <v/>
      </c>
      <c r="M493" s="12" t="str">
        <f>IF(A493="","",IFERROR(INDEX(المدخلات!$M$4:$M$15,MATCH(A493,المدخلات!$L$4:$L$15,0)),""))</f>
        <v/>
      </c>
      <c r="N493" s="4" t="str">
        <f t="shared" si="62"/>
        <v/>
      </c>
      <c r="O493" s="4" t="str">
        <f t="shared" si="63"/>
        <v/>
      </c>
    </row>
    <row r="494" spans="1:15">
      <c r="A494" s="11"/>
      <c r="B494" s="19"/>
      <c r="C494" s="19"/>
      <c r="D494" s="55"/>
      <c r="E494" s="56"/>
      <c r="F494" s="19"/>
      <c r="G494" s="4" t="str">
        <f t="shared" si="56"/>
        <v/>
      </c>
      <c r="H494" s="11" t="str">
        <f t="shared" si="57"/>
        <v/>
      </c>
      <c r="I494" s="55" t="str">
        <f t="shared" si="58"/>
        <v/>
      </c>
      <c r="J494" s="55" t="str">
        <f t="shared" si="59"/>
        <v/>
      </c>
      <c r="K494" s="4" t="str">
        <f t="shared" si="60"/>
        <v/>
      </c>
      <c r="L494" s="19" t="str">
        <f t="shared" si="61"/>
        <v/>
      </c>
      <c r="M494" s="12" t="str">
        <f>IF(A494="","",IFERROR(INDEX(المدخلات!$M$4:$M$15,MATCH(A494,المدخلات!$L$4:$L$15,0)),""))</f>
        <v/>
      </c>
      <c r="N494" s="4" t="str">
        <f t="shared" si="62"/>
        <v/>
      </c>
      <c r="O494" s="4" t="str">
        <f t="shared" si="63"/>
        <v/>
      </c>
    </row>
    <row r="495" spans="1:15">
      <c r="A495" s="11"/>
      <c r="B495" s="19"/>
      <c r="C495" s="19"/>
      <c r="D495" s="55"/>
      <c r="E495" s="56"/>
      <c r="F495" s="19"/>
      <c r="G495" s="4" t="str">
        <f t="shared" si="56"/>
        <v/>
      </c>
      <c r="H495" s="11" t="str">
        <f t="shared" si="57"/>
        <v/>
      </c>
      <c r="I495" s="55" t="str">
        <f t="shared" si="58"/>
        <v/>
      </c>
      <c r="J495" s="55" t="str">
        <f t="shared" si="59"/>
        <v/>
      </c>
      <c r="K495" s="4" t="str">
        <f t="shared" si="60"/>
        <v/>
      </c>
      <c r="L495" s="19" t="str">
        <f t="shared" si="61"/>
        <v/>
      </c>
      <c r="M495" s="12" t="str">
        <f>IF(A495="","",IFERROR(INDEX(المدخلات!$M$4:$M$15,MATCH(A495,المدخلات!$L$4:$L$15,0)),""))</f>
        <v/>
      </c>
      <c r="N495" s="4" t="str">
        <f t="shared" si="62"/>
        <v/>
      </c>
      <c r="O495" s="4" t="str">
        <f t="shared" si="63"/>
        <v/>
      </c>
    </row>
    <row r="496" spans="1:15">
      <c r="A496" s="11"/>
      <c r="B496" s="19"/>
      <c r="C496" s="19"/>
      <c r="D496" s="55"/>
      <c r="E496" s="56"/>
      <c r="F496" s="19"/>
      <c r="G496" s="4" t="str">
        <f t="shared" si="56"/>
        <v/>
      </c>
      <c r="H496" s="11" t="str">
        <f t="shared" si="57"/>
        <v/>
      </c>
      <c r="I496" s="55" t="str">
        <f t="shared" si="58"/>
        <v/>
      </c>
      <c r="J496" s="55" t="str">
        <f t="shared" si="59"/>
        <v/>
      </c>
      <c r="K496" s="4" t="str">
        <f t="shared" si="60"/>
        <v/>
      </c>
      <c r="L496" s="19" t="str">
        <f t="shared" si="61"/>
        <v/>
      </c>
      <c r="M496" s="12" t="str">
        <f>IF(A496="","",IFERROR(INDEX(المدخلات!$M$4:$M$15,MATCH(A496,المدخلات!$L$4:$L$15,0)),""))</f>
        <v/>
      </c>
      <c r="N496" s="4" t="str">
        <f t="shared" si="62"/>
        <v/>
      </c>
      <c r="O496" s="4" t="str">
        <f t="shared" si="63"/>
        <v/>
      </c>
    </row>
    <row r="497" spans="1:15">
      <c r="A497" s="11"/>
      <c r="B497" s="19"/>
      <c r="C497" s="19"/>
      <c r="D497" s="55"/>
      <c r="E497" s="56"/>
      <c r="F497" s="19"/>
      <c r="G497" s="4" t="str">
        <f t="shared" si="56"/>
        <v/>
      </c>
      <c r="H497" s="11" t="str">
        <f t="shared" si="57"/>
        <v/>
      </c>
      <c r="I497" s="55" t="str">
        <f t="shared" si="58"/>
        <v/>
      </c>
      <c r="J497" s="55" t="str">
        <f t="shared" si="59"/>
        <v/>
      </c>
      <c r="K497" s="4" t="str">
        <f t="shared" si="60"/>
        <v/>
      </c>
      <c r="L497" s="19" t="str">
        <f t="shared" si="61"/>
        <v/>
      </c>
      <c r="M497" s="12" t="str">
        <f>IF(A497="","",IFERROR(INDEX(المدخلات!$M$4:$M$15,MATCH(A497,المدخلات!$L$4:$L$15,0)),""))</f>
        <v/>
      </c>
      <c r="N497" s="4" t="str">
        <f t="shared" si="62"/>
        <v/>
      </c>
      <c r="O497" s="4" t="str">
        <f t="shared" si="63"/>
        <v/>
      </c>
    </row>
    <row r="498" spans="1:15">
      <c r="A498" s="11"/>
      <c r="B498" s="19"/>
      <c r="C498" s="19"/>
      <c r="D498" s="55"/>
      <c r="E498" s="56"/>
      <c r="F498" s="19"/>
      <c r="G498" s="4" t="str">
        <f t="shared" si="56"/>
        <v/>
      </c>
      <c r="H498" s="11" t="str">
        <f t="shared" si="57"/>
        <v/>
      </c>
      <c r="I498" s="55" t="str">
        <f t="shared" si="58"/>
        <v/>
      </c>
      <c r="J498" s="55" t="str">
        <f t="shared" si="59"/>
        <v/>
      </c>
      <c r="K498" s="4" t="str">
        <f t="shared" si="60"/>
        <v/>
      </c>
      <c r="L498" s="19" t="str">
        <f t="shared" si="61"/>
        <v/>
      </c>
      <c r="M498" s="12" t="str">
        <f>IF(A498="","",IFERROR(INDEX(المدخلات!$M$4:$M$15,MATCH(A498,المدخلات!$L$4:$L$15,0)),""))</f>
        <v/>
      </c>
      <c r="N498" s="4" t="str">
        <f t="shared" si="62"/>
        <v/>
      </c>
      <c r="O498" s="4" t="str">
        <f t="shared" si="63"/>
        <v/>
      </c>
    </row>
    <row r="499" spans="1:15">
      <c r="A499" s="11"/>
      <c r="B499" s="19"/>
      <c r="C499" s="19"/>
      <c r="D499" s="55"/>
      <c r="E499" s="56"/>
      <c r="F499" s="19"/>
      <c r="G499" s="4" t="str">
        <f t="shared" si="56"/>
        <v/>
      </c>
      <c r="H499" s="11" t="str">
        <f t="shared" si="57"/>
        <v/>
      </c>
      <c r="I499" s="55" t="str">
        <f t="shared" si="58"/>
        <v/>
      </c>
      <c r="J499" s="55" t="str">
        <f t="shared" si="59"/>
        <v/>
      </c>
      <c r="K499" s="4" t="str">
        <f t="shared" si="60"/>
        <v/>
      </c>
      <c r="L499" s="19" t="str">
        <f t="shared" si="61"/>
        <v/>
      </c>
      <c r="M499" s="12" t="str">
        <f>IF(A499="","",IFERROR(INDEX(المدخلات!$M$4:$M$15,MATCH(A499,المدخلات!$L$4:$L$15,0)),""))</f>
        <v/>
      </c>
      <c r="N499" s="4" t="str">
        <f t="shared" si="62"/>
        <v/>
      </c>
      <c r="O499" s="4" t="str">
        <f t="shared" si="63"/>
        <v/>
      </c>
    </row>
    <row r="500" spans="1:15">
      <c r="A500" s="11"/>
      <c r="B500" s="19"/>
      <c r="C500" s="19"/>
      <c r="D500" s="55"/>
      <c r="E500" s="56"/>
      <c r="F500" s="19"/>
      <c r="G500" s="4" t="str">
        <f t="shared" si="56"/>
        <v/>
      </c>
      <c r="H500" s="11" t="str">
        <f t="shared" si="57"/>
        <v/>
      </c>
      <c r="I500" s="55" t="str">
        <f t="shared" si="58"/>
        <v/>
      </c>
      <c r="J500" s="55" t="str">
        <f t="shared" si="59"/>
        <v/>
      </c>
      <c r="K500" s="4" t="str">
        <f t="shared" si="60"/>
        <v/>
      </c>
      <c r="L500" s="19" t="str">
        <f t="shared" si="61"/>
        <v/>
      </c>
      <c r="M500" s="12" t="str">
        <f>IF(A500="","",IFERROR(INDEX(المدخلات!$M$4:$M$15,MATCH(A500,المدخلات!$L$4:$L$15,0)),""))</f>
        <v/>
      </c>
      <c r="N500" s="4" t="str">
        <f t="shared" si="62"/>
        <v/>
      </c>
      <c r="O500" s="4" t="str">
        <f t="shared" si="63"/>
        <v/>
      </c>
    </row>
    <row r="501" spans="1:15">
      <c r="A501" s="11"/>
      <c r="B501" s="19"/>
      <c r="C501" s="19"/>
      <c r="D501" s="55"/>
      <c r="E501" s="56"/>
      <c r="F501" s="19"/>
      <c r="G501" s="4" t="str">
        <f t="shared" si="56"/>
        <v/>
      </c>
      <c r="H501" s="11" t="str">
        <f t="shared" si="57"/>
        <v/>
      </c>
      <c r="I501" s="55" t="str">
        <f t="shared" si="58"/>
        <v/>
      </c>
      <c r="J501" s="55" t="str">
        <f t="shared" si="59"/>
        <v/>
      </c>
      <c r="K501" s="4" t="str">
        <f t="shared" si="60"/>
        <v/>
      </c>
      <c r="L501" s="19" t="str">
        <f t="shared" si="61"/>
        <v/>
      </c>
      <c r="M501" s="12" t="str">
        <f>IF(A501="","",IFERROR(INDEX(المدخلات!$M$4:$M$15,MATCH(A501,المدخلات!$L$4:$L$15,0)),""))</f>
        <v/>
      </c>
      <c r="N501" s="4" t="str">
        <f t="shared" si="62"/>
        <v/>
      </c>
      <c r="O501" s="4" t="str">
        <f t="shared" si="63"/>
        <v/>
      </c>
    </row>
    <row r="502" spans="1:15">
      <c r="A502" s="11"/>
      <c r="B502" s="19"/>
      <c r="C502" s="19"/>
      <c r="D502" s="55"/>
      <c r="E502" s="56"/>
      <c r="F502" s="19"/>
      <c r="G502" s="4" t="str">
        <f t="shared" si="56"/>
        <v/>
      </c>
      <c r="H502" s="11" t="str">
        <f t="shared" si="57"/>
        <v/>
      </c>
      <c r="I502" s="55" t="str">
        <f t="shared" si="58"/>
        <v/>
      </c>
      <c r="J502" s="55" t="str">
        <f t="shared" si="59"/>
        <v/>
      </c>
      <c r="K502" s="4" t="str">
        <f t="shared" si="60"/>
        <v/>
      </c>
      <c r="L502" s="19" t="str">
        <f t="shared" si="61"/>
        <v/>
      </c>
      <c r="M502" s="12" t="str">
        <f>IF(A502="","",IFERROR(INDEX(المدخلات!$M$4:$M$15,MATCH(A502,المدخلات!$L$4:$L$15,0)),""))</f>
        <v/>
      </c>
      <c r="N502" s="4" t="str">
        <f t="shared" si="62"/>
        <v/>
      </c>
      <c r="O502" s="4" t="str">
        <f t="shared" si="63"/>
        <v/>
      </c>
    </row>
    <row r="503" spans="1:15">
      <c r="A503" s="11"/>
      <c r="B503" s="19"/>
      <c r="C503" s="19"/>
      <c r="D503" s="55"/>
      <c r="E503" s="56"/>
      <c r="F503" s="19"/>
      <c r="G503" s="4" t="str">
        <f t="shared" si="56"/>
        <v/>
      </c>
      <c r="H503" s="11" t="str">
        <f t="shared" si="57"/>
        <v/>
      </c>
      <c r="I503" s="55" t="str">
        <f t="shared" si="58"/>
        <v/>
      </c>
      <c r="J503" s="55" t="str">
        <f t="shared" si="59"/>
        <v/>
      </c>
      <c r="K503" s="4" t="str">
        <f t="shared" si="60"/>
        <v/>
      </c>
      <c r="L503" s="19" t="str">
        <f t="shared" si="61"/>
        <v/>
      </c>
      <c r="M503" s="12" t="str">
        <f>IF(A503="","",IFERROR(INDEX(المدخلات!$M$4:$M$15,MATCH(A503,المدخلات!$L$4:$L$15,0)),""))</f>
        <v/>
      </c>
      <c r="N503" s="4" t="str">
        <f t="shared" si="62"/>
        <v/>
      </c>
      <c r="O503" s="4" t="str">
        <f t="shared" si="63"/>
        <v/>
      </c>
    </row>
    <row r="504" spans="1:15">
      <c r="A504" s="11"/>
      <c r="B504" s="19"/>
      <c r="C504" s="19"/>
      <c r="D504" s="55"/>
      <c r="E504" s="56"/>
      <c r="F504" s="19"/>
      <c r="G504" s="4" t="str">
        <f t="shared" si="56"/>
        <v/>
      </c>
      <c r="H504" s="11" t="str">
        <f t="shared" si="57"/>
        <v/>
      </c>
      <c r="I504" s="55" t="str">
        <f t="shared" si="58"/>
        <v/>
      </c>
      <c r="J504" s="55" t="str">
        <f t="shared" si="59"/>
        <v/>
      </c>
      <c r="K504" s="4" t="str">
        <f t="shared" si="60"/>
        <v/>
      </c>
      <c r="L504" s="19" t="str">
        <f t="shared" si="61"/>
        <v/>
      </c>
      <c r="M504" s="12" t="str">
        <f>IF(A504="","",IFERROR(INDEX(المدخلات!$M$4:$M$15,MATCH(A504,المدخلات!$L$4:$L$15,0)),""))</f>
        <v/>
      </c>
      <c r="N504" s="4" t="str">
        <f t="shared" si="62"/>
        <v/>
      </c>
      <c r="O504" s="4" t="str">
        <f t="shared" si="63"/>
        <v/>
      </c>
    </row>
    <row r="505" spans="1:15">
      <c r="A505" s="11"/>
      <c r="B505" s="19"/>
      <c r="C505" s="19"/>
      <c r="D505" s="55"/>
      <c r="E505" s="56"/>
      <c r="F505" s="19"/>
      <c r="G505" s="4" t="str">
        <f t="shared" si="56"/>
        <v/>
      </c>
      <c r="H505" s="11" t="str">
        <f t="shared" si="57"/>
        <v/>
      </c>
      <c r="I505" s="55" t="str">
        <f t="shared" si="58"/>
        <v/>
      </c>
      <c r="J505" s="55" t="str">
        <f t="shared" si="59"/>
        <v/>
      </c>
      <c r="K505" s="4" t="str">
        <f t="shared" si="60"/>
        <v/>
      </c>
      <c r="L505" s="19" t="str">
        <f t="shared" si="61"/>
        <v/>
      </c>
      <c r="M505" s="12" t="str">
        <f>IF(A505="","",IFERROR(INDEX(المدخلات!$M$4:$M$15,MATCH(A505,المدخلات!$L$4:$L$15,0)),""))</f>
        <v/>
      </c>
      <c r="N505" s="4" t="str">
        <f t="shared" si="62"/>
        <v/>
      </c>
      <c r="O505" s="4" t="str">
        <f t="shared" si="63"/>
        <v/>
      </c>
    </row>
    <row r="506" spans="1:15">
      <c r="A506" s="11"/>
      <c r="B506" s="19"/>
      <c r="C506" s="19"/>
      <c r="D506" s="55"/>
      <c r="E506" s="56"/>
      <c r="F506" s="19"/>
      <c r="G506" s="4" t="str">
        <f t="shared" si="56"/>
        <v/>
      </c>
      <c r="H506" s="11" t="str">
        <f t="shared" si="57"/>
        <v/>
      </c>
      <c r="I506" s="55" t="str">
        <f t="shared" si="58"/>
        <v/>
      </c>
      <c r="J506" s="55" t="str">
        <f t="shared" si="59"/>
        <v/>
      </c>
      <c r="K506" s="4" t="str">
        <f t="shared" si="60"/>
        <v/>
      </c>
      <c r="L506" s="19" t="str">
        <f t="shared" si="61"/>
        <v/>
      </c>
      <c r="M506" s="12" t="str">
        <f>IF(A506="","",IFERROR(INDEX(المدخلات!$M$4:$M$15,MATCH(A506,المدخلات!$L$4:$L$15,0)),""))</f>
        <v/>
      </c>
      <c r="N506" s="4" t="str">
        <f t="shared" si="62"/>
        <v/>
      </c>
      <c r="O506" s="4" t="str">
        <f t="shared" si="63"/>
        <v/>
      </c>
    </row>
    <row r="507" spans="1:15">
      <c r="A507" s="11"/>
      <c r="B507" s="19"/>
      <c r="C507" s="19"/>
      <c r="D507" s="55"/>
      <c r="E507" s="56"/>
      <c r="F507" s="19"/>
      <c r="G507" s="4" t="str">
        <f t="shared" si="56"/>
        <v/>
      </c>
      <c r="H507" s="11" t="str">
        <f t="shared" si="57"/>
        <v/>
      </c>
      <c r="I507" s="55" t="str">
        <f t="shared" si="58"/>
        <v/>
      </c>
      <c r="J507" s="55" t="str">
        <f t="shared" si="59"/>
        <v/>
      </c>
      <c r="K507" s="4" t="str">
        <f t="shared" si="60"/>
        <v/>
      </c>
      <c r="L507" s="19" t="str">
        <f t="shared" si="61"/>
        <v/>
      </c>
      <c r="M507" s="12" t="str">
        <f>IF(A507="","",IFERROR(INDEX(المدخلات!$M$4:$M$15,MATCH(A507,المدخلات!$L$4:$L$15,0)),""))</f>
        <v/>
      </c>
      <c r="N507" s="4" t="str">
        <f t="shared" si="62"/>
        <v/>
      </c>
      <c r="O507" s="4" t="str">
        <f t="shared" si="63"/>
        <v/>
      </c>
    </row>
    <row r="508" spans="1:15">
      <c r="A508" s="11"/>
      <c r="B508" s="19"/>
      <c r="C508" s="19"/>
      <c r="D508" s="55"/>
      <c r="E508" s="56"/>
      <c r="F508" s="19"/>
      <c r="G508" s="4" t="str">
        <f t="shared" si="56"/>
        <v/>
      </c>
      <c r="H508" s="11" t="str">
        <f t="shared" si="57"/>
        <v/>
      </c>
      <c r="I508" s="55" t="str">
        <f t="shared" si="58"/>
        <v/>
      </c>
      <c r="J508" s="55" t="str">
        <f t="shared" si="59"/>
        <v/>
      </c>
      <c r="K508" s="4" t="str">
        <f t="shared" si="60"/>
        <v/>
      </c>
      <c r="L508" s="19" t="str">
        <f t="shared" si="61"/>
        <v/>
      </c>
      <c r="M508" s="12" t="str">
        <f>IF(A508="","",IFERROR(INDEX(المدخلات!$M$4:$M$15,MATCH(A508,المدخلات!$L$4:$L$15,0)),""))</f>
        <v/>
      </c>
      <c r="N508" s="4" t="str">
        <f t="shared" si="62"/>
        <v/>
      </c>
      <c r="O508" s="4" t="str">
        <f t="shared" si="63"/>
        <v/>
      </c>
    </row>
    <row r="509" spans="1:15">
      <c r="A509" s="11"/>
      <c r="B509" s="19"/>
      <c r="C509" s="19"/>
      <c r="D509" s="55"/>
      <c r="E509" s="56"/>
      <c r="F509" s="19"/>
      <c r="G509" s="4" t="str">
        <f t="shared" si="56"/>
        <v/>
      </c>
      <c r="H509" s="11" t="str">
        <f t="shared" si="57"/>
        <v/>
      </c>
      <c r="I509" s="55" t="str">
        <f t="shared" si="58"/>
        <v/>
      </c>
      <c r="J509" s="55" t="str">
        <f t="shared" si="59"/>
        <v/>
      </c>
      <c r="K509" s="4" t="str">
        <f t="shared" si="60"/>
        <v/>
      </c>
      <c r="L509" s="19" t="str">
        <f t="shared" si="61"/>
        <v/>
      </c>
      <c r="M509" s="12" t="str">
        <f>IF(A509="","",IFERROR(INDEX(المدخلات!$M$4:$M$15,MATCH(A509,المدخلات!$L$4:$L$15,0)),""))</f>
        <v/>
      </c>
      <c r="N509" s="4" t="str">
        <f t="shared" si="62"/>
        <v/>
      </c>
      <c r="O509" s="4" t="str">
        <f t="shared" si="63"/>
        <v/>
      </c>
    </row>
    <row r="510" spans="1:15">
      <c r="A510" s="11"/>
      <c r="B510" s="19"/>
      <c r="C510" s="19"/>
      <c r="D510" s="55"/>
      <c r="E510" s="56"/>
      <c r="F510" s="19"/>
      <c r="G510" s="4" t="str">
        <f t="shared" si="56"/>
        <v/>
      </c>
      <c r="H510" s="11" t="str">
        <f t="shared" si="57"/>
        <v/>
      </c>
      <c r="I510" s="55" t="str">
        <f t="shared" si="58"/>
        <v/>
      </c>
      <c r="J510" s="55" t="str">
        <f t="shared" si="59"/>
        <v/>
      </c>
      <c r="K510" s="4" t="str">
        <f t="shared" si="60"/>
        <v/>
      </c>
      <c r="L510" s="19" t="str">
        <f t="shared" si="61"/>
        <v/>
      </c>
      <c r="M510" s="12" t="str">
        <f>IF(A510="","",IFERROR(INDEX(المدخلات!$M$4:$M$15,MATCH(A510,المدخلات!$L$4:$L$15,0)),""))</f>
        <v/>
      </c>
      <c r="N510" s="4" t="str">
        <f t="shared" si="62"/>
        <v/>
      </c>
      <c r="O510" s="4" t="str">
        <f t="shared" si="63"/>
        <v/>
      </c>
    </row>
    <row r="511" spans="1:15">
      <c r="A511" s="11"/>
      <c r="B511" s="19"/>
      <c r="C511" s="19"/>
      <c r="D511" s="55"/>
      <c r="E511" s="56"/>
      <c r="F511" s="19"/>
      <c r="G511" s="4" t="str">
        <f t="shared" si="56"/>
        <v/>
      </c>
      <c r="H511" s="11" t="str">
        <f t="shared" si="57"/>
        <v/>
      </c>
      <c r="I511" s="55" t="str">
        <f t="shared" si="58"/>
        <v/>
      </c>
      <c r="J511" s="55" t="str">
        <f t="shared" si="59"/>
        <v/>
      </c>
      <c r="K511" s="4" t="str">
        <f t="shared" si="60"/>
        <v/>
      </c>
      <c r="L511" s="19" t="str">
        <f t="shared" si="61"/>
        <v/>
      </c>
      <c r="M511" s="12" t="str">
        <f>IF(A511="","",IFERROR(INDEX(المدخلات!$M$4:$M$15,MATCH(A511,المدخلات!$L$4:$L$15,0)),""))</f>
        <v/>
      </c>
      <c r="N511" s="4" t="str">
        <f t="shared" si="62"/>
        <v/>
      </c>
      <c r="O511" s="4" t="str">
        <f t="shared" si="63"/>
        <v/>
      </c>
    </row>
    <row r="512" spans="1:15">
      <c r="A512" s="11"/>
      <c r="B512" s="19"/>
      <c r="C512" s="19"/>
      <c r="D512" s="55"/>
      <c r="E512" s="56"/>
      <c r="F512" s="19"/>
      <c r="G512" s="4" t="str">
        <f t="shared" si="56"/>
        <v/>
      </c>
      <c r="H512" s="11" t="str">
        <f t="shared" si="57"/>
        <v/>
      </c>
      <c r="I512" s="55" t="str">
        <f t="shared" si="58"/>
        <v/>
      </c>
      <c r="J512" s="55" t="str">
        <f t="shared" si="59"/>
        <v/>
      </c>
      <c r="K512" s="4" t="str">
        <f t="shared" si="60"/>
        <v/>
      </c>
      <c r="L512" s="19" t="str">
        <f t="shared" si="61"/>
        <v/>
      </c>
      <c r="M512" s="12" t="str">
        <f>IF(A512="","",IFERROR(INDEX(المدخلات!$M$4:$M$15,MATCH(A512,المدخلات!$L$4:$L$15,0)),""))</f>
        <v/>
      </c>
      <c r="N512" s="4" t="str">
        <f t="shared" si="62"/>
        <v/>
      </c>
      <c r="O512" s="4" t="str">
        <f t="shared" si="63"/>
        <v/>
      </c>
    </row>
    <row r="513" spans="1:15">
      <c r="A513" s="11"/>
      <c r="B513" s="19"/>
      <c r="C513" s="19"/>
      <c r="D513" s="55"/>
      <c r="E513" s="56"/>
      <c r="F513" s="19"/>
      <c r="G513" s="4" t="str">
        <f t="shared" si="56"/>
        <v/>
      </c>
      <c r="H513" s="11" t="str">
        <f t="shared" si="57"/>
        <v/>
      </c>
      <c r="I513" s="55" t="str">
        <f t="shared" si="58"/>
        <v/>
      </c>
      <c r="J513" s="55" t="str">
        <f t="shared" si="59"/>
        <v/>
      </c>
      <c r="K513" s="4" t="str">
        <f t="shared" si="60"/>
        <v/>
      </c>
      <c r="L513" s="19" t="str">
        <f t="shared" si="61"/>
        <v/>
      </c>
      <c r="M513" s="12" t="str">
        <f>IF(A513="","",IFERROR(INDEX(المدخلات!$M$4:$M$15,MATCH(A513,المدخلات!$L$4:$L$15,0)),""))</f>
        <v/>
      </c>
      <c r="N513" s="4" t="str">
        <f t="shared" si="62"/>
        <v/>
      </c>
      <c r="O513" s="4" t="str">
        <f t="shared" si="63"/>
        <v/>
      </c>
    </row>
    <row r="514" spans="1:15">
      <c r="A514" s="11"/>
      <c r="B514" s="19"/>
      <c r="C514" s="19"/>
      <c r="D514" s="55"/>
      <c r="E514" s="56"/>
      <c r="F514" s="19"/>
      <c r="G514" s="4" t="str">
        <f t="shared" si="56"/>
        <v/>
      </c>
      <c r="H514" s="11" t="str">
        <f t="shared" si="57"/>
        <v/>
      </c>
      <c r="I514" s="55" t="str">
        <f t="shared" si="58"/>
        <v/>
      </c>
      <c r="J514" s="55" t="str">
        <f t="shared" si="59"/>
        <v/>
      </c>
      <c r="K514" s="4" t="str">
        <f t="shared" si="60"/>
        <v/>
      </c>
      <c r="L514" s="19" t="str">
        <f t="shared" si="61"/>
        <v/>
      </c>
      <c r="M514" s="12" t="str">
        <f>IF(A514="","",IFERROR(INDEX(المدخلات!$M$4:$M$15,MATCH(A514,المدخلات!$L$4:$L$15,0)),""))</f>
        <v/>
      </c>
      <c r="N514" s="4" t="str">
        <f t="shared" si="62"/>
        <v/>
      </c>
      <c r="O514" s="4" t="str">
        <f t="shared" si="63"/>
        <v/>
      </c>
    </row>
    <row r="515" spans="1:15">
      <c r="A515" s="11"/>
      <c r="B515" s="19"/>
      <c r="C515" s="19"/>
      <c r="D515" s="55"/>
      <c r="E515" s="56"/>
      <c r="F515" s="19"/>
      <c r="G515" s="4" t="str">
        <f t="shared" si="56"/>
        <v/>
      </c>
      <c r="H515" s="11" t="str">
        <f t="shared" si="57"/>
        <v/>
      </c>
      <c r="I515" s="55" t="str">
        <f t="shared" si="58"/>
        <v/>
      </c>
      <c r="J515" s="55" t="str">
        <f t="shared" si="59"/>
        <v/>
      </c>
      <c r="K515" s="4" t="str">
        <f t="shared" si="60"/>
        <v/>
      </c>
      <c r="L515" s="19" t="str">
        <f t="shared" si="61"/>
        <v/>
      </c>
      <c r="M515" s="12" t="str">
        <f>IF(A515="","",IFERROR(INDEX(المدخلات!$M$4:$M$15,MATCH(A515,المدخلات!$L$4:$L$15,0)),""))</f>
        <v/>
      </c>
      <c r="N515" s="4" t="str">
        <f t="shared" si="62"/>
        <v/>
      </c>
      <c r="O515" s="4" t="str">
        <f t="shared" si="63"/>
        <v/>
      </c>
    </row>
    <row r="516" spans="1:15">
      <c r="A516" s="11"/>
      <c r="B516" s="19"/>
      <c r="C516" s="19"/>
      <c r="D516" s="55"/>
      <c r="E516" s="56"/>
      <c r="F516" s="19"/>
      <c r="G516" s="4" t="str">
        <f t="shared" si="56"/>
        <v/>
      </c>
      <c r="H516" s="11" t="str">
        <f t="shared" si="57"/>
        <v/>
      </c>
      <c r="I516" s="55" t="str">
        <f t="shared" si="58"/>
        <v/>
      </c>
      <c r="J516" s="55" t="str">
        <f t="shared" si="59"/>
        <v/>
      </c>
      <c r="K516" s="4" t="str">
        <f t="shared" si="60"/>
        <v/>
      </c>
      <c r="L516" s="19" t="str">
        <f t="shared" si="61"/>
        <v/>
      </c>
      <c r="M516" s="12" t="str">
        <f>IF(A516="","",IFERROR(INDEX(المدخلات!$M$4:$M$15,MATCH(A516,المدخلات!$L$4:$L$15,0)),""))</f>
        <v/>
      </c>
      <c r="N516" s="4" t="str">
        <f t="shared" si="62"/>
        <v/>
      </c>
      <c r="O516" s="4" t="str">
        <f t="shared" si="63"/>
        <v/>
      </c>
    </row>
    <row r="517" spans="1:15">
      <c r="A517" s="11"/>
      <c r="B517" s="19"/>
      <c r="C517" s="19"/>
      <c r="D517" s="55"/>
      <c r="E517" s="56"/>
      <c r="F517" s="19"/>
      <c r="G517" s="4" t="str">
        <f t="shared" ref="G517:G580" si="64">IF(OR(D517="",E517=""),"",D517*E517)</f>
        <v/>
      </c>
      <c r="H517" s="11" t="str">
        <f t="shared" ref="H517:H580" si="65">IF(C517="","",IFERROR(_xlfn.MAXIFS($A$5:$A$2003,$C$5:$C$2003,C517,$A$5:$A$2003,"&lt;"&amp;A517),0))</f>
        <v/>
      </c>
      <c r="I517" s="55" t="str">
        <f t="shared" ref="I517:I580" si="66">IF(OR(H517="",H517=0),"",IFERROR(SUMIFS($D$5:$D$2003,$C$5:$C$2003,C517,$A$5:$A$2003,H517),""))</f>
        <v/>
      </c>
      <c r="J517" s="55" t="str">
        <f t="shared" ref="J517:J580" si="67">IF(C517="","",IF(I517="",0,MAX(I517-D517,0)))</f>
        <v/>
      </c>
      <c r="K517" s="4" t="str">
        <f t="shared" ref="K517:K580" si="68">IF(J517="","",J517*E517)</f>
        <v/>
      </c>
      <c r="L517" s="19" t="str">
        <f t="shared" ref="L517:L580" si="69">IF(C517="","",IF(COUNTIFS($A$5:$A$2003,A517,$C$5:$C$2003,C517)&gt;1,"⚠️ مادة مكررة بنفس الشهر",IF(OR(H517="",H517=0),"🆕 أول ظهور لهذه المادة",IF(D517&gt;I517,"ℹ️ زيادة كمية (شراء/تصحيح) - لا تُحتسب استهلاكاً",IF(D517=I517,"➖ لا تغيير","")))))</f>
        <v/>
      </c>
      <c r="M517" s="12" t="str">
        <f>IF(A517="","",IFERROR(INDEX(المدخلات!$M$4:$M$15,MATCH(A517,المدخلات!$L$4:$L$15,0)),""))</f>
        <v/>
      </c>
      <c r="N517" s="4" t="str">
        <f t="shared" ref="N517:N580" si="70">IF(OR(G517="",F517=""),"",IF(F517="دولار أمريكي",IF(M517="","⚠️ لا يوجد سعر صرف",G517*M517),G517))</f>
        <v/>
      </c>
      <c r="O517" s="4" t="str">
        <f t="shared" ref="O517:O580" si="71">IF(OR(K517="",F517=""),"",IF(F517="دولار أمريكي",IF(M517="","⚠️ لا يوجد سعر صرف",K517*M517),K517))</f>
        <v/>
      </c>
    </row>
    <row r="518" spans="1:15">
      <c r="A518" s="11"/>
      <c r="B518" s="19"/>
      <c r="C518" s="19"/>
      <c r="D518" s="55"/>
      <c r="E518" s="56"/>
      <c r="F518" s="19"/>
      <c r="G518" s="4" t="str">
        <f t="shared" si="64"/>
        <v/>
      </c>
      <c r="H518" s="11" t="str">
        <f t="shared" si="65"/>
        <v/>
      </c>
      <c r="I518" s="55" t="str">
        <f t="shared" si="66"/>
        <v/>
      </c>
      <c r="J518" s="55" t="str">
        <f t="shared" si="67"/>
        <v/>
      </c>
      <c r="K518" s="4" t="str">
        <f t="shared" si="68"/>
        <v/>
      </c>
      <c r="L518" s="19" t="str">
        <f t="shared" si="69"/>
        <v/>
      </c>
      <c r="M518" s="12" t="str">
        <f>IF(A518="","",IFERROR(INDEX(المدخلات!$M$4:$M$15,MATCH(A518,المدخلات!$L$4:$L$15,0)),""))</f>
        <v/>
      </c>
      <c r="N518" s="4" t="str">
        <f t="shared" si="70"/>
        <v/>
      </c>
      <c r="O518" s="4" t="str">
        <f t="shared" si="71"/>
        <v/>
      </c>
    </row>
    <row r="519" spans="1:15">
      <c r="A519" s="11"/>
      <c r="B519" s="19"/>
      <c r="C519" s="19"/>
      <c r="D519" s="55"/>
      <c r="E519" s="56"/>
      <c r="F519" s="19"/>
      <c r="G519" s="4" t="str">
        <f t="shared" si="64"/>
        <v/>
      </c>
      <c r="H519" s="11" t="str">
        <f t="shared" si="65"/>
        <v/>
      </c>
      <c r="I519" s="55" t="str">
        <f t="shared" si="66"/>
        <v/>
      </c>
      <c r="J519" s="55" t="str">
        <f t="shared" si="67"/>
        <v/>
      </c>
      <c r="K519" s="4" t="str">
        <f t="shared" si="68"/>
        <v/>
      </c>
      <c r="L519" s="19" t="str">
        <f t="shared" si="69"/>
        <v/>
      </c>
      <c r="M519" s="12" t="str">
        <f>IF(A519="","",IFERROR(INDEX(المدخلات!$M$4:$M$15,MATCH(A519,المدخلات!$L$4:$L$15,0)),""))</f>
        <v/>
      </c>
      <c r="N519" s="4" t="str">
        <f t="shared" si="70"/>
        <v/>
      </c>
      <c r="O519" s="4" t="str">
        <f t="shared" si="71"/>
        <v/>
      </c>
    </row>
    <row r="520" spans="1:15">
      <c r="A520" s="11"/>
      <c r="B520" s="19"/>
      <c r="C520" s="19"/>
      <c r="D520" s="55"/>
      <c r="E520" s="56"/>
      <c r="F520" s="19"/>
      <c r="G520" s="4" t="str">
        <f t="shared" si="64"/>
        <v/>
      </c>
      <c r="H520" s="11" t="str">
        <f t="shared" si="65"/>
        <v/>
      </c>
      <c r="I520" s="55" t="str">
        <f t="shared" si="66"/>
        <v/>
      </c>
      <c r="J520" s="55" t="str">
        <f t="shared" si="67"/>
        <v/>
      </c>
      <c r="K520" s="4" t="str">
        <f t="shared" si="68"/>
        <v/>
      </c>
      <c r="L520" s="19" t="str">
        <f t="shared" si="69"/>
        <v/>
      </c>
      <c r="M520" s="12" t="str">
        <f>IF(A520="","",IFERROR(INDEX(المدخلات!$M$4:$M$15,MATCH(A520,المدخلات!$L$4:$L$15,0)),""))</f>
        <v/>
      </c>
      <c r="N520" s="4" t="str">
        <f t="shared" si="70"/>
        <v/>
      </c>
      <c r="O520" s="4" t="str">
        <f t="shared" si="71"/>
        <v/>
      </c>
    </row>
    <row r="521" spans="1:15">
      <c r="A521" s="11"/>
      <c r="B521" s="19"/>
      <c r="C521" s="19"/>
      <c r="D521" s="55"/>
      <c r="E521" s="56"/>
      <c r="F521" s="19"/>
      <c r="G521" s="4" t="str">
        <f t="shared" si="64"/>
        <v/>
      </c>
      <c r="H521" s="11" t="str">
        <f t="shared" si="65"/>
        <v/>
      </c>
      <c r="I521" s="55" t="str">
        <f t="shared" si="66"/>
        <v/>
      </c>
      <c r="J521" s="55" t="str">
        <f t="shared" si="67"/>
        <v/>
      </c>
      <c r="K521" s="4" t="str">
        <f t="shared" si="68"/>
        <v/>
      </c>
      <c r="L521" s="19" t="str">
        <f t="shared" si="69"/>
        <v/>
      </c>
      <c r="M521" s="12" t="str">
        <f>IF(A521="","",IFERROR(INDEX(المدخلات!$M$4:$M$15,MATCH(A521,المدخلات!$L$4:$L$15,0)),""))</f>
        <v/>
      </c>
      <c r="N521" s="4" t="str">
        <f t="shared" si="70"/>
        <v/>
      </c>
      <c r="O521" s="4" t="str">
        <f t="shared" si="71"/>
        <v/>
      </c>
    </row>
    <row r="522" spans="1:15">
      <c r="A522" s="11"/>
      <c r="B522" s="19"/>
      <c r="C522" s="19"/>
      <c r="D522" s="55"/>
      <c r="E522" s="56"/>
      <c r="F522" s="19"/>
      <c r="G522" s="4" t="str">
        <f t="shared" si="64"/>
        <v/>
      </c>
      <c r="H522" s="11" t="str">
        <f t="shared" si="65"/>
        <v/>
      </c>
      <c r="I522" s="55" t="str">
        <f t="shared" si="66"/>
        <v/>
      </c>
      <c r="J522" s="55" t="str">
        <f t="shared" si="67"/>
        <v/>
      </c>
      <c r="K522" s="4" t="str">
        <f t="shared" si="68"/>
        <v/>
      </c>
      <c r="L522" s="19" t="str">
        <f t="shared" si="69"/>
        <v/>
      </c>
      <c r="M522" s="12" t="str">
        <f>IF(A522="","",IFERROR(INDEX(المدخلات!$M$4:$M$15,MATCH(A522,المدخلات!$L$4:$L$15,0)),""))</f>
        <v/>
      </c>
      <c r="N522" s="4" t="str">
        <f t="shared" si="70"/>
        <v/>
      </c>
      <c r="O522" s="4" t="str">
        <f t="shared" si="71"/>
        <v/>
      </c>
    </row>
    <row r="523" spans="1:15">
      <c r="A523" s="11"/>
      <c r="B523" s="19"/>
      <c r="C523" s="19"/>
      <c r="D523" s="55"/>
      <c r="E523" s="56"/>
      <c r="F523" s="19"/>
      <c r="G523" s="4" t="str">
        <f t="shared" si="64"/>
        <v/>
      </c>
      <c r="H523" s="11" t="str">
        <f t="shared" si="65"/>
        <v/>
      </c>
      <c r="I523" s="55" t="str">
        <f t="shared" si="66"/>
        <v/>
      </c>
      <c r="J523" s="55" t="str">
        <f t="shared" si="67"/>
        <v/>
      </c>
      <c r="K523" s="4" t="str">
        <f t="shared" si="68"/>
        <v/>
      </c>
      <c r="L523" s="19" t="str">
        <f t="shared" si="69"/>
        <v/>
      </c>
      <c r="M523" s="12" t="str">
        <f>IF(A523="","",IFERROR(INDEX(المدخلات!$M$4:$M$15,MATCH(A523,المدخلات!$L$4:$L$15,0)),""))</f>
        <v/>
      </c>
      <c r="N523" s="4" t="str">
        <f t="shared" si="70"/>
        <v/>
      </c>
      <c r="O523" s="4" t="str">
        <f t="shared" si="71"/>
        <v/>
      </c>
    </row>
    <row r="524" spans="1:15">
      <c r="A524" s="11"/>
      <c r="B524" s="19"/>
      <c r="C524" s="19"/>
      <c r="D524" s="55"/>
      <c r="E524" s="56"/>
      <c r="F524" s="19"/>
      <c r="G524" s="4" t="str">
        <f t="shared" si="64"/>
        <v/>
      </c>
      <c r="H524" s="11" t="str">
        <f t="shared" si="65"/>
        <v/>
      </c>
      <c r="I524" s="55" t="str">
        <f t="shared" si="66"/>
        <v/>
      </c>
      <c r="J524" s="55" t="str">
        <f t="shared" si="67"/>
        <v/>
      </c>
      <c r="K524" s="4" t="str">
        <f t="shared" si="68"/>
        <v/>
      </c>
      <c r="L524" s="19" t="str">
        <f t="shared" si="69"/>
        <v/>
      </c>
      <c r="M524" s="12" t="str">
        <f>IF(A524="","",IFERROR(INDEX(المدخلات!$M$4:$M$15,MATCH(A524,المدخلات!$L$4:$L$15,0)),""))</f>
        <v/>
      </c>
      <c r="N524" s="4" t="str">
        <f t="shared" si="70"/>
        <v/>
      </c>
      <c r="O524" s="4" t="str">
        <f t="shared" si="71"/>
        <v/>
      </c>
    </row>
    <row r="525" spans="1:15">
      <c r="A525" s="11"/>
      <c r="B525" s="19"/>
      <c r="C525" s="19"/>
      <c r="D525" s="55"/>
      <c r="E525" s="56"/>
      <c r="F525" s="19"/>
      <c r="G525" s="4" t="str">
        <f t="shared" si="64"/>
        <v/>
      </c>
      <c r="H525" s="11" t="str">
        <f t="shared" si="65"/>
        <v/>
      </c>
      <c r="I525" s="55" t="str">
        <f t="shared" si="66"/>
        <v/>
      </c>
      <c r="J525" s="55" t="str">
        <f t="shared" si="67"/>
        <v/>
      </c>
      <c r="K525" s="4" t="str">
        <f t="shared" si="68"/>
        <v/>
      </c>
      <c r="L525" s="19" t="str">
        <f t="shared" si="69"/>
        <v/>
      </c>
      <c r="M525" s="12" t="str">
        <f>IF(A525="","",IFERROR(INDEX(المدخلات!$M$4:$M$15,MATCH(A525,المدخلات!$L$4:$L$15,0)),""))</f>
        <v/>
      </c>
      <c r="N525" s="4" t="str">
        <f t="shared" si="70"/>
        <v/>
      </c>
      <c r="O525" s="4" t="str">
        <f t="shared" si="71"/>
        <v/>
      </c>
    </row>
    <row r="526" spans="1:15">
      <c r="A526" s="11"/>
      <c r="B526" s="19"/>
      <c r="C526" s="19"/>
      <c r="D526" s="55"/>
      <c r="E526" s="56"/>
      <c r="F526" s="19"/>
      <c r="G526" s="4" t="str">
        <f t="shared" si="64"/>
        <v/>
      </c>
      <c r="H526" s="11" t="str">
        <f t="shared" si="65"/>
        <v/>
      </c>
      <c r="I526" s="55" t="str">
        <f t="shared" si="66"/>
        <v/>
      </c>
      <c r="J526" s="55" t="str">
        <f t="shared" si="67"/>
        <v/>
      </c>
      <c r="K526" s="4" t="str">
        <f t="shared" si="68"/>
        <v/>
      </c>
      <c r="L526" s="19" t="str">
        <f t="shared" si="69"/>
        <v/>
      </c>
      <c r="M526" s="12" t="str">
        <f>IF(A526="","",IFERROR(INDEX(المدخلات!$M$4:$M$15,MATCH(A526,المدخلات!$L$4:$L$15,0)),""))</f>
        <v/>
      </c>
      <c r="N526" s="4" t="str">
        <f t="shared" si="70"/>
        <v/>
      </c>
      <c r="O526" s="4" t="str">
        <f t="shared" si="71"/>
        <v/>
      </c>
    </row>
    <row r="527" spans="1:15">
      <c r="A527" s="11"/>
      <c r="B527" s="19"/>
      <c r="C527" s="19"/>
      <c r="D527" s="55"/>
      <c r="E527" s="56"/>
      <c r="F527" s="19"/>
      <c r="G527" s="4" t="str">
        <f t="shared" si="64"/>
        <v/>
      </c>
      <c r="H527" s="11" t="str">
        <f t="shared" si="65"/>
        <v/>
      </c>
      <c r="I527" s="55" t="str">
        <f t="shared" si="66"/>
        <v/>
      </c>
      <c r="J527" s="55" t="str">
        <f t="shared" si="67"/>
        <v/>
      </c>
      <c r="K527" s="4" t="str">
        <f t="shared" si="68"/>
        <v/>
      </c>
      <c r="L527" s="19" t="str">
        <f t="shared" si="69"/>
        <v/>
      </c>
      <c r="M527" s="12" t="str">
        <f>IF(A527="","",IFERROR(INDEX(المدخلات!$M$4:$M$15,MATCH(A527,المدخلات!$L$4:$L$15,0)),""))</f>
        <v/>
      </c>
      <c r="N527" s="4" t="str">
        <f t="shared" si="70"/>
        <v/>
      </c>
      <c r="O527" s="4" t="str">
        <f t="shared" si="71"/>
        <v/>
      </c>
    </row>
    <row r="528" spans="1:15">
      <c r="A528" s="11"/>
      <c r="B528" s="19"/>
      <c r="C528" s="19"/>
      <c r="D528" s="55"/>
      <c r="E528" s="56"/>
      <c r="F528" s="19"/>
      <c r="G528" s="4" t="str">
        <f t="shared" si="64"/>
        <v/>
      </c>
      <c r="H528" s="11" t="str">
        <f t="shared" si="65"/>
        <v/>
      </c>
      <c r="I528" s="55" t="str">
        <f t="shared" si="66"/>
        <v/>
      </c>
      <c r="J528" s="55" t="str">
        <f t="shared" si="67"/>
        <v/>
      </c>
      <c r="K528" s="4" t="str">
        <f t="shared" si="68"/>
        <v/>
      </c>
      <c r="L528" s="19" t="str">
        <f t="shared" si="69"/>
        <v/>
      </c>
      <c r="M528" s="12" t="str">
        <f>IF(A528="","",IFERROR(INDEX(المدخلات!$M$4:$M$15,MATCH(A528,المدخلات!$L$4:$L$15,0)),""))</f>
        <v/>
      </c>
      <c r="N528" s="4" t="str">
        <f t="shared" si="70"/>
        <v/>
      </c>
      <c r="O528" s="4" t="str">
        <f t="shared" si="71"/>
        <v/>
      </c>
    </row>
    <row r="529" spans="1:15">
      <c r="A529" s="11"/>
      <c r="B529" s="19"/>
      <c r="C529" s="19"/>
      <c r="D529" s="55"/>
      <c r="E529" s="56"/>
      <c r="F529" s="19"/>
      <c r="G529" s="4" t="str">
        <f t="shared" si="64"/>
        <v/>
      </c>
      <c r="H529" s="11" t="str">
        <f t="shared" si="65"/>
        <v/>
      </c>
      <c r="I529" s="55" t="str">
        <f t="shared" si="66"/>
        <v/>
      </c>
      <c r="J529" s="55" t="str">
        <f t="shared" si="67"/>
        <v/>
      </c>
      <c r="K529" s="4" t="str">
        <f t="shared" si="68"/>
        <v/>
      </c>
      <c r="L529" s="19" t="str">
        <f t="shared" si="69"/>
        <v/>
      </c>
      <c r="M529" s="12" t="str">
        <f>IF(A529="","",IFERROR(INDEX(المدخلات!$M$4:$M$15,MATCH(A529,المدخلات!$L$4:$L$15,0)),""))</f>
        <v/>
      </c>
      <c r="N529" s="4" t="str">
        <f t="shared" si="70"/>
        <v/>
      </c>
      <c r="O529" s="4" t="str">
        <f t="shared" si="71"/>
        <v/>
      </c>
    </row>
    <row r="530" spans="1:15">
      <c r="A530" s="11"/>
      <c r="B530" s="19"/>
      <c r="C530" s="19"/>
      <c r="D530" s="55"/>
      <c r="E530" s="56"/>
      <c r="F530" s="19"/>
      <c r="G530" s="4" t="str">
        <f t="shared" si="64"/>
        <v/>
      </c>
      <c r="H530" s="11" t="str">
        <f t="shared" si="65"/>
        <v/>
      </c>
      <c r="I530" s="55" t="str">
        <f t="shared" si="66"/>
        <v/>
      </c>
      <c r="J530" s="55" t="str">
        <f t="shared" si="67"/>
        <v/>
      </c>
      <c r="K530" s="4" t="str">
        <f t="shared" si="68"/>
        <v/>
      </c>
      <c r="L530" s="19" t="str">
        <f t="shared" si="69"/>
        <v/>
      </c>
      <c r="M530" s="12" t="str">
        <f>IF(A530="","",IFERROR(INDEX(المدخلات!$M$4:$M$15,MATCH(A530,المدخلات!$L$4:$L$15,0)),""))</f>
        <v/>
      </c>
      <c r="N530" s="4" t="str">
        <f t="shared" si="70"/>
        <v/>
      </c>
      <c r="O530" s="4" t="str">
        <f t="shared" si="71"/>
        <v/>
      </c>
    </row>
    <row r="531" spans="1:15">
      <c r="A531" s="11"/>
      <c r="B531" s="19"/>
      <c r="C531" s="19"/>
      <c r="D531" s="55"/>
      <c r="E531" s="56"/>
      <c r="F531" s="19"/>
      <c r="G531" s="4" t="str">
        <f t="shared" si="64"/>
        <v/>
      </c>
      <c r="H531" s="11" t="str">
        <f t="shared" si="65"/>
        <v/>
      </c>
      <c r="I531" s="55" t="str">
        <f t="shared" si="66"/>
        <v/>
      </c>
      <c r="J531" s="55" t="str">
        <f t="shared" si="67"/>
        <v/>
      </c>
      <c r="K531" s="4" t="str">
        <f t="shared" si="68"/>
        <v/>
      </c>
      <c r="L531" s="19" t="str">
        <f t="shared" si="69"/>
        <v/>
      </c>
      <c r="M531" s="12" t="str">
        <f>IF(A531="","",IFERROR(INDEX(المدخلات!$M$4:$M$15,MATCH(A531,المدخلات!$L$4:$L$15,0)),""))</f>
        <v/>
      </c>
      <c r="N531" s="4" t="str">
        <f t="shared" si="70"/>
        <v/>
      </c>
      <c r="O531" s="4" t="str">
        <f t="shared" si="71"/>
        <v/>
      </c>
    </row>
    <row r="532" spans="1:15">
      <c r="A532" s="11"/>
      <c r="B532" s="19"/>
      <c r="C532" s="19"/>
      <c r="D532" s="55"/>
      <c r="E532" s="56"/>
      <c r="F532" s="19"/>
      <c r="G532" s="4" t="str">
        <f t="shared" si="64"/>
        <v/>
      </c>
      <c r="H532" s="11" t="str">
        <f t="shared" si="65"/>
        <v/>
      </c>
      <c r="I532" s="55" t="str">
        <f t="shared" si="66"/>
        <v/>
      </c>
      <c r="J532" s="55" t="str">
        <f t="shared" si="67"/>
        <v/>
      </c>
      <c r="K532" s="4" t="str">
        <f t="shared" si="68"/>
        <v/>
      </c>
      <c r="L532" s="19" t="str">
        <f t="shared" si="69"/>
        <v/>
      </c>
      <c r="M532" s="12" t="str">
        <f>IF(A532="","",IFERROR(INDEX(المدخلات!$M$4:$M$15,MATCH(A532,المدخلات!$L$4:$L$15,0)),""))</f>
        <v/>
      </c>
      <c r="N532" s="4" t="str">
        <f t="shared" si="70"/>
        <v/>
      </c>
      <c r="O532" s="4" t="str">
        <f t="shared" si="71"/>
        <v/>
      </c>
    </row>
    <row r="533" spans="1:15">
      <c r="A533" s="11"/>
      <c r="B533" s="19"/>
      <c r="C533" s="19"/>
      <c r="D533" s="55"/>
      <c r="E533" s="56"/>
      <c r="F533" s="19"/>
      <c r="G533" s="4" t="str">
        <f t="shared" si="64"/>
        <v/>
      </c>
      <c r="H533" s="11" t="str">
        <f t="shared" si="65"/>
        <v/>
      </c>
      <c r="I533" s="55" t="str">
        <f t="shared" si="66"/>
        <v/>
      </c>
      <c r="J533" s="55" t="str">
        <f t="shared" si="67"/>
        <v/>
      </c>
      <c r="K533" s="4" t="str">
        <f t="shared" si="68"/>
        <v/>
      </c>
      <c r="L533" s="19" t="str">
        <f t="shared" si="69"/>
        <v/>
      </c>
      <c r="M533" s="12" t="str">
        <f>IF(A533="","",IFERROR(INDEX(المدخلات!$M$4:$M$15,MATCH(A533,المدخلات!$L$4:$L$15,0)),""))</f>
        <v/>
      </c>
      <c r="N533" s="4" t="str">
        <f t="shared" si="70"/>
        <v/>
      </c>
      <c r="O533" s="4" t="str">
        <f t="shared" si="71"/>
        <v/>
      </c>
    </row>
    <row r="534" spans="1:15">
      <c r="A534" s="11"/>
      <c r="B534" s="19"/>
      <c r="C534" s="19"/>
      <c r="D534" s="55"/>
      <c r="E534" s="56"/>
      <c r="F534" s="19"/>
      <c r="G534" s="4" t="str">
        <f t="shared" si="64"/>
        <v/>
      </c>
      <c r="H534" s="11" t="str">
        <f t="shared" si="65"/>
        <v/>
      </c>
      <c r="I534" s="55" t="str">
        <f t="shared" si="66"/>
        <v/>
      </c>
      <c r="J534" s="55" t="str">
        <f t="shared" si="67"/>
        <v/>
      </c>
      <c r="K534" s="4" t="str">
        <f t="shared" si="68"/>
        <v/>
      </c>
      <c r="L534" s="19" t="str">
        <f t="shared" si="69"/>
        <v/>
      </c>
      <c r="M534" s="12" t="str">
        <f>IF(A534="","",IFERROR(INDEX(المدخلات!$M$4:$M$15,MATCH(A534,المدخلات!$L$4:$L$15,0)),""))</f>
        <v/>
      </c>
      <c r="N534" s="4" t="str">
        <f t="shared" si="70"/>
        <v/>
      </c>
      <c r="O534" s="4" t="str">
        <f t="shared" si="71"/>
        <v/>
      </c>
    </row>
    <row r="535" spans="1:15">
      <c r="A535" s="11"/>
      <c r="B535" s="19"/>
      <c r="C535" s="19"/>
      <c r="D535" s="55"/>
      <c r="E535" s="56"/>
      <c r="F535" s="19"/>
      <c r="G535" s="4" t="str">
        <f t="shared" si="64"/>
        <v/>
      </c>
      <c r="H535" s="11" t="str">
        <f t="shared" si="65"/>
        <v/>
      </c>
      <c r="I535" s="55" t="str">
        <f t="shared" si="66"/>
        <v/>
      </c>
      <c r="J535" s="55" t="str">
        <f t="shared" si="67"/>
        <v/>
      </c>
      <c r="K535" s="4" t="str">
        <f t="shared" si="68"/>
        <v/>
      </c>
      <c r="L535" s="19" t="str">
        <f t="shared" si="69"/>
        <v/>
      </c>
      <c r="M535" s="12" t="str">
        <f>IF(A535="","",IFERROR(INDEX(المدخلات!$M$4:$M$15,MATCH(A535,المدخلات!$L$4:$L$15,0)),""))</f>
        <v/>
      </c>
      <c r="N535" s="4" t="str">
        <f t="shared" si="70"/>
        <v/>
      </c>
      <c r="O535" s="4" t="str">
        <f t="shared" si="71"/>
        <v/>
      </c>
    </row>
    <row r="536" spans="1:15">
      <c r="A536" s="11"/>
      <c r="B536" s="19"/>
      <c r="C536" s="19"/>
      <c r="D536" s="55"/>
      <c r="E536" s="56"/>
      <c r="F536" s="19"/>
      <c r="G536" s="4" t="str">
        <f t="shared" si="64"/>
        <v/>
      </c>
      <c r="H536" s="11" t="str">
        <f t="shared" si="65"/>
        <v/>
      </c>
      <c r="I536" s="55" t="str">
        <f t="shared" si="66"/>
        <v/>
      </c>
      <c r="J536" s="55" t="str">
        <f t="shared" si="67"/>
        <v/>
      </c>
      <c r="K536" s="4" t="str">
        <f t="shared" si="68"/>
        <v/>
      </c>
      <c r="L536" s="19" t="str">
        <f t="shared" si="69"/>
        <v/>
      </c>
      <c r="M536" s="12" t="str">
        <f>IF(A536="","",IFERROR(INDEX(المدخلات!$M$4:$M$15,MATCH(A536,المدخلات!$L$4:$L$15,0)),""))</f>
        <v/>
      </c>
      <c r="N536" s="4" t="str">
        <f t="shared" si="70"/>
        <v/>
      </c>
      <c r="O536" s="4" t="str">
        <f t="shared" si="71"/>
        <v/>
      </c>
    </row>
    <row r="537" spans="1:15">
      <c r="A537" s="11"/>
      <c r="B537" s="19"/>
      <c r="C537" s="19"/>
      <c r="D537" s="55"/>
      <c r="E537" s="56"/>
      <c r="F537" s="19"/>
      <c r="G537" s="4" t="str">
        <f t="shared" si="64"/>
        <v/>
      </c>
      <c r="H537" s="11" t="str">
        <f t="shared" si="65"/>
        <v/>
      </c>
      <c r="I537" s="55" t="str">
        <f t="shared" si="66"/>
        <v/>
      </c>
      <c r="J537" s="55" t="str">
        <f t="shared" si="67"/>
        <v/>
      </c>
      <c r="K537" s="4" t="str">
        <f t="shared" si="68"/>
        <v/>
      </c>
      <c r="L537" s="19" t="str">
        <f t="shared" si="69"/>
        <v/>
      </c>
      <c r="M537" s="12" t="str">
        <f>IF(A537="","",IFERROR(INDEX(المدخلات!$M$4:$M$15,MATCH(A537,المدخلات!$L$4:$L$15,0)),""))</f>
        <v/>
      </c>
      <c r="N537" s="4" t="str">
        <f t="shared" si="70"/>
        <v/>
      </c>
      <c r="O537" s="4" t="str">
        <f t="shared" si="71"/>
        <v/>
      </c>
    </row>
    <row r="538" spans="1:15">
      <c r="A538" s="11"/>
      <c r="B538" s="19"/>
      <c r="C538" s="19"/>
      <c r="D538" s="55"/>
      <c r="E538" s="56"/>
      <c r="F538" s="19"/>
      <c r="G538" s="4" t="str">
        <f t="shared" si="64"/>
        <v/>
      </c>
      <c r="H538" s="11" t="str">
        <f t="shared" si="65"/>
        <v/>
      </c>
      <c r="I538" s="55" t="str">
        <f t="shared" si="66"/>
        <v/>
      </c>
      <c r="J538" s="55" t="str">
        <f t="shared" si="67"/>
        <v/>
      </c>
      <c r="K538" s="4" t="str">
        <f t="shared" si="68"/>
        <v/>
      </c>
      <c r="L538" s="19" t="str">
        <f t="shared" si="69"/>
        <v/>
      </c>
      <c r="M538" s="12" t="str">
        <f>IF(A538="","",IFERROR(INDEX(المدخلات!$M$4:$M$15,MATCH(A538,المدخلات!$L$4:$L$15,0)),""))</f>
        <v/>
      </c>
      <c r="N538" s="4" t="str">
        <f t="shared" si="70"/>
        <v/>
      </c>
      <c r="O538" s="4" t="str">
        <f t="shared" si="71"/>
        <v/>
      </c>
    </row>
    <row r="539" spans="1:15">
      <c r="A539" s="11"/>
      <c r="B539" s="19"/>
      <c r="C539" s="19"/>
      <c r="D539" s="55"/>
      <c r="E539" s="56"/>
      <c r="F539" s="19"/>
      <c r="G539" s="4" t="str">
        <f t="shared" si="64"/>
        <v/>
      </c>
      <c r="H539" s="11" t="str">
        <f t="shared" si="65"/>
        <v/>
      </c>
      <c r="I539" s="55" t="str">
        <f t="shared" si="66"/>
        <v/>
      </c>
      <c r="J539" s="55" t="str">
        <f t="shared" si="67"/>
        <v/>
      </c>
      <c r="K539" s="4" t="str">
        <f t="shared" si="68"/>
        <v/>
      </c>
      <c r="L539" s="19" t="str">
        <f t="shared" si="69"/>
        <v/>
      </c>
      <c r="M539" s="12" t="str">
        <f>IF(A539="","",IFERROR(INDEX(المدخلات!$M$4:$M$15,MATCH(A539,المدخلات!$L$4:$L$15,0)),""))</f>
        <v/>
      </c>
      <c r="N539" s="4" t="str">
        <f t="shared" si="70"/>
        <v/>
      </c>
      <c r="O539" s="4" t="str">
        <f t="shared" si="71"/>
        <v/>
      </c>
    </row>
    <row r="540" spans="1:15">
      <c r="A540" s="11"/>
      <c r="B540" s="19"/>
      <c r="C540" s="19"/>
      <c r="D540" s="55"/>
      <c r="E540" s="56"/>
      <c r="F540" s="19"/>
      <c r="G540" s="4" t="str">
        <f t="shared" si="64"/>
        <v/>
      </c>
      <c r="H540" s="11" t="str">
        <f t="shared" si="65"/>
        <v/>
      </c>
      <c r="I540" s="55" t="str">
        <f t="shared" si="66"/>
        <v/>
      </c>
      <c r="J540" s="55" t="str">
        <f t="shared" si="67"/>
        <v/>
      </c>
      <c r="K540" s="4" t="str">
        <f t="shared" si="68"/>
        <v/>
      </c>
      <c r="L540" s="19" t="str">
        <f t="shared" si="69"/>
        <v/>
      </c>
      <c r="M540" s="12" t="str">
        <f>IF(A540="","",IFERROR(INDEX(المدخلات!$M$4:$M$15,MATCH(A540,المدخلات!$L$4:$L$15,0)),""))</f>
        <v/>
      </c>
      <c r="N540" s="4" t="str">
        <f t="shared" si="70"/>
        <v/>
      </c>
      <c r="O540" s="4" t="str">
        <f t="shared" si="71"/>
        <v/>
      </c>
    </row>
    <row r="541" spans="1:15">
      <c r="A541" s="11"/>
      <c r="B541" s="19"/>
      <c r="C541" s="19"/>
      <c r="D541" s="55"/>
      <c r="E541" s="56"/>
      <c r="F541" s="19"/>
      <c r="G541" s="4" t="str">
        <f t="shared" si="64"/>
        <v/>
      </c>
      <c r="H541" s="11" t="str">
        <f t="shared" si="65"/>
        <v/>
      </c>
      <c r="I541" s="55" t="str">
        <f t="shared" si="66"/>
        <v/>
      </c>
      <c r="J541" s="55" t="str">
        <f t="shared" si="67"/>
        <v/>
      </c>
      <c r="K541" s="4" t="str">
        <f t="shared" si="68"/>
        <v/>
      </c>
      <c r="L541" s="19" t="str">
        <f t="shared" si="69"/>
        <v/>
      </c>
      <c r="M541" s="12" t="str">
        <f>IF(A541="","",IFERROR(INDEX(المدخلات!$M$4:$M$15,MATCH(A541,المدخلات!$L$4:$L$15,0)),""))</f>
        <v/>
      </c>
      <c r="N541" s="4" t="str">
        <f t="shared" si="70"/>
        <v/>
      </c>
      <c r="O541" s="4" t="str">
        <f t="shared" si="71"/>
        <v/>
      </c>
    </row>
    <row r="542" spans="1:15">
      <c r="A542" s="11"/>
      <c r="B542" s="19"/>
      <c r="C542" s="19"/>
      <c r="D542" s="55"/>
      <c r="E542" s="56"/>
      <c r="F542" s="19"/>
      <c r="G542" s="4" t="str">
        <f t="shared" si="64"/>
        <v/>
      </c>
      <c r="H542" s="11" t="str">
        <f t="shared" si="65"/>
        <v/>
      </c>
      <c r="I542" s="55" t="str">
        <f t="shared" si="66"/>
        <v/>
      </c>
      <c r="J542" s="55" t="str">
        <f t="shared" si="67"/>
        <v/>
      </c>
      <c r="K542" s="4" t="str">
        <f t="shared" si="68"/>
        <v/>
      </c>
      <c r="L542" s="19" t="str">
        <f t="shared" si="69"/>
        <v/>
      </c>
      <c r="M542" s="12" t="str">
        <f>IF(A542="","",IFERROR(INDEX(المدخلات!$M$4:$M$15,MATCH(A542,المدخلات!$L$4:$L$15,0)),""))</f>
        <v/>
      </c>
      <c r="N542" s="4" t="str">
        <f t="shared" si="70"/>
        <v/>
      </c>
      <c r="O542" s="4" t="str">
        <f t="shared" si="71"/>
        <v/>
      </c>
    </row>
    <row r="543" spans="1:15">
      <c r="A543" s="11"/>
      <c r="B543" s="19"/>
      <c r="C543" s="19"/>
      <c r="D543" s="55"/>
      <c r="E543" s="56"/>
      <c r="F543" s="19"/>
      <c r="G543" s="4" t="str">
        <f t="shared" si="64"/>
        <v/>
      </c>
      <c r="H543" s="11" t="str">
        <f t="shared" si="65"/>
        <v/>
      </c>
      <c r="I543" s="55" t="str">
        <f t="shared" si="66"/>
        <v/>
      </c>
      <c r="J543" s="55" t="str">
        <f t="shared" si="67"/>
        <v/>
      </c>
      <c r="K543" s="4" t="str">
        <f t="shared" si="68"/>
        <v/>
      </c>
      <c r="L543" s="19" t="str">
        <f t="shared" si="69"/>
        <v/>
      </c>
      <c r="M543" s="12" t="str">
        <f>IF(A543="","",IFERROR(INDEX(المدخلات!$M$4:$M$15,MATCH(A543,المدخلات!$L$4:$L$15,0)),""))</f>
        <v/>
      </c>
      <c r="N543" s="4" t="str">
        <f t="shared" si="70"/>
        <v/>
      </c>
      <c r="O543" s="4" t="str">
        <f t="shared" si="71"/>
        <v/>
      </c>
    </row>
    <row r="544" spans="1:15">
      <c r="A544" s="11"/>
      <c r="B544" s="19"/>
      <c r="C544" s="19"/>
      <c r="D544" s="55"/>
      <c r="E544" s="56"/>
      <c r="F544" s="19"/>
      <c r="G544" s="4" t="str">
        <f t="shared" si="64"/>
        <v/>
      </c>
      <c r="H544" s="11" t="str">
        <f t="shared" si="65"/>
        <v/>
      </c>
      <c r="I544" s="55" t="str">
        <f t="shared" si="66"/>
        <v/>
      </c>
      <c r="J544" s="55" t="str">
        <f t="shared" si="67"/>
        <v/>
      </c>
      <c r="K544" s="4" t="str">
        <f t="shared" si="68"/>
        <v/>
      </c>
      <c r="L544" s="19" t="str">
        <f t="shared" si="69"/>
        <v/>
      </c>
      <c r="M544" s="12" t="str">
        <f>IF(A544="","",IFERROR(INDEX(المدخلات!$M$4:$M$15,MATCH(A544,المدخلات!$L$4:$L$15,0)),""))</f>
        <v/>
      </c>
      <c r="N544" s="4" t="str">
        <f t="shared" si="70"/>
        <v/>
      </c>
      <c r="O544" s="4" t="str">
        <f t="shared" si="71"/>
        <v/>
      </c>
    </row>
    <row r="545" spans="1:15">
      <c r="A545" s="11"/>
      <c r="B545" s="19"/>
      <c r="C545" s="19"/>
      <c r="D545" s="55"/>
      <c r="E545" s="56"/>
      <c r="F545" s="19"/>
      <c r="G545" s="4" t="str">
        <f t="shared" si="64"/>
        <v/>
      </c>
      <c r="H545" s="11" t="str">
        <f t="shared" si="65"/>
        <v/>
      </c>
      <c r="I545" s="55" t="str">
        <f t="shared" si="66"/>
        <v/>
      </c>
      <c r="J545" s="55" t="str">
        <f t="shared" si="67"/>
        <v/>
      </c>
      <c r="K545" s="4" t="str">
        <f t="shared" si="68"/>
        <v/>
      </c>
      <c r="L545" s="19" t="str">
        <f t="shared" si="69"/>
        <v/>
      </c>
      <c r="M545" s="12" t="str">
        <f>IF(A545="","",IFERROR(INDEX(المدخلات!$M$4:$M$15,MATCH(A545,المدخلات!$L$4:$L$15,0)),""))</f>
        <v/>
      </c>
      <c r="N545" s="4" t="str">
        <f t="shared" si="70"/>
        <v/>
      </c>
      <c r="O545" s="4" t="str">
        <f t="shared" si="71"/>
        <v/>
      </c>
    </row>
    <row r="546" spans="1:15">
      <c r="A546" s="11"/>
      <c r="B546" s="19"/>
      <c r="C546" s="19"/>
      <c r="D546" s="55"/>
      <c r="E546" s="56"/>
      <c r="F546" s="19"/>
      <c r="G546" s="4" t="str">
        <f t="shared" si="64"/>
        <v/>
      </c>
      <c r="H546" s="11" t="str">
        <f t="shared" si="65"/>
        <v/>
      </c>
      <c r="I546" s="55" t="str">
        <f t="shared" si="66"/>
        <v/>
      </c>
      <c r="J546" s="55" t="str">
        <f t="shared" si="67"/>
        <v/>
      </c>
      <c r="K546" s="4" t="str">
        <f t="shared" si="68"/>
        <v/>
      </c>
      <c r="L546" s="19" t="str">
        <f t="shared" si="69"/>
        <v/>
      </c>
      <c r="M546" s="12" t="str">
        <f>IF(A546="","",IFERROR(INDEX(المدخلات!$M$4:$M$15,MATCH(A546,المدخلات!$L$4:$L$15,0)),""))</f>
        <v/>
      </c>
      <c r="N546" s="4" t="str">
        <f t="shared" si="70"/>
        <v/>
      </c>
      <c r="O546" s="4" t="str">
        <f t="shared" si="71"/>
        <v/>
      </c>
    </row>
    <row r="547" spans="1:15">
      <c r="A547" s="11"/>
      <c r="B547" s="19"/>
      <c r="C547" s="19"/>
      <c r="D547" s="55"/>
      <c r="E547" s="56"/>
      <c r="F547" s="19"/>
      <c r="G547" s="4" t="str">
        <f t="shared" si="64"/>
        <v/>
      </c>
      <c r="H547" s="11" t="str">
        <f t="shared" si="65"/>
        <v/>
      </c>
      <c r="I547" s="55" t="str">
        <f t="shared" si="66"/>
        <v/>
      </c>
      <c r="J547" s="55" t="str">
        <f t="shared" si="67"/>
        <v/>
      </c>
      <c r="K547" s="4" t="str">
        <f t="shared" si="68"/>
        <v/>
      </c>
      <c r="L547" s="19" t="str">
        <f t="shared" si="69"/>
        <v/>
      </c>
      <c r="M547" s="12" t="str">
        <f>IF(A547="","",IFERROR(INDEX(المدخلات!$M$4:$M$15,MATCH(A547,المدخلات!$L$4:$L$15,0)),""))</f>
        <v/>
      </c>
      <c r="N547" s="4" t="str">
        <f t="shared" si="70"/>
        <v/>
      </c>
      <c r="O547" s="4" t="str">
        <f t="shared" si="71"/>
        <v/>
      </c>
    </row>
    <row r="548" spans="1:15">
      <c r="A548" s="11"/>
      <c r="B548" s="19"/>
      <c r="C548" s="19"/>
      <c r="D548" s="55"/>
      <c r="E548" s="56"/>
      <c r="F548" s="19"/>
      <c r="G548" s="4" t="str">
        <f t="shared" si="64"/>
        <v/>
      </c>
      <c r="H548" s="11" t="str">
        <f t="shared" si="65"/>
        <v/>
      </c>
      <c r="I548" s="55" t="str">
        <f t="shared" si="66"/>
        <v/>
      </c>
      <c r="J548" s="55" t="str">
        <f t="shared" si="67"/>
        <v/>
      </c>
      <c r="K548" s="4" t="str">
        <f t="shared" si="68"/>
        <v/>
      </c>
      <c r="L548" s="19" t="str">
        <f t="shared" si="69"/>
        <v/>
      </c>
      <c r="M548" s="12" t="str">
        <f>IF(A548="","",IFERROR(INDEX(المدخلات!$M$4:$M$15,MATCH(A548,المدخلات!$L$4:$L$15,0)),""))</f>
        <v/>
      </c>
      <c r="N548" s="4" t="str">
        <f t="shared" si="70"/>
        <v/>
      </c>
      <c r="O548" s="4" t="str">
        <f t="shared" si="71"/>
        <v/>
      </c>
    </row>
    <row r="549" spans="1:15">
      <c r="A549" s="11"/>
      <c r="B549" s="19"/>
      <c r="C549" s="19"/>
      <c r="D549" s="55"/>
      <c r="E549" s="56"/>
      <c r="F549" s="19"/>
      <c r="G549" s="4" t="str">
        <f t="shared" si="64"/>
        <v/>
      </c>
      <c r="H549" s="11" t="str">
        <f t="shared" si="65"/>
        <v/>
      </c>
      <c r="I549" s="55" t="str">
        <f t="shared" si="66"/>
        <v/>
      </c>
      <c r="J549" s="55" t="str">
        <f t="shared" si="67"/>
        <v/>
      </c>
      <c r="K549" s="4" t="str">
        <f t="shared" si="68"/>
        <v/>
      </c>
      <c r="L549" s="19" t="str">
        <f t="shared" si="69"/>
        <v/>
      </c>
      <c r="M549" s="12" t="str">
        <f>IF(A549="","",IFERROR(INDEX(المدخلات!$M$4:$M$15,MATCH(A549,المدخلات!$L$4:$L$15,0)),""))</f>
        <v/>
      </c>
      <c r="N549" s="4" t="str">
        <f t="shared" si="70"/>
        <v/>
      </c>
      <c r="O549" s="4" t="str">
        <f t="shared" si="71"/>
        <v/>
      </c>
    </row>
    <row r="550" spans="1:15">
      <c r="A550" s="11"/>
      <c r="B550" s="19"/>
      <c r="C550" s="19"/>
      <c r="D550" s="55"/>
      <c r="E550" s="56"/>
      <c r="F550" s="19"/>
      <c r="G550" s="4" t="str">
        <f t="shared" si="64"/>
        <v/>
      </c>
      <c r="H550" s="11" t="str">
        <f t="shared" si="65"/>
        <v/>
      </c>
      <c r="I550" s="55" t="str">
        <f t="shared" si="66"/>
        <v/>
      </c>
      <c r="J550" s="55" t="str">
        <f t="shared" si="67"/>
        <v/>
      </c>
      <c r="K550" s="4" t="str">
        <f t="shared" si="68"/>
        <v/>
      </c>
      <c r="L550" s="19" t="str">
        <f t="shared" si="69"/>
        <v/>
      </c>
      <c r="M550" s="12" t="str">
        <f>IF(A550="","",IFERROR(INDEX(المدخلات!$M$4:$M$15,MATCH(A550,المدخلات!$L$4:$L$15,0)),""))</f>
        <v/>
      </c>
      <c r="N550" s="4" t="str">
        <f t="shared" si="70"/>
        <v/>
      </c>
      <c r="O550" s="4" t="str">
        <f t="shared" si="71"/>
        <v/>
      </c>
    </row>
    <row r="551" spans="1:15">
      <c r="A551" s="11"/>
      <c r="B551" s="19"/>
      <c r="C551" s="19"/>
      <c r="D551" s="55"/>
      <c r="E551" s="56"/>
      <c r="F551" s="19"/>
      <c r="G551" s="4" t="str">
        <f t="shared" si="64"/>
        <v/>
      </c>
      <c r="H551" s="11" t="str">
        <f t="shared" si="65"/>
        <v/>
      </c>
      <c r="I551" s="55" t="str">
        <f t="shared" si="66"/>
        <v/>
      </c>
      <c r="J551" s="55" t="str">
        <f t="shared" si="67"/>
        <v/>
      </c>
      <c r="K551" s="4" t="str">
        <f t="shared" si="68"/>
        <v/>
      </c>
      <c r="L551" s="19" t="str">
        <f t="shared" si="69"/>
        <v/>
      </c>
      <c r="M551" s="12" t="str">
        <f>IF(A551="","",IFERROR(INDEX(المدخلات!$M$4:$M$15,MATCH(A551,المدخلات!$L$4:$L$15,0)),""))</f>
        <v/>
      </c>
      <c r="N551" s="4" t="str">
        <f t="shared" si="70"/>
        <v/>
      </c>
      <c r="O551" s="4" t="str">
        <f t="shared" si="71"/>
        <v/>
      </c>
    </row>
    <row r="552" spans="1:15">
      <c r="A552" s="11"/>
      <c r="B552" s="19"/>
      <c r="C552" s="19"/>
      <c r="D552" s="55"/>
      <c r="E552" s="56"/>
      <c r="F552" s="19"/>
      <c r="G552" s="4" t="str">
        <f t="shared" si="64"/>
        <v/>
      </c>
      <c r="H552" s="11" t="str">
        <f t="shared" si="65"/>
        <v/>
      </c>
      <c r="I552" s="55" t="str">
        <f t="shared" si="66"/>
        <v/>
      </c>
      <c r="J552" s="55" t="str">
        <f t="shared" si="67"/>
        <v/>
      </c>
      <c r="K552" s="4" t="str">
        <f t="shared" si="68"/>
        <v/>
      </c>
      <c r="L552" s="19" t="str">
        <f t="shared" si="69"/>
        <v/>
      </c>
      <c r="M552" s="12" t="str">
        <f>IF(A552="","",IFERROR(INDEX(المدخلات!$M$4:$M$15,MATCH(A552,المدخلات!$L$4:$L$15,0)),""))</f>
        <v/>
      </c>
      <c r="N552" s="4" t="str">
        <f t="shared" si="70"/>
        <v/>
      </c>
      <c r="O552" s="4" t="str">
        <f t="shared" si="71"/>
        <v/>
      </c>
    </row>
    <row r="553" spans="1:15">
      <c r="A553" s="11"/>
      <c r="B553" s="19"/>
      <c r="C553" s="19"/>
      <c r="D553" s="55"/>
      <c r="E553" s="56"/>
      <c r="F553" s="19"/>
      <c r="G553" s="4" t="str">
        <f t="shared" si="64"/>
        <v/>
      </c>
      <c r="H553" s="11" t="str">
        <f t="shared" si="65"/>
        <v/>
      </c>
      <c r="I553" s="55" t="str">
        <f t="shared" si="66"/>
        <v/>
      </c>
      <c r="J553" s="55" t="str">
        <f t="shared" si="67"/>
        <v/>
      </c>
      <c r="K553" s="4" t="str">
        <f t="shared" si="68"/>
        <v/>
      </c>
      <c r="L553" s="19" t="str">
        <f t="shared" si="69"/>
        <v/>
      </c>
      <c r="M553" s="12" t="str">
        <f>IF(A553="","",IFERROR(INDEX(المدخلات!$M$4:$M$15,MATCH(A553,المدخلات!$L$4:$L$15,0)),""))</f>
        <v/>
      </c>
      <c r="N553" s="4" t="str">
        <f t="shared" si="70"/>
        <v/>
      </c>
      <c r="O553" s="4" t="str">
        <f t="shared" si="71"/>
        <v/>
      </c>
    </row>
    <row r="554" spans="1:15">
      <c r="A554" s="11"/>
      <c r="B554" s="19"/>
      <c r="C554" s="19"/>
      <c r="D554" s="55"/>
      <c r="E554" s="56"/>
      <c r="F554" s="19"/>
      <c r="G554" s="4" t="str">
        <f t="shared" si="64"/>
        <v/>
      </c>
      <c r="H554" s="11" t="str">
        <f t="shared" si="65"/>
        <v/>
      </c>
      <c r="I554" s="55" t="str">
        <f t="shared" si="66"/>
        <v/>
      </c>
      <c r="J554" s="55" t="str">
        <f t="shared" si="67"/>
        <v/>
      </c>
      <c r="K554" s="4" t="str">
        <f t="shared" si="68"/>
        <v/>
      </c>
      <c r="L554" s="19" t="str">
        <f t="shared" si="69"/>
        <v/>
      </c>
      <c r="M554" s="12" t="str">
        <f>IF(A554="","",IFERROR(INDEX(المدخلات!$M$4:$M$15,MATCH(A554,المدخلات!$L$4:$L$15,0)),""))</f>
        <v/>
      </c>
      <c r="N554" s="4" t="str">
        <f t="shared" si="70"/>
        <v/>
      </c>
      <c r="O554" s="4" t="str">
        <f t="shared" si="71"/>
        <v/>
      </c>
    </row>
    <row r="555" spans="1:15">
      <c r="A555" s="11"/>
      <c r="B555" s="19"/>
      <c r="C555" s="19"/>
      <c r="D555" s="55"/>
      <c r="E555" s="56"/>
      <c r="F555" s="19"/>
      <c r="G555" s="4" t="str">
        <f t="shared" si="64"/>
        <v/>
      </c>
      <c r="H555" s="11" t="str">
        <f t="shared" si="65"/>
        <v/>
      </c>
      <c r="I555" s="55" t="str">
        <f t="shared" si="66"/>
        <v/>
      </c>
      <c r="J555" s="55" t="str">
        <f t="shared" si="67"/>
        <v/>
      </c>
      <c r="K555" s="4" t="str">
        <f t="shared" si="68"/>
        <v/>
      </c>
      <c r="L555" s="19" t="str">
        <f t="shared" si="69"/>
        <v/>
      </c>
      <c r="M555" s="12" t="str">
        <f>IF(A555="","",IFERROR(INDEX(المدخلات!$M$4:$M$15,MATCH(A555,المدخلات!$L$4:$L$15,0)),""))</f>
        <v/>
      </c>
      <c r="N555" s="4" t="str">
        <f t="shared" si="70"/>
        <v/>
      </c>
      <c r="O555" s="4" t="str">
        <f t="shared" si="71"/>
        <v/>
      </c>
    </row>
    <row r="556" spans="1:15">
      <c r="A556" s="11"/>
      <c r="B556" s="19"/>
      <c r="C556" s="19"/>
      <c r="D556" s="55"/>
      <c r="E556" s="56"/>
      <c r="F556" s="19"/>
      <c r="G556" s="4" t="str">
        <f t="shared" si="64"/>
        <v/>
      </c>
      <c r="H556" s="11" t="str">
        <f t="shared" si="65"/>
        <v/>
      </c>
      <c r="I556" s="55" t="str">
        <f t="shared" si="66"/>
        <v/>
      </c>
      <c r="J556" s="55" t="str">
        <f t="shared" si="67"/>
        <v/>
      </c>
      <c r="K556" s="4" t="str">
        <f t="shared" si="68"/>
        <v/>
      </c>
      <c r="L556" s="19" t="str">
        <f t="shared" si="69"/>
        <v/>
      </c>
      <c r="M556" s="12" t="str">
        <f>IF(A556="","",IFERROR(INDEX(المدخلات!$M$4:$M$15,MATCH(A556,المدخلات!$L$4:$L$15,0)),""))</f>
        <v/>
      </c>
      <c r="N556" s="4" t="str">
        <f t="shared" si="70"/>
        <v/>
      </c>
      <c r="O556" s="4" t="str">
        <f t="shared" si="71"/>
        <v/>
      </c>
    </row>
    <row r="557" spans="1:15">
      <c r="A557" s="11"/>
      <c r="B557" s="19"/>
      <c r="C557" s="19"/>
      <c r="D557" s="55"/>
      <c r="E557" s="56"/>
      <c r="F557" s="19"/>
      <c r="G557" s="4" t="str">
        <f t="shared" si="64"/>
        <v/>
      </c>
      <c r="H557" s="11" t="str">
        <f t="shared" si="65"/>
        <v/>
      </c>
      <c r="I557" s="55" t="str">
        <f t="shared" si="66"/>
        <v/>
      </c>
      <c r="J557" s="55" t="str">
        <f t="shared" si="67"/>
        <v/>
      </c>
      <c r="K557" s="4" t="str">
        <f t="shared" si="68"/>
        <v/>
      </c>
      <c r="L557" s="19" t="str">
        <f t="shared" si="69"/>
        <v/>
      </c>
      <c r="M557" s="12" t="str">
        <f>IF(A557="","",IFERROR(INDEX(المدخلات!$M$4:$M$15,MATCH(A557,المدخلات!$L$4:$L$15,0)),""))</f>
        <v/>
      </c>
      <c r="N557" s="4" t="str">
        <f t="shared" si="70"/>
        <v/>
      </c>
      <c r="O557" s="4" t="str">
        <f t="shared" si="71"/>
        <v/>
      </c>
    </row>
    <row r="558" spans="1:15">
      <c r="A558" s="11"/>
      <c r="B558" s="19"/>
      <c r="C558" s="19"/>
      <c r="D558" s="55"/>
      <c r="E558" s="56"/>
      <c r="F558" s="19"/>
      <c r="G558" s="4" t="str">
        <f t="shared" si="64"/>
        <v/>
      </c>
      <c r="H558" s="11" t="str">
        <f t="shared" si="65"/>
        <v/>
      </c>
      <c r="I558" s="55" t="str">
        <f t="shared" si="66"/>
        <v/>
      </c>
      <c r="J558" s="55" t="str">
        <f t="shared" si="67"/>
        <v/>
      </c>
      <c r="K558" s="4" t="str">
        <f t="shared" si="68"/>
        <v/>
      </c>
      <c r="L558" s="19" t="str">
        <f t="shared" si="69"/>
        <v/>
      </c>
      <c r="M558" s="12" t="str">
        <f>IF(A558="","",IFERROR(INDEX(المدخلات!$M$4:$M$15,MATCH(A558,المدخلات!$L$4:$L$15,0)),""))</f>
        <v/>
      </c>
      <c r="N558" s="4" t="str">
        <f t="shared" si="70"/>
        <v/>
      </c>
      <c r="O558" s="4" t="str">
        <f t="shared" si="71"/>
        <v/>
      </c>
    </row>
    <row r="559" spans="1:15">
      <c r="A559" s="11"/>
      <c r="B559" s="19"/>
      <c r="C559" s="19"/>
      <c r="D559" s="55"/>
      <c r="E559" s="56"/>
      <c r="F559" s="19"/>
      <c r="G559" s="4" t="str">
        <f t="shared" si="64"/>
        <v/>
      </c>
      <c r="H559" s="11" t="str">
        <f t="shared" si="65"/>
        <v/>
      </c>
      <c r="I559" s="55" t="str">
        <f t="shared" si="66"/>
        <v/>
      </c>
      <c r="J559" s="55" t="str">
        <f t="shared" si="67"/>
        <v/>
      </c>
      <c r="K559" s="4" t="str">
        <f t="shared" si="68"/>
        <v/>
      </c>
      <c r="L559" s="19" t="str">
        <f t="shared" si="69"/>
        <v/>
      </c>
      <c r="M559" s="12" t="str">
        <f>IF(A559="","",IFERROR(INDEX(المدخلات!$M$4:$M$15,MATCH(A559,المدخلات!$L$4:$L$15,0)),""))</f>
        <v/>
      </c>
      <c r="N559" s="4" t="str">
        <f t="shared" si="70"/>
        <v/>
      </c>
      <c r="O559" s="4" t="str">
        <f t="shared" si="71"/>
        <v/>
      </c>
    </row>
    <row r="560" spans="1:15">
      <c r="A560" s="11"/>
      <c r="B560" s="19"/>
      <c r="C560" s="19"/>
      <c r="D560" s="55"/>
      <c r="E560" s="56"/>
      <c r="F560" s="19"/>
      <c r="G560" s="4" t="str">
        <f t="shared" si="64"/>
        <v/>
      </c>
      <c r="H560" s="11" t="str">
        <f t="shared" si="65"/>
        <v/>
      </c>
      <c r="I560" s="55" t="str">
        <f t="shared" si="66"/>
        <v/>
      </c>
      <c r="J560" s="55" t="str">
        <f t="shared" si="67"/>
        <v/>
      </c>
      <c r="K560" s="4" t="str">
        <f t="shared" si="68"/>
        <v/>
      </c>
      <c r="L560" s="19" t="str">
        <f t="shared" si="69"/>
        <v/>
      </c>
      <c r="M560" s="12" t="str">
        <f>IF(A560="","",IFERROR(INDEX(المدخلات!$M$4:$M$15,MATCH(A560,المدخلات!$L$4:$L$15,0)),""))</f>
        <v/>
      </c>
      <c r="N560" s="4" t="str">
        <f t="shared" si="70"/>
        <v/>
      </c>
      <c r="O560" s="4" t="str">
        <f t="shared" si="71"/>
        <v/>
      </c>
    </row>
    <row r="561" spans="1:15">
      <c r="A561" s="11"/>
      <c r="B561" s="19"/>
      <c r="C561" s="19"/>
      <c r="D561" s="55"/>
      <c r="E561" s="56"/>
      <c r="F561" s="19"/>
      <c r="G561" s="4" t="str">
        <f t="shared" si="64"/>
        <v/>
      </c>
      <c r="H561" s="11" t="str">
        <f t="shared" si="65"/>
        <v/>
      </c>
      <c r="I561" s="55" t="str">
        <f t="shared" si="66"/>
        <v/>
      </c>
      <c r="J561" s="55" t="str">
        <f t="shared" si="67"/>
        <v/>
      </c>
      <c r="K561" s="4" t="str">
        <f t="shared" si="68"/>
        <v/>
      </c>
      <c r="L561" s="19" t="str">
        <f t="shared" si="69"/>
        <v/>
      </c>
      <c r="M561" s="12" t="str">
        <f>IF(A561="","",IFERROR(INDEX(المدخلات!$M$4:$M$15,MATCH(A561,المدخلات!$L$4:$L$15,0)),""))</f>
        <v/>
      </c>
      <c r="N561" s="4" t="str">
        <f t="shared" si="70"/>
        <v/>
      </c>
      <c r="O561" s="4" t="str">
        <f t="shared" si="71"/>
        <v/>
      </c>
    </row>
    <row r="562" spans="1:15">
      <c r="A562" s="11"/>
      <c r="B562" s="19"/>
      <c r="C562" s="19"/>
      <c r="D562" s="55"/>
      <c r="E562" s="56"/>
      <c r="F562" s="19"/>
      <c r="G562" s="4" t="str">
        <f t="shared" si="64"/>
        <v/>
      </c>
      <c r="H562" s="11" t="str">
        <f t="shared" si="65"/>
        <v/>
      </c>
      <c r="I562" s="55" t="str">
        <f t="shared" si="66"/>
        <v/>
      </c>
      <c r="J562" s="55" t="str">
        <f t="shared" si="67"/>
        <v/>
      </c>
      <c r="K562" s="4" t="str">
        <f t="shared" si="68"/>
        <v/>
      </c>
      <c r="L562" s="19" t="str">
        <f t="shared" si="69"/>
        <v/>
      </c>
      <c r="M562" s="12" t="str">
        <f>IF(A562="","",IFERROR(INDEX(المدخلات!$M$4:$M$15,MATCH(A562,المدخلات!$L$4:$L$15,0)),""))</f>
        <v/>
      </c>
      <c r="N562" s="4" t="str">
        <f t="shared" si="70"/>
        <v/>
      </c>
      <c r="O562" s="4" t="str">
        <f t="shared" si="71"/>
        <v/>
      </c>
    </row>
    <row r="563" spans="1:15">
      <c r="A563" s="11"/>
      <c r="B563" s="19"/>
      <c r="C563" s="19"/>
      <c r="D563" s="55"/>
      <c r="E563" s="56"/>
      <c r="F563" s="19"/>
      <c r="G563" s="4" t="str">
        <f t="shared" si="64"/>
        <v/>
      </c>
      <c r="H563" s="11" t="str">
        <f t="shared" si="65"/>
        <v/>
      </c>
      <c r="I563" s="55" t="str">
        <f t="shared" si="66"/>
        <v/>
      </c>
      <c r="J563" s="55" t="str">
        <f t="shared" si="67"/>
        <v/>
      </c>
      <c r="K563" s="4" t="str">
        <f t="shared" si="68"/>
        <v/>
      </c>
      <c r="L563" s="19" t="str">
        <f t="shared" si="69"/>
        <v/>
      </c>
      <c r="M563" s="12" t="str">
        <f>IF(A563="","",IFERROR(INDEX(المدخلات!$M$4:$M$15,MATCH(A563,المدخلات!$L$4:$L$15,0)),""))</f>
        <v/>
      </c>
      <c r="N563" s="4" t="str">
        <f t="shared" si="70"/>
        <v/>
      </c>
      <c r="O563" s="4" t="str">
        <f t="shared" si="71"/>
        <v/>
      </c>
    </row>
    <row r="564" spans="1:15">
      <c r="A564" s="11"/>
      <c r="B564" s="19"/>
      <c r="C564" s="19"/>
      <c r="D564" s="55"/>
      <c r="E564" s="56"/>
      <c r="F564" s="19"/>
      <c r="G564" s="4" t="str">
        <f t="shared" si="64"/>
        <v/>
      </c>
      <c r="H564" s="11" t="str">
        <f t="shared" si="65"/>
        <v/>
      </c>
      <c r="I564" s="55" t="str">
        <f t="shared" si="66"/>
        <v/>
      </c>
      <c r="J564" s="55" t="str">
        <f t="shared" si="67"/>
        <v/>
      </c>
      <c r="K564" s="4" t="str">
        <f t="shared" si="68"/>
        <v/>
      </c>
      <c r="L564" s="19" t="str">
        <f t="shared" si="69"/>
        <v/>
      </c>
      <c r="M564" s="12" t="str">
        <f>IF(A564="","",IFERROR(INDEX(المدخلات!$M$4:$M$15,MATCH(A564,المدخلات!$L$4:$L$15,0)),""))</f>
        <v/>
      </c>
      <c r="N564" s="4" t="str">
        <f t="shared" si="70"/>
        <v/>
      </c>
      <c r="O564" s="4" t="str">
        <f t="shared" si="71"/>
        <v/>
      </c>
    </row>
    <row r="565" spans="1:15">
      <c r="A565" s="11"/>
      <c r="B565" s="19"/>
      <c r="C565" s="19"/>
      <c r="D565" s="55"/>
      <c r="E565" s="56"/>
      <c r="F565" s="19"/>
      <c r="G565" s="4" t="str">
        <f t="shared" si="64"/>
        <v/>
      </c>
      <c r="H565" s="11" t="str">
        <f t="shared" si="65"/>
        <v/>
      </c>
      <c r="I565" s="55" t="str">
        <f t="shared" si="66"/>
        <v/>
      </c>
      <c r="J565" s="55" t="str">
        <f t="shared" si="67"/>
        <v/>
      </c>
      <c r="K565" s="4" t="str">
        <f t="shared" si="68"/>
        <v/>
      </c>
      <c r="L565" s="19" t="str">
        <f t="shared" si="69"/>
        <v/>
      </c>
      <c r="M565" s="12" t="str">
        <f>IF(A565="","",IFERROR(INDEX(المدخلات!$M$4:$M$15,MATCH(A565,المدخلات!$L$4:$L$15,0)),""))</f>
        <v/>
      </c>
      <c r="N565" s="4" t="str">
        <f t="shared" si="70"/>
        <v/>
      </c>
      <c r="O565" s="4" t="str">
        <f t="shared" si="71"/>
        <v/>
      </c>
    </row>
    <row r="566" spans="1:15">
      <c r="A566" s="11"/>
      <c r="B566" s="19"/>
      <c r="C566" s="19"/>
      <c r="D566" s="55"/>
      <c r="E566" s="56"/>
      <c r="F566" s="19"/>
      <c r="G566" s="4" t="str">
        <f t="shared" si="64"/>
        <v/>
      </c>
      <c r="H566" s="11" t="str">
        <f t="shared" si="65"/>
        <v/>
      </c>
      <c r="I566" s="55" t="str">
        <f t="shared" si="66"/>
        <v/>
      </c>
      <c r="J566" s="55" t="str">
        <f t="shared" si="67"/>
        <v/>
      </c>
      <c r="K566" s="4" t="str">
        <f t="shared" si="68"/>
        <v/>
      </c>
      <c r="L566" s="19" t="str">
        <f t="shared" si="69"/>
        <v/>
      </c>
      <c r="M566" s="12" t="str">
        <f>IF(A566="","",IFERROR(INDEX(المدخلات!$M$4:$M$15,MATCH(A566,المدخلات!$L$4:$L$15,0)),""))</f>
        <v/>
      </c>
      <c r="N566" s="4" t="str">
        <f t="shared" si="70"/>
        <v/>
      </c>
      <c r="O566" s="4" t="str">
        <f t="shared" si="71"/>
        <v/>
      </c>
    </row>
    <row r="567" spans="1:15">
      <c r="A567" s="11"/>
      <c r="B567" s="19"/>
      <c r="C567" s="19"/>
      <c r="D567" s="55"/>
      <c r="E567" s="56"/>
      <c r="F567" s="19"/>
      <c r="G567" s="4" t="str">
        <f t="shared" si="64"/>
        <v/>
      </c>
      <c r="H567" s="11" t="str">
        <f t="shared" si="65"/>
        <v/>
      </c>
      <c r="I567" s="55" t="str">
        <f t="shared" si="66"/>
        <v/>
      </c>
      <c r="J567" s="55" t="str">
        <f t="shared" si="67"/>
        <v/>
      </c>
      <c r="K567" s="4" t="str">
        <f t="shared" si="68"/>
        <v/>
      </c>
      <c r="L567" s="19" t="str">
        <f t="shared" si="69"/>
        <v/>
      </c>
      <c r="M567" s="12" t="str">
        <f>IF(A567="","",IFERROR(INDEX(المدخلات!$M$4:$M$15,MATCH(A567,المدخلات!$L$4:$L$15,0)),""))</f>
        <v/>
      </c>
      <c r="N567" s="4" t="str">
        <f t="shared" si="70"/>
        <v/>
      </c>
      <c r="O567" s="4" t="str">
        <f t="shared" si="71"/>
        <v/>
      </c>
    </row>
    <row r="568" spans="1:15">
      <c r="A568" s="11"/>
      <c r="B568" s="19"/>
      <c r="C568" s="19"/>
      <c r="D568" s="55"/>
      <c r="E568" s="56"/>
      <c r="F568" s="19"/>
      <c r="G568" s="4" t="str">
        <f t="shared" si="64"/>
        <v/>
      </c>
      <c r="H568" s="11" t="str">
        <f t="shared" si="65"/>
        <v/>
      </c>
      <c r="I568" s="55" t="str">
        <f t="shared" si="66"/>
        <v/>
      </c>
      <c r="J568" s="55" t="str">
        <f t="shared" si="67"/>
        <v/>
      </c>
      <c r="K568" s="4" t="str">
        <f t="shared" si="68"/>
        <v/>
      </c>
      <c r="L568" s="19" t="str">
        <f t="shared" si="69"/>
        <v/>
      </c>
      <c r="M568" s="12" t="str">
        <f>IF(A568="","",IFERROR(INDEX(المدخلات!$M$4:$M$15,MATCH(A568,المدخلات!$L$4:$L$15,0)),""))</f>
        <v/>
      </c>
      <c r="N568" s="4" t="str">
        <f t="shared" si="70"/>
        <v/>
      </c>
      <c r="O568" s="4" t="str">
        <f t="shared" si="71"/>
        <v/>
      </c>
    </row>
    <row r="569" spans="1:15">
      <c r="A569" s="11"/>
      <c r="B569" s="19"/>
      <c r="C569" s="19"/>
      <c r="D569" s="55"/>
      <c r="E569" s="56"/>
      <c r="F569" s="19"/>
      <c r="G569" s="4" t="str">
        <f t="shared" si="64"/>
        <v/>
      </c>
      <c r="H569" s="11" t="str">
        <f t="shared" si="65"/>
        <v/>
      </c>
      <c r="I569" s="55" t="str">
        <f t="shared" si="66"/>
        <v/>
      </c>
      <c r="J569" s="55" t="str">
        <f t="shared" si="67"/>
        <v/>
      </c>
      <c r="K569" s="4" t="str">
        <f t="shared" si="68"/>
        <v/>
      </c>
      <c r="L569" s="19" t="str">
        <f t="shared" si="69"/>
        <v/>
      </c>
      <c r="M569" s="12" t="str">
        <f>IF(A569="","",IFERROR(INDEX(المدخلات!$M$4:$M$15,MATCH(A569,المدخلات!$L$4:$L$15,0)),""))</f>
        <v/>
      </c>
      <c r="N569" s="4" t="str">
        <f t="shared" si="70"/>
        <v/>
      </c>
      <c r="O569" s="4" t="str">
        <f t="shared" si="71"/>
        <v/>
      </c>
    </row>
    <row r="570" spans="1:15">
      <c r="A570" s="11"/>
      <c r="B570" s="19"/>
      <c r="C570" s="19"/>
      <c r="D570" s="55"/>
      <c r="E570" s="56"/>
      <c r="F570" s="19"/>
      <c r="G570" s="4" t="str">
        <f t="shared" si="64"/>
        <v/>
      </c>
      <c r="H570" s="11" t="str">
        <f t="shared" si="65"/>
        <v/>
      </c>
      <c r="I570" s="55" t="str">
        <f t="shared" si="66"/>
        <v/>
      </c>
      <c r="J570" s="55" t="str">
        <f t="shared" si="67"/>
        <v/>
      </c>
      <c r="K570" s="4" t="str">
        <f t="shared" si="68"/>
        <v/>
      </c>
      <c r="L570" s="19" t="str">
        <f t="shared" si="69"/>
        <v/>
      </c>
      <c r="M570" s="12" t="str">
        <f>IF(A570="","",IFERROR(INDEX(المدخلات!$M$4:$M$15,MATCH(A570,المدخلات!$L$4:$L$15,0)),""))</f>
        <v/>
      </c>
      <c r="N570" s="4" t="str">
        <f t="shared" si="70"/>
        <v/>
      </c>
      <c r="O570" s="4" t="str">
        <f t="shared" si="71"/>
        <v/>
      </c>
    </row>
    <row r="571" spans="1:15">
      <c r="A571" s="11"/>
      <c r="B571" s="19"/>
      <c r="C571" s="19"/>
      <c r="D571" s="55"/>
      <c r="E571" s="56"/>
      <c r="F571" s="19"/>
      <c r="G571" s="4" t="str">
        <f t="shared" si="64"/>
        <v/>
      </c>
      <c r="H571" s="11" t="str">
        <f t="shared" si="65"/>
        <v/>
      </c>
      <c r="I571" s="55" t="str">
        <f t="shared" si="66"/>
        <v/>
      </c>
      <c r="J571" s="55" t="str">
        <f t="shared" si="67"/>
        <v/>
      </c>
      <c r="K571" s="4" t="str">
        <f t="shared" si="68"/>
        <v/>
      </c>
      <c r="L571" s="19" t="str">
        <f t="shared" si="69"/>
        <v/>
      </c>
      <c r="M571" s="12" t="str">
        <f>IF(A571="","",IFERROR(INDEX(المدخلات!$M$4:$M$15,MATCH(A571,المدخلات!$L$4:$L$15,0)),""))</f>
        <v/>
      </c>
      <c r="N571" s="4" t="str">
        <f t="shared" si="70"/>
        <v/>
      </c>
      <c r="O571" s="4" t="str">
        <f t="shared" si="71"/>
        <v/>
      </c>
    </row>
    <row r="572" spans="1:15">
      <c r="A572" s="11"/>
      <c r="B572" s="19"/>
      <c r="C572" s="19"/>
      <c r="D572" s="55"/>
      <c r="E572" s="56"/>
      <c r="F572" s="19"/>
      <c r="G572" s="4" t="str">
        <f t="shared" si="64"/>
        <v/>
      </c>
      <c r="H572" s="11" t="str">
        <f t="shared" si="65"/>
        <v/>
      </c>
      <c r="I572" s="55" t="str">
        <f t="shared" si="66"/>
        <v/>
      </c>
      <c r="J572" s="55" t="str">
        <f t="shared" si="67"/>
        <v/>
      </c>
      <c r="K572" s="4" t="str">
        <f t="shared" si="68"/>
        <v/>
      </c>
      <c r="L572" s="19" t="str">
        <f t="shared" si="69"/>
        <v/>
      </c>
      <c r="M572" s="12" t="str">
        <f>IF(A572="","",IFERROR(INDEX(المدخلات!$M$4:$M$15,MATCH(A572,المدخلات!$L$4:$L$15,0)),""))</f>
        <v/>
      </c>
      <c r="N572" s="4" t="str">
        <f t="shared" si="70"/>
        <v/>
      </c>
      <c r="O572" s="4" t="str">
        <f t="shared" si="71"/>
        <v/>
      </c>
    </row>
    <row r="573" spans="1:15">
      <c r="A573" s="11"/>
      <c r="B573" s="19"/>
      <c r="C573" s="19"/>
      <c r="D573" s="55"/>
      <c r="E573" s="56"/>
      <c r="F573" s="19"/>
      <c r="G573" s="4" t="str">
        <f t="shared" si="64"/>
        <v/>
      </c>
      <c r="H573" s="11" t="str">
        <f t="shared" si="65"/>
        <v/>
      </c>
      <c r="I573" s="55" t="str">
        <f t="shared" si="66"/>
        <v/>
      </c>
      <c r="J573" s="55" t="str">
        <f t="shared" si="67"/>
        <v/>
      </c>
      <c r="K573" s="4" t="str">
        <f t="shared" si="68"/>
        <v/>
      </c>
      <c r="L573" s="19" t="str">
        <f t="shared" si="69"/>
        <v/>
      </c>
      <c r="M573" s="12" t="str">
        <f>IF(A573="","",IFERROR(INDEX(المدخلات!$M$4:$M$15,MATCH(A573,المدخلات!$L$4:$L$15,0)),""))</f>
        <v/>
      </c>
      <c r="N573" s="4" t="str">
        <f t="shared" si="70"/>
        <v/>
      </c>
      <c r="O573" s="4" t="str">
        <f t="shared" si="71"/>
        <v/>
      </c>
    </row>
    <row r="574" spans="1:15">
      <c r="A574" s="11"/>
      <c r="B574" s="19"/>
      <c r="C574" s="19"/>
      <c r="D574" s="55"/>
      <c r="E574" s="56"/>
      <c r="F574" s="19"/>
      <c r="G574" s="4" t="str">
        <f t="shared" si="64"/>
        <v/>
      </c>
      <c r="H574" s="11" t="str">
        <f t="shared" si="65"/>
        <v/>
      </c>
      <c r="I574" s="55" t="str">
        <f t="shared" si="66"/>
        <v/>
      </c>
      <c r="J574" s="55" t="str">
        <f t="shared" si="67"/>
        <v/>
      </c>
      <c r="K574" s="4" t="str">
        <f t="shared" si="68"/>
        <v/>
      </c>
      <c r="L574" s="19" t="str">
        <f t="shared" si="69"/>
        <v/>
      </c>
      <c r="M574" s="12" t="str">
        <f>IF(A574="","",IFERROR(INDEX(المدخلات!$M$4:$M$15,MATCH(A574,المدخلات!$L$4:$L$15,0)),""))</f>
        <v/>
      </c>
      <c r="N574" s="4" t="str">
        <f t="shared" si="70"/>
        <v/>
      </c>
      <c r="O574" s="4" t="str">
        <f t="shared" si="71"/>
        <v/>
      </c>
    </row>
    <row r="575" spans="1:15">
      <c r="A575" s="11"/>
      <c r="B575" s="19"/>
      <c r="C575" s="19"/>
      <c r="D575" s="55"/>
      <c r="E575" s="56"/>
      <c r="F575" s="19"/>
      <c r="G575" s="4" t="str">
        <f t="shared" si="64"/>
        <v/>
      </c>
      <c r="H575" s="11" t="str">
        <f t="shared" si="65"/>
        <v/>
      </c>
      <c r="I575" s="55" t="str">
        <f t="shared" si="66"/>
        <v/>
      </c>
      <c r="J575" s="55" t="str">
        <f t="shared" si="67"/>
        <v/>
      </c>
      <c r="K575" s="4" t="str">
        <f t="shared" si="68"/>
        <v/>
      </c>
      <c r="L575" s="19" t="str">
        <f t="shared" si="69"/>
        <v/>
      </c>
      <c r="M575" s="12" t="str">
        <f>IF(A575="","",IFERROR(INDEX(المدخلات!$M$4:$M$15,MATCH(A575,المدخلات!$L$4:$L$15,0)),""))</f>
        <v/>
      </c>
      <c r="N575" s="4" t="str">
        <f t="shared" si="70"/>
        <v/>
      </c>
      <c r="O575" s="4" t="str">
        <f t="shared" si="71"/>
        <v/>
      </c>
    </row>
    <row r="576" spans="1:15">
      <c r="A576" s="11"/>
      <c r="B576" s="19"/>
      <c r="C576" s="19"/>
      <c r="D576" s="55"/>
      <c r="E576" s="56"/>
      <c r="F576" s="19"/>
      <c r="G576" s="4" t="str">
        <f t="shared" si="64"/>
        <v/>
      </c>
      <c r="H576" s="11" t="str">
        <f t="shared" si="65"/>
        <v/>
      </c>
      <c r="I576" s="55" t="str">
        <f t="shared" si="66"/>
        <v/>
      </c>
      <c r="J576" s="55" t="str">
        <f t="shared" si="67"/>
        <v/>
      </c>
      <c r="K576" s="4" t="str">
        <f t="shared" si="68"/>
        <v/>
      </c>
      <c r="L576" s="19" t="str">
        <f t="shared" si="69"/>
        <v/>
      </c>
      <c r="M576" s="12" t="str">
        <f>IF(A576="","",IFERROR(INDEX(المدخلات!$M$4:$M$15,MATCH(A576,المدخلات!$L$4:$L$15,0)),""))</f>
        <v/>
      </c>
      <c r="N576" s="4" t="str">
        <f t="shared" si="70"/>
        <v/>
      </c>
      <c r="O576" s="4" t="str">
        <f t="shared" si="71"/>
        <v/>
      </c>
    </row>
    <row r="577" spans="1:15">
      <c r="A577" s="11"/>
      <c r="B577" s="19"/>
      <c r="C577" s="19"/>
      <c r="D577" s="55"/>
      <c r="E577" s="56"/>
      <c r="F577" s="19"/>
      <c r="G577" s="4" t="str">
        <f t="shared" si="64"/>
        <v/>
      </c>
      <c r="H577" s="11" t="str">
        <f t="shared" si="65"/>
        <v/>
      </c>
      <c r="I577" s="55" t="str">
        <f t="shared" si="66"/>
        <v/>
      </c>
      <c r="J577" s="55" t="str">
        <f t="shared" si="67"/>
        <v/>
      </c>
      <c r="K577" s="4" t="str">
        <f t="shared" si="68"/>
        <v/>
      </c>
      <c r="L577" s="19" t="str">
        <f t="shared" si="69"/>
        <v/>
      </c>
      <c r="M577" s="12" t="str">
        <f>IF(A577="","",IFERROR(INDEX(المدخلات!$M$4:$M$15,MATCH(A577,المدخلات!$L$4:$L$15,0)),""))</f>
        <v/>
      </c>
      <c r="N577" s="4" t="str">
        <f t="shared" si="70"/>
        <v/>
      </c>
      <c r="O577" s="4" t="str">
        <f t="shared" si="71"/>
        <v/>
      </c>
    </row>
    <row r="578" spans="1:15">
      <c r="A578" s="11"/>
      <c r="B578" s="19"/>
      <c r="C578" s="19"/>
      <c r="D578" s="55"/>
      <c r="E578" s="56"/>
      <c r="F578" s="19"/>
      <c r="G578" s="4" t="str">
        <f t="shared" si="64"/>
        <v/>
      </c>
      <c r="H578" s="11" t="str">
        <f t="shared" si="65"/>
        <v/>
      </c>
      <c r="I578" s="55" t="str">
        <f t="shared" si="66"/>
        <v/>
      </c>
      <c r="J578" s="55" t="str">
        <f t="shared" si="67"/>
        <v/>
      </c>
      <c r="K578" s="4" t="str">
        <f t="shared" si="68"/>
        <v/>
      </c>
      <c r="L578" s="19" t="str">
        <f t="shared" si="69"/>
        <v/>
      </c>
      <c r="M578" s="12" t="str">
        <f>IF(A578="","",IFERROR(INDEX(المدخلات!$M$4:$M$15,MATCH(A578,المدخلات!$L$4:$L$15,0)),""))</f>
        <v/>
      </c>
      <c r="N578" s="4" t="str">
        <f t="shared" si="70"/>
        <v/>
      </c>
      <c r="O578" s="4" t="str">
        <f t="shared" si="71"/>
        <v/>
      </c>
    </row>
    <row r="579" spans="1:15">
      <c r="A579" s="11"/>
      <c r="B579" s="19"/>
      <c r="C579" s="19"/>
      <c r="D579" s="55"/>
      <c r="E579" s="56"/>
      <c r="F579" s="19"/>
      <c r="G579" s="4" t="str">
        <f t="shared" si="64"/>
        <v/>
      </c>
      <c r="H579" s="11" t="str">
        <f t="shared" si="65"/>
        <v/>
      </c>
      <c r="I579" s="55" t="str">
        <f t="shared" si="66"/>
        <v/>
      </c>
      <c r="J579" s="55" t="str">
        <f t="shared" si="67"/>
        <v/>
      </c>
      <c r="K579" s="4" t="str">
        <f t="shared" si="68"/>
        <v/>
      </c>
      <c r="L579" s="19" t="str">
        <f t="shared" si="69"/>
        <v/>
      </c>
      <c r="M579" s="12" t="str">
        <f>IF(A579="","",IFERROR(INDEX(المدخلات!$M$4:$M$15,MATCH(A579,المدخلات!$L$4:$L$15,0)),""))</f>
        <v/>
      </c>
      <c r="N579" s="4" t="str">
        <f t="shared" si="70"/>
        <v/>
      </c>
      <c r="O579" s="4" t="str">
        <f t="shared" si="71"/>
        <v/>
      </c>
    </row>
    <row r="580" spans="1:15">
      <c r="A580" s="11"/>
      <c r="B580" s="19"/>
      <c r="C580" s="19"/>
      <c r="D580" s="55"/>
      <c r="E580" s="56"/>
      <c r="F580" s="19"/>
      <c r="G580" s="4" t="str">
        <f t="shared" si="64"/>
        <v/>
      </c>
      <c r="H580" s="11" t="str">
        <f t="shared" si="65"/>
        <v/>
      </c>
      <c r="I580" s="55" t="str">
        <f t="shared" si="66"/>
        <v/>
      </c>
      <c r="J580" s="55" t="str">
        <f t="shared" si="67"/>
        <v/>
      </c>
      <c r="K580" s="4" t="str">
        <f t="shared" si="68"/>
        <v/>
      </c>
      <c r="L580" s="19" t="str">
        <f t="shared" si="69"/>
        <v/>
      </c>
      <c r="M580" s="12" t="str">
        <f>IF(A580="","",IFERROR(INDEX(المدخلات!$M$4:$M$15,MATCH(A580,المدخلات!$L$4:$L$15,0)),""))</f>
        <v/>
      </c>
      <c r="N580" s="4" t="str">
        <f t="shared" si="70"/>
        <v/>
      </c>
      <c r="O580" s="4" t="str">
        <f t="shared" si="71"/>
        <v/>
      </c>
    </row>
    <row r="581" spans="1:15">
      <c r="A581" s="11"/>
      <c r="B581" s="19"/>
      <c r="C581" s="19"/>
      <c r="D581" s="55"/>
      <c r="E581" s="56"/>
      <c r="F581" s="19"/>
      <c r="G581" s="4" t="str">
        <f t="shared" ref="G581:G644" si="72">IF(OR(D581="",E581=""),"",D581*E581)</f>
        <v/>
      </c>
      <c r="H581" s="11" t="str">
        <f t="shared" ref="H581:H644" si="73">IF(C581="","",IFERROR(_xlfn.MAXIFS($A$5:$A$2003,$C$5:$C$2003,C581,$A$5:$A$2003,"&lt;"&amp;A581),0))</f>
        <v/>
      </c>
      <c r="I581" s="55" t="str">
        <f t="shared" ref="I581:I644" si="74">IF(OR(H581="",H581=0),"",IFERROR(SUMIFS($D$5:$D$2003,$C$5:$C$2003,C581,$A$5:$A$2003,H581),""))</f>
        <v/>
      </c>
      <c r="J581" s="55" t="str">
        <f t="shared" ref="J581:J644" si="75">IF(C581="","",IF(I581="",0,MAX(I581-D581,0)))</f>
        <v/>
      </c>
      <c r="K581" s="4" t="str">
        <f t="shared" ref="K581:K644" si="76">IF(J581="","",J581*E581)</f>
        <v/>
      </c>
      <c r="L581" s="19" t="str">
        <f t="shared" ref="L581:L644" si="77">IF(C581="","",IF(COUNTIFS($A$5:$A$2003,A581,$C$5:$C$2003,C581)&gt;1,"⚠️ مادة مكررة بنفس الشهر",IF(OR(H581="",H581=0),"🆕 أول ظهور لهذه المادة",IF(D581&gt;I581,"ℹ️ زيادة كمية (شراء/تصحيح) - لا تُحتسب استهلاكاً",IF(D581=I581,"➖ لا تغيير","")))))</f>
        <v/>
      </c>
      <c r="M581" s="12" t="str">
        <f>IF(A581="","",IFERROR(INDEX(المدخلات!$M$4:$M$15,MATCH(A581,المدخلات!$L$4:$L$15,0)),""))</f>
        <v/>
      </c>
      <c r="N581" s="4" t="str">
        <f t="shared" ref="N581:N644" si="78">IF(OR(G581="",F581=""),"",IF(F581="دولار أمريكي",IF(M581="","⚠️ لا يوجد سعر صرف",G581*M581),G581))</f>
        <v/>
      </c>
      <c r="O581" s="4" t="str">
        <f t="shared" ref="O581:O644" si="79">IF(OR(K581="",F581=""),"",IF(F581="دولار أمريكي",IF(M581="","⚠️ لا يوجد سعر صرف",K581*M581),K581))</f>
        <v/>
      </c>
    </row>
    <row r="582" spans="1:15">
      <c r="A582" s="11"/>
      <c r="B582" s="19"/>
      <c r="C582" s="19"/>
      <c r="D582" s="55"/>
      <c r="E582" s="56"/>
      <c r="F582" s="19"/>
      <c r="G582" s="4" t="str">
        <f t="shared" si="72"/>
        <v/>
      </c>
      <c r="H582" s="11" t="str">
        <f t="shared" si="73"/>
        <v/>
      </c>
      <c r="I582" s="55" t="str">
        <f t="shared" si="74"/>
        <v/>
      </c>
      <c r="J582" s="55" t="str">
        <f t="shared" si="75"/>
        <v/>
      </c>
      <c r="K582" s="4" t="str">
        <f t="shared" si="76"/>
        <v/>
      </c>
      <c r="L582" s="19" t="str">
        <f t="shared" si="77"/>
        <v/>
      </c>
      <c r="M582" s="12" t="str">
        <f>IF(A582="","",IFERROR(INDEX(المدخلات!$M$4:$M$15,MATCH(A582,المدخلات!$L$4:$L$15,0)),""))</f>
        <v/>
      </c>
      <c r="N582" s="4" t="str">
        <f t="shared" si="78"/>
        <v/>
      </c>
      <c r="O582" s="4" t="str">
        <f t="shared" si="79"/>
        <v/>
      </c>
    </row>
    <row r="583" spans="1:15">
      <c r="A583" s="11"/>
      <c r="B583" s="19"/>
      <c r="C583" s="19"/>
      <c r="D583" s="55"/>
      <c r="E583" s="56"/>
      <c r="F583" s="19"/>
      <c r="G583" s="4" t="str">
        <f t="shared" si="72"/>
        <v/>
      </c>
      <c r="H583" s="11" t="str">
        <f t="shared" si="73"/>
        <v/>
      </c>
      <c r="I583" s="55" t="str">
        <f t="shared" si="74"/>
        <v/>
      </c>
      <c r="J583" s="55" t="str">
        <f t="shared" si="75"/>
        <v/>
      </c>
      <c r="K583" s="4" t="str">
        <f t="shared" si="76"/>
        <v/>
      </c>
      <c r="L583" s="19" t="str">
        <f t="shared" si="77"/>
        <v/>
      </c>
      <c r="M583" s="12" t="str">
        <f>IF(A583="","",IFERROR(INDEX(المدخلات!$M$4:$M$15,MATCH(A583,المدخلات!$L$4:$L$15,0)),""))</f>
        <v/>
      </c>
      <c r="N583" s="4" t="str">
        <f t="shared" si="78"/>
        <v/>
      </c>
      <c r="O583" s="4" t="str">
        <f t="shared" si="79"/>
        <v/>
      </c>
    </row>
    <row r="584" spans="1:15">
      <c r="A584" s="11"/>
      <c r="B584" s="19"/>
      <c r="C584" s="19"/>
      <c r="D584" s="55"/>
      <c r="E584" s="56"/>
      <c r="F584" s="19"/>
      <c r="G584" s="4" t="str">
        <f t="shared" si="72"/>
        <v/>
      </c>
      <c r="H584" s="11" t="str">
        <f t="shared" si="73"/>
        <v/>
      </c>
      <c r="I584" s="55" t="str">
        <f t="shared" si="74"/>
        <v/>
      </c>
      <c r="J584" s="55" t="str">
        <f t="shared" si="75"/>
        <v/>
      </c>
      <c r="K584" s="4" t="str">
        <f t="shared" si="76"/>
        <v/>
      </c>
      <c r="L584" s="19" t="str">
        <f t="shared" si="77"/>
        <v/>
      </c>
      <c r="M584" s="12" t="str">
        <f>IF(A584="","",IFERROR(INDEX(المدخلات!$M$4:$M$15,MATCH(A584,المدخلات!$L$4:$L$15,0)),""))</f>
        <v/>
      </c>
      <c r="N584" s="4" t="str">
        <f t="shared" si="78"/>
        <v/>
      </c>
      <c r="O584" s="4" t="str">
        <f t="shared" si="79"/>
        <v/>
      </c>
    </row>
    <row r="585" spans="1:15">
      <c r="A585" s="11"/>
      <c r="B585" s="19"/>
      <c r="C585" s="19"/>
      <c r="D585" s="55"/>
      <c r="E585" s="56"/>
      <c r="F585" s="19"/>
      <c r="G585" s="4" t="str">
        <f t="shared" si="72"/>
        <v/>
      </c>
      <c r="H585" s="11" t="str">
        <f t="shared" si="73"/>
        <v/>
      </c>
      <c r="I585" s="55" t="str">
        <f t="shared" si="74"/>
        <v/>
      </c>
      <c r="J585" s="55" t="str">
        <f t="shared" si="75"/>
        <v/>
      </c>
      <c r="K585" s="4" t="str">
        <f t="shared" si="76"/>
        <v/>
      </c>
      <c r="L585" s="19" t="str">
        <f t="shared" si="77"/>
        <v/>
      </c>
      <c r="M585" s="12" t="str">
        <f>IF(A585="","",IFERROR(INDEX(المدخلات!$M$4:$M$15,MATCH(A585,المدخلات!$L$4:$L$15,0)),""))</f>
        <v/>
      </c>
      <c r="N585" s="4" t="str">
        <f t="shared" si="78"/>
        <v/>
      </c>
      <c r="O585" s="4" t="str">
        <f t="shared" si="79"/>
        <v/>
      </c>
    </row>
    <row r="586" spans="1:15">
      <c r="A586" s="11"/>
      <c r="B586" s="19"/>
      <c r="C586" s="19"/>
      <c r="D586" s="55"/>
      <c r="E586" s="56"/>
      <c r="F586" s="19"/>
      <c r="G586" s="4" t="str">
        <f t="shared" si="72"/>
        <v/>
      </c>
      <c r="H586" s="11" t="str">
        <f t="shared" si="73"/>
        <v/>
      </c>
      <c r="I586" s="55" t="str">
        <f t="shared" si="74"/>
        <v/>
      </c>
      <c r="J586" s="55" t="str">
        <f t="shared" si="75"/>
        <v/>
      </c>
      <c r="K586" s="4" t="str">
        <f t="shared" si="76"/>
        <v/>
      </c>
      <c r="L586" s="19" t="str">
        <f t="shared" si="77"/>
        <v/>
      </c>
      <c r="M586" s="12" t="str">
        <f>IF(A586="","",IFERROR(INDEX(المدخلات!$M$4:$M$15,MATCH(A586,المدخلات!$L$4:$L$15,0)),""))</f>
        <v/>
      </c>
      <c r="N586" s="4" t="str">
        <f t="shared" si="78"/>
        <v/>
      </c>
      <c r="O586" s="4" t="str">
        <f t="shared" si="79"/>
        <v/>
      </c>
    </row>
    <row r="587" spans="1:15">
      <c r="A587" s="11"/>
      <c r="B587" s="19"/>
      <c r="C587" s="19"/>
      <c r="D587" s="55"/>
      <c r="E587" s="56"/>
      <c r="F587" s="19"/>
      <c r="G587" s="4" t="str">
        <f t="shared" si="72"/>
        <v/>
      </c>
      <c r="H587" s="11" t="str">
        <f t="shared" si="73"/>
        <v/>
      </c>
      <c r="I587" s="55" t="str">
        <f t="shared" si="74"/>
        <v/>
      </c>
      <c r="J587" s="55" t="str">
        <f t="shared" si="75"/>
        <v/>
      </c>
      <c r="K587" s="4" t="str">
        <f t="shared" si="76"/>
        <v/>
      </c>
      <c r="L587" s="19" t="str">
        <f t="shared" si="77"/>
        <v/>
      </c>
      <c r="M587" s="12" t="str">
        <f>IF(A587="","",IFERROR(INDEX(المدخلات!$M$4:$M$15,MATCH(A587,المدخلات!$L$4:$L$15,0)),""))</f>
        <v/>
      </c>
      <c r="N587" s="4" t="str">
        <f t="shared" si="78"/>
        <v/>
      </c>
      <c r="O587" s="4" t="str">
        <f t="shared" si="79"/>
        <v/>
      </c>
    </row>
    <row r="588" spans="1:15">
      <c r="A588" s="11"/>
      <c r="B588" s="19"/>
      <c r="C588" s="19"/>
      <c r="D588" s="55"/>
      <c r="E588" s="56"/>
      <c r="F588" s="19"/>
      <c r="G588" s="4" t="str">
        <f t="shared" si="72"/>
        <v/>
      </c>
      <c r="H588" s="11" t="str">
        <f t="shared" si="73"/>
        <v/>
      </c>
      <c r="I588" s="55" t="str">
        <f t="shared" si="74"/>
        <v/>
      </c>
      <c r="J588" s="55" t="str">
        <f t="shared" si="75"/>
        <v/>
      </c>
      <c r="K588" s="4" t="str">
        <f t="shared" si="76"/>
        <v/>
      </c>
      <c r="L588" s="19" t="str">
        <f t="shared" si="77"/>
        <v/>
      </c>
      <c r="M588" s="12" t="str">
        <f>IF(A588="","",IFERROR(INDEX(المدخلات!$M$4:$M$15,MATCH(A588,المدخلات!$L$4:$L$15,0)),""))</f>
        <v/>
      </c>
      <c r="N588" s="4" t="str">
        <f t="shared" si="78"/>
        <v/>
      </c>
      <c r="O588" s="4" t="str">
        <f t="shared" si="79"/>
        <v/>
      </c>
    </row>
    <row r="589" spans="1:15">
      <c r="A589" s="11"/>
      <c r="B589" s="19"/>
      <c r="C589" s="19"/>
      <c r="D589" s="55"/>
      <c r="E589" s="56"/>
      <c r="F589" s="19"/>
      <c r="G589" s="4" t="str">
        <f t="shared" si="72"/>
        <v/>
      </c>
      <c r="H589" s="11" t="str">
        <f t="shared" si="73"/>
        <v/>
      </c>
      <c r="I589" s="55" t="str">
        <f t="shared" si="74"/>
        <v/>
      </c>
      <c r="J589" s="55" t="str">
        <f t="shared" si="75"/>
        <v/>
      </c>
      <c r="K589" s="4" t="str">
        <f t="shared" si="76"/>
        <v/>
      </c>
      <c r="L589" s="19" t="str">
        <f t="shared" si="77"/>
        <v/>
      </c>
      <c r="M589" s="12" t="str">
        <f>IF(A589="","",IFERROR(INDEX(المدخلات!$M$4:$M$15,MATCH(A589,المدخلات!$L$4:$L$15,0)),""))</f>
        <v/>
      </c>
      <c r="N589" s="4" t="str">
        <f t="shared" si="78"/>
        <v/>
      </c>
      <c r="O589" s="4" t="str">
        <f t="shared" si="79"/>
        <v/>
      </c>
    </row>
    <row r="590" spans="1:15">
      <c r="A590" s="11"/>
      <c r="B590" s="19"/>
      <c r="C590" s="19"/>
      <c r="D590" s="55"/>
      <c r="E590" s="56"/>
      <c r="F590" s="19"/>
      <c r="G590" s="4" t="str">
        <f t="shared" si="72"/>
        <v/>
      </c>
      <c r="H590" s="11" t="str">
        <f t="shared" si="73"/>
        <v/>
      </c>
      <c r="I590" s="55" t="str">
        <f t="shared" si="74"/>
        <v/>
      </c>
      <c r="J590" s="55" t="str">
        <f t="shared" si="75"/>
        <v/>
      </c>
      <c r="K590" s="4" t="str">
        <f t="shared" si="76"/>
        <v/>
      </c>
      <c r="L590" s="19" t="str">
        <f t="shared" si="77"/>
        <v/>
      </c>
      <c r="M590" s="12" t="str">
        <f>IF(A590="","",IFERROR(INDEX(المدخلات!$M$4:$M$15,MATCH(A590,المدخلات!$L$4:$L$15,0)),""))</f>
        <v/>
      </c>
      <c r="N590" s="4" t="str">
        <f t="shared" si="78"/>
        <v/>
      </c>
      <c r="O590" s="4" t="str">
        <f t="shared" si="79"/>
        <v/>
      </c>
    </row>
    <row r="591" spans="1:15">
      <c r="A591" s="11"/>
      <c r="B591" s="19"/>
      <c r="C591" s="19"/>
      <c r="D591" s="55"/>
      <c r="E591" s="56"/>
      <c r="F591" s="19"/>
      <c r="G591" s="4" t="str">
        <f t="shared" si="72"/>
        <v/>
      </c>
      <c r="H591" s="11" t="str">
        <f t="shared" si="73"/>
        <v/>
      </c>
      <c r="I591" s="55" t="str">
        <f t="shared" si="74"/>
        <v/>
      </c>
      <c r="J591" s="55" t="str">
        <f t="shared" si="75"/>
        <v/>
      </c>
      <c r="K591" s="4" t="str">
        <f t="shared" si="76"/>
        <v/>
      </c>
      <c r="L591" s="19" t="str">
        <f t="shared" si="77"/>
        <v/>
      </c>
      <c r="M591" s="12" t="str">
        <f>IF(A591="","",IFERROR(INDEX(المدخلات!$M$4:$M$15,MATCH(A591,المدخلات!$L$4:$L$15,0)),""))</f>
        <v/>
      </c>
      <c r="N591" s="4" t="str">
        <f t="shared" si="78"/>
        <v/>
      </c>
      <c r="O591" s="4" t="str">
        <f t="shared" si="79"/>
        <v/>
      </c>
    </row>
    <row r="592" spans="1:15">
      <c r="A592" s="11"/>
      <c r="B592" s="19"/>
      <c r="C592" s="19"/>
      <c r="D592" s="55"/>
      <c r="E592" s="56"/>
      <c r="F592" s="19"/>
      <c r="G592" s="4" t="str">
        <f t="shared" si="72"/>
        <v/>
      </c>
      <c r="H592" s="11" t="str">
        <f t="shared" si="73"/>
        <v/>
      </c>
      <c r="I592" s="55" t="str">
        <f t="shared" si="74"/>
        <v/>
      </c>
      <c r="J592" s="55" t="str">
        <f t="shared" si="75"/>
        <v/>
      </c>
      <c r="K592" s="4" t="str">
        <f t="shared" si="76"/>
        <v/>
      </c>
      <c r="L592" s="19" t="str">
        <f t="shared" si="77"/>
        <v/>
      </c>
      <c r="M592" s="12" t="str">
        <f>IF(A592="","",IFERROR(INDEX(المدخلات!$M$4:$M$15,MATCH(A592,المدخلات!$L$4:$L$15,0)),""))</f>
        <v/>
      </c>
      <c r="N592" s="4" t="str">
        <f t="shared" si="78"/>
        <v/>
      </c>
      <c r="O592" s="4" t="str">
        <f t="shared" si="79"/>
        <v/>
      </c>
    </row>
    <row r="593" spans="1:15">
      <c r="A593" s="11"/>
      <c r="B593" s="19"/>
      <c r="C593" s="19"/>
      <c r="D593" s="55"/>
      <c r="E593" s="56"/>
      <c r="F593" s="19"/>
      <c r="G593" s="4" t="str">
        <f t="shared" si="72"/>
        <v/>
      </c>
      <c r="H593" s="11" t="str">
        <f t="shared" si="73"/>
        <v/>
      </c>
      <c r="I593" s="55" t="str">
        <f t="shared" si="74"/>
        <v/>
      </c>
      <c r="J593" s="55" t="str">
        <f t="shared" si="75"/>
        <v/>
      </c>
      <c r="K593" s="4" t="str">
        <f t="shared" si="76"/>
        <v/>
      </c>
      <c r="L593" s="19" t="str">
        <f t="shared" si="77"/>
        <v/>
      </c>
      <c r="M593" s="12" t="str">
        <f>IF(A593="","",IFERROR(INDEX(المدخلات!$M$4:$M$15,MATCH(A593,المدخلات!$L$4:$L$15,0)),""))</f>
        <v/>
      </c>
      <c r="N593" s="4" t="str">
        <f t="shared" si="78"/>
        <v/>
      </c>
      <c r="O593" s="4" t="str">
        <f t="shared" si="79"/>
        <v/>
      </c>
    </row>
    <row r="594" spans="1:15">
      <c r="A594" s="11"/>
      <c r="B594" s="19"/>
      <c r="C594" s="19"/>
      <c r="D594" s="55"/>
      <c r="E594" s="56"/>
      <c r="F594" s="19"/>
      <c r="G594" s="4" t="str">
        <f t="shared" si="72"/>
        <v/>
      </c>
      <c r="H594" s="11" t="str">
        <f t="shared" si="73"/>
        <v/>
      </c>
      <c r="I594" s="55" t="str">
        <f t="shared" si="74"/>
        <v/>
      </c>
      <c r="J594" s="55" t="str">
        <f t="shared" si="75"/>
        <v/>
      </c>
      <c r="K594" s="4" t="str">
        <f t="shared" si="76"/>
        <v/>
      </c>
      <c r="L594" s="19" t="str">
        <f t="shared" si="77"/>
        <v/>
      </c>
      <c r="M594" s="12" t="str">
        <f>IF(A594="","",IFERROR(INDEX(المدخلات!$M$4:$M$15,MATCH(A594,المدخلات!$L$4:$L$15,0)),""))</f>
        <v/>
      </c>
      <c r="N594" s="4" t="str">
        <f t="shared" si="78"/>
        <v/>
      </c>
      <c r="O594" s="4" t="str">
        <f t="shared" si="79"/>
        <v/>
      </c>
    </row>
    <row r="595" spans="1:15">
      <c r="A595" s="11"/>
      <c r="B595" s="19"/>
      <c r="C595" s="19"/>
      <c r="D595" s="55"/>
      <c r="E595" s="56"/>
      <c r="F595" s="19"/>
      <c r="G595" s="4" t="str">
        <f t="shared" si="72"/>
        <v/>
      </c>
      <c r="H595" s="11" t="str">
        <f t="shared" si="73"/>
        <v/>
      </c>
      <c r="I595" s="55" t="str">
        <f t="shared" si="74"/>
        <v/>
      </c>
      <c r="J595" s="55" t="str">
        <f t="shared" si="75"/>
        <v/>
      </c>
      <c r="K595" s="4" t="str">
        <f t="shared" si="76"/>
        <v/>
      </c>
      <c r="L595" s="19" t="str">
        <f t="shared" si="77"/>
        <v/>
      </c>
      <c r="M595" s="12" t="str">
        <f>IF(A595="","",IFERROR(INDEX(المدخلات!$M$4:$M$15,MATCH(A595,المدخلات!$L$4:$L$15,0)),""))</f>
        <v/>
      </c>
      <c r="N595" s="4" t="str">
        <f t="shared" si="78"/>
        <v/>
      </c>
      <c r="O595" s="4" t="str">
        <f t="shared" si="79"/>
        <v/>
      </c>
    </row>
    <row r="596" spans="1:15">
      <c r="A596" s="11"/>
      <c r="B596" s="19"/>
      <c r="C596" s="19"/>
      <c r="D596" s="55"/>
      <c r="E596" s="56"/>
      <c r="F596" s="19"/>
      <c r="G596" s="4" t="str">
        <f t="shared" si="72"/>
        <v/>
      </c>
      <c r="H596" s="11" t="str">
        <f t="shared" si="73"/>
        <v/>
      </c>
      <c r="I596" s="55" t="str">
        <f t="shared" si="74"/>
        <v/>
      </c>
      <c r="J596" s="55" t="str">
        <f t="shared" si="75"/>
        <v/>
      </c>
      <c r="K596" s="4" t="str">
        <f t="shared" si="76"/>
        <v/>
      </c>
      <c r="L596" s="19" t="str">
        <f t="shared" si="77"/>
        <v/>
      </c>
      <c r="M596" s="12" t="str">
        <f>IF(A596="","",IFERROR(INDEX(المدخلات!$M$4:$M$15,MATCH(A596,المدخلات!$L$4:$L$15,0)),""))</f>
        <v/>
      </c>
      <c r="N596" s="4" t="str">
        <f t="shared" si="78"/>
        <v/>
      </c>
      <c r="O596" s="4" t="str">
        <f t="shared" si="79"/>
        <v/>
      </c>
    </row>
    <row r="597" spans="1:15">
      <c r="A597" s="11"/>
      <c r="B597" s="19"/>
      <c r="C597" s="19"/>
      <c r="D597" s="55"/>
      <c r="E597" s="56"/>
      <c r="F597" s="19"/>
      <c r="G597" s="4" t="str">
        <f t="shared" si="72"/>
        <v/>
      </c>
      <c r="H597" s="11" t="str">
        <f t="shared" si="73"/>
        <v/>
      </c>
      <c r="I597" s="55" t="str">
        <f t="shared" si="74"/>
        <v/>
      </c>
      <c r="J597" s="55" t="str">
        <f t="shared" si="75"/>
        <v/>
      </c>
      <c r="K597" s="4" t="str">
        <f t="shared" si="76"/>
        <v/>
      </c>
      <c r="L597" s="19" t="str">
        <f t="shared" si="77"/>
        <v/>
      </c>
      <c r="M597" s="12" t="str">
        <f>IF(A597="","",IFERROR(INDEX(المدخلات!$M$4:$M$15,MATCH(A597,المدخلات!$L$4:$L$15,0)),""))</f>
        <v/>
      </c>
      <c r="N597" s="4" t="str">
        <f t="shared" si="78"/>
        <v/>
      </c>
      <c r="O597" s="4" t="str">
        <f t="shared" si="79"/>
        <v/>
      </c>
    </row>
    <row r="598" spans="1:15">
      <c r="A598" s="11"/>
      <c r="B598" s="19"/>
      <c r="C598" s="19"/>
      <c r="D598" s="55"/>
      <c r="E598" s="56"/>
      <c r="F598" s="19"/>
      <c r="G598" s="4" t="str">
        <f t="shared" si="72"/>
        <v/>
      </c>
      <c r="H598" s="11" t="str">
        <f t="shared" si="73"/>
        <v/>
      </c>
      <c r="I598" s="55" t="str">
        <f t="shared" si="74"/>
        <v/>
      </c>
      <c r="J598" s="55" t="str">
        <f t="shared" si="75"/>
        <v/>
      </c>
      <c r="K598" s="4" t="str">
        <f t="shared" si="76"/>
        <v/>
      </c>
      <c r="L598" s="19" t="str">
        <f t="shared" si="77"/>
        <v/>
      </c>
      <c r="M598" s="12" t="str">
        <f>IF(A598="","",IFERROR(INDEX(المدخلات!$M$4:$M$15,MATCH(A598,المدخلات!$L$4:$L$15,0)),""))</f>
        <v/>
      </c>
      <c r="N598" s="4" t="str">
        <f t="shared" si="78"/>
        <v/>
      </c>
      <c r="O598" s="4" t="str">
        <f t="shared" si="79"/>
        <v/>
      </c>
    </row>
    <row r="599" spans="1:15">
      <c r="A599" s="11"/>
      <c r="B599" s="19"/>
      <c r="C599" s="19"/>
      <c r="D599" s="55"/>
      <c r="E599" s="56"/>
      <c r="F599" s="19"/>
      <c r="G599" s="4" t="str">
        <f t="shared" si="72"/>
        <v/>
      </c>
      <c r="H599" s="11" t="str">
        <f t="shared" si="73"/>
        <v/>
      </c>
      <c r="I599" s="55" t="str">
        <f t="shared" si="74"/>
        <v/>
      </c>
      <c r="J599" s="55" t="str">
        <f t="shared" si="75"/>
        <v/>
      </c>
      <c r="K599" s="4" t="str">
        <f t="shared" si="76"/>
        <v/>
      </c>
      <c r="L599" s="19" t="str">
        <f t="shared" si="77"/>
        <v/>
      </c>
      <c r="M599" s="12" t="str">
        <f>IF(A599="","",IFERROR(INDEX(المدخلات!$M$4:$M$15,MATCH(A599,المدخلات!$L$4:$L$15,0)),""))</f>
        <v/>
      </c>
      <c r="N599" s="4" t="str">
        <f t="shared" si="78"/>
        <v/>
      </c>
      <c r="O599" s="4" t="str">
        <f t="shared" si="79"/>
        <v/>
      </c>
    </row>
    <row r="600" spans="1:15">
      <c r="A600" s="11"/>
      <c r="B600" s="19"/>
      <c r="C600" s="19"/>
      <c r="D600" s="55"/>
      <c r="E600" s="56"/>
      <c r="F600" s="19"/>
      <c r="G600" s="4" t="str">
        <f t="shared" si="72"/>
        <v/>
      </c>
      <c r="H600" s="11" t="str">
        <f t="shared" si="73"/>
        <v/>
      </c>
      <c r="I600" s="55" t="str">
        <f t="shared" si="74"/>
        <v/>
      </c>
      <c r="J600" s="55" t="str">
        <f t="shared" si="75"/>
        <v/>
      </c>
      <c r="K600" s="4" t="str">
        <f t="shared" si="76"/>
        <v/>
      </c>
      <c r="L600" s="19" t="str">
        <f t="shared" si="77"/>
        <v/>
      </c>
      <c r="M600" s="12" t="str">
        <f>IF(A600="","",IFERROR(INDEX(المدخلات!$M$4:$M$15,MATCH(A600,المدخلات!$L$4:$L$15,0)),""))</f>
        <v/>
      </c>
      <c r="N600" s="4" t="str">
        <f t="shared" si="78"/>
        <v/>
      </c>
      <c r="O600" s="4" t="str">
        <f t="shared" si="79"/>
        <v/>
      </c>
    </row>
    <row r="601" spans="1:15">
      <c r="A601" s="11"/>
      <c r="B601" s="19"/>
      <c r="C601" s="19"/>
      <c r="D601" s="55"/>
      <c r="E601" s="56"/>
      <c r="F601" s="19"/>
      <c r="G601" s="4" t="str">
        <f t="shared" si="72"/>
        <v/>
      </c>
      <c r="H601" s="11" t="str">
        <f t="shared" si="73"/>
        <v/>
      </c>
      <c r="I601" s="55" t="str">
        <f t="shared" si="74"/>
        <v/>
      </c>
      <c r="J601" s="55" t="str">
        <f t="shared" si="75"/>
        <v/>
      </c>
      <c r="K601" s="4" t="str">
        <f t="shared" si="76"/>
        <v/>
      </c>
      <c r="L601" s="19" t="str">
        <f t="shared" si="77"/>
        <v/>
      </c>
      <c r="M601" s="12" t="str">
        <f>IF(A601="","",IFERROR(INDEX(المدخلات!$M$4:$M$15,MATCH(A601,المدخلات!$L$4:$L$15,0)),""))</f>
        <v/>
      </c>
      <c r="N601" s="4" t="str">
        <f t="shared" si="78"/>
        <v/>
      </c>
      <c r="O601" s="4" t="str">
        <f t="shared" si="79"/>
        <v/>
      </c>
    </row>
    <row r="602" spans="1:15">
      <c r="A602" s="11"/>
      <c r="B602" s="19"/>
      <c r="C602" s="19"/>
      <c r="D602" s="55"/>
      <c r="E602" s="56"/>
      <c r="F602" s="19"/>
      <c r="G602" s="4" t="str">
        <f t="shared" si="72"/>
        <v/>
      </c>
      <c r="H602" s="11" t="str">
        <f t="shared" si="73"/>
        <v/>
      </c>
      <c r="I602" s="55" t="str">
        <f t="shared" si="74"/>
        <v/>
      </c>
      <c r="J602" s="55" t="str">
        <f t="shared" si="75"/>
        <v/>
      </c>
      <c r="K602" s="4" t="str">
        <f t="shared" si="76"/>
        <v/>
      </c>
      <c r="L602" s="19" t="str">
        <f t="shared" si="77"/>
        <v/>
      </c>
      <c r="M602" s="12" t="str">
        <f>IF(A602="","",IFERROR(INDEX(المدخلات!$M$4:$M$15,MATCH(A602,المدخلات!$L$4:$L$15,0)),""))</f>
        <v/>
      </c>
      <c r="N602" s="4" t="str">
        <f t="shared" si="78"/>
        <v/>
      </c>
      <c r="O602" s="4" t="str">
        <f t="shared" si="79"/>
        <v/>
      </c>
    </row>
    <row r="603" spans="1:15">
      <c r="A603" s="11"/>
      <c r="B603" s="19"/>
      <c r="C603" s="19"/>
      <c r="D603" s="55"/>
      <c r="E603" s="56"/>
      <c r="F603" s="19"/>
      <c r="G603" s="4" t="str">
        <f t="shared" si="72"/>
        <v/>
      </c>
      <c r="H603" s="11" t="str">
        <f t="shared" si="73"/>
        <v/>
      </c>
      <c r="I603" s="55" t="str">
        <f t="shared" si="74"/>
        <v/>
      </c>
      <c r="J603" s="55" t="str">
        <f t="shared" si="75"/>
        <v/>
      </c>
      <c r="K603" s="4" t="str">
        <f t="shared" si="76"/>
        <v/>
      </c>
      <c r="L603" s="19" t="str">
        <f t="shared" si="77"/>
        <v/>
      </c>
      <c r="M603" s="12" t="str">
        <f>IF(A603="","",IFERROR(INDEX(المدخلات!$M$4:$M$15,MATCH(A603,المدخلات!$L$4:$L$15,0)),""))</f>
        <v/>
      </c>
      <c r="N603" s="4" t="str">
        <f t="shared" si="78"/>
        <v/>
      </c>
      <c r="O603" s="4" t="str">
        <f t="shared" si="79"/>
        <v/>
      </c>
    </row>
    <row r="604" spans="1:15">
      <c r="A604" s="11"/>
      <c r="B604" s="19"/>
      <c r="C604" s="19"/>
      <c r="D604" s="55"/>
      <c r="E604" s="56"/>
      <c r="F604" s="19"/>
      <c r="G604" s="4" t="str">
        <f t="shared" si="72"/>
        <v/>
      </c>
      <c r="H604" s="11" t="str">
        <f t="shared" si="73"/>
        <v/>
      </c>
      <c r="I604" s="55" t="str">
        <f t="shared" si="74"/>
        <v/>
      </c>
      <c r="J604" s="55" t="str">
        <f t="shared" si="75"/>
        <v/>
      </c>
      <c r="K604" s="4" t="str">
        <f t="shared" si="76"/>
        <v/>
      </c>
      <c r="L604" s="19" t="str">
        <f t="shared" si="77"/>
        <v/>
      </c>
      <c r="M604" s="12" t="str">
        <f>IF(A604="","",IFERROR(INDEX(المدخلات!$M$4:$M$15,MATCH(A604,المدخلات!$L$4:$L$15,0)),""))</f>
        <v/>
      </c>
      <c r="N604" s="4" t="str">
        <f t="shared" si="78"/>
        <v/>
      </c>
      <c r="O604" s="4" t="str">
        <f t="shared" si="79"/>
        <v/>
      </c>
    </row>
    <row r="605" spans="1:15">
      <c r="A605" s="11"/>
      <c r="B605" s="19"/>
      <c r="C605" s="19"/>
      <c r="D605" s="55"/>
      <c r="E605" s="56"/>
      <c r="F605" s="19"/>
      <c r="G605" s="4" t="str">
        <f t="shared" si="72"/>
        <v/>
      </c>
      <c r="H605" s="11" t="str">
        <f t="shared" si="73"/>
        <v/>
      </c>
      <c r="I605" s="55" t="str">
        <f t="shared" si="74"/>
        <v/>
      </c>
      <c r="J605" s="55" t="str">
        <f t="shared" si="75"/>
        <v/>
      </c>
      <c r="K605" s="4" t="str">
        <f t="shared" si="76"/>
        <v/>
      </c>
      <c r="L605" s="19" t="str">
        <f t="shared" si="77"/>
        <v/>
      </c>
      <c r="M605" s="12" t="str">
        <f>IF(A605="","",IFERROR(INDEX(المدخلات!$M$4:$M$15,MATCH(A605,المدخلات!$L$4:$L$15,0)),""))</f>
        <v/>
      </c>
      <c r="N605" s="4" t="str">
        <f t="shared" si="78"/>
        <v/>
      </c>
      <c r="O605" s="4" t="str">
        <f t="shared" si="79"/>
        <v/>
      </c>
    </row>
    <row r="606" spans="1:15">
      <c r="A606" s="11"/>
      <c r="B606" s="19"/>
      <c r="C606" s="19"/>
      <c r="D606" s="55"/>
      <c r="E606" s="56"/>
      <c r="F606" s="19"/>
      <c r="G606" s="4" t="str">
        <f t="shared" si="72"/>
        <v/>
      </c>
      <c r="H606" s="11" t="str">
        <f t="shared" si="73"/>
        <v/>
      </c>
      <c r="I606" s="55" t="str">
        <f t="shared" si="74"/>
        <v/>
      </c>
      <c r="J606" s="55" t="str">
        <f t="shared" si="75"/>
        <v/>
      </c>
      <c r="K606" s="4" t="str">
        <f t="shared" si="76"/>
        <v/>
      </c>
      <c r="L606" s="19" t="str">
        <f t="shared" si="77"/>
        <v/>
      </c>
      <c r="M606" s="12" t="str">
        <f>IF(A606="","",IFERROR(INDEX(المدخلات!$M$4:$M$15,MATCH(A606,المدخلات!$L$4:$L$15,0)),""))</f>
        <v/>
      </c>
      <c r="N606" s="4" t="str">
        <f t="shared" si="78"/>
        <v/>
      </c>
      <c r="O606" s="4" t="str">
        <f t="shared" si="79"/>
        <v/>
      </c>
    </row>
    <row r="607" spans="1:15">
      <c r="A607" s="11"/>
      <c r="B607" s="19"/>
      <c r="C607" s="19"/>
      <c r="D607" s="55"/>
      <c r="E607" s="56"/>
      <c r="F607" s="19"/>
      <c r="G607" s="4" t="str">
        <f t="shared" si="72"/>
        <v/>
      </c>
      <c r="H607" s="11" t="str">
        <f t="shared" si="73"/>
        <v/>
      </c>
      <c r="I607" s="55" t="str">
        <f t="shared" si="74"/>
        <v/>
      </c>
      <c r="J607" s="55" t="str">
        <f t="shared" si="75"/>
        <v/>
      </c>
      <c r="K607" s="4" t="str">
        <f t="shared" si="76"/>
        <v/>
      </c>
      <c r="L607" s="19" t="str">
        <f t="shared" si="77"/>
        <v/>
      </c>
      <c r="M607" s="12" t="str">
        <f>IF(A607="","",IFERROR(INDEX(المدخلات!$M$4:$M$15,MATCH(A607,المدخلات!$L$4:$L$15,0)),""))</f>
        <v/>
      </c>
      <c r="N607" s="4" t="str">
        <f t="shared" si="78"/>
        <v/>
      </c>
      <c r="O607" s="4" t="str">
        <f t="shared" si="79"/>
        <v/>
      </c>
    </row>
    <row r="608" spans="1:15">
      <c r="A608" s="11"/>
      <c r="B608" s="19"/>
      <c r="C608" s="19"/>
      <c r="D608" s="55"/>
      <c r="E608" s="56"/>
      <c r="F608" s="19"/>
      <c r="G608" s="4" t="str">
        <f t="shared" si="72"/>
        <v/>
      </c>
      <c r="H608" s="11" t="str">
        <f t="shared" si="73"/>
        <v/>
      </c>
      <c r="I608" s="55" t="str">
        <f t="shared" si="74"/>
        <v/>
      </c>
      <c r="J608" s="55" t="str">
        <f t="shared" si="75"/>
        <v/>
      </c>
      <c r="K608" s="4" t="str">
        <f t="shared" si="76"/>
        <v/>
      </c>
      <c r="L608" s="19" t="str">
        <f t="shared" si="77"/>
        <v/>
      </c>
      <c r="M608" s="12" t="str">
        <f>IF(A608="","",IFERROR(INDEX(المدخلات!$M$4:$M$15,MATCH(A608,المدخلات!$L$4:$L$15,0)),""))</f>
        <v/>
      </c>
      <c r="N608" s="4" t="str">
        <f t="shared" si="78"/>
        <v/>
      </c>
      <c r="O608" s="4" t="str">
        <f t="shared" si="79"/>
        <v/>
      </c>
    </row>
    <row r="609" spans="1:15">
      <c r="A609" s="11"/>
      <c r="B609" s="19"/>
      <c r="C609" s="19"/>
      <c r="D609" s="55"/>
      <c r="E609" s="56"/>
      <c r="F609" s="19"/>
      <c r="G609" s="4" t="str">
        <f t="shared" si="72"/>
        <v/>
      </c>
      <c r="H609" s="11" t="str">
        <f t="shared" si="73"/>
        <v/>
      </c>
      <c r="I609" s="55" t="str">
        <f t="shared" si="74"/>
        <v/>
      </c>
      <c r="J609" s="55" t="str">
        <f t="shared" si="75"/>
        <v/>
      </c>
      <c r="K609" s="4" t="str">
        <f t="shared" si="76"/>
        <v/>
      </c>
      <c r="L609" s="19" t="str">
        <f t="shared" si="77"/>
        <v/>
      </c>
      <c r="M609" s="12" t="str">
        <f>IF(A609="","",IFERROR(INDEX(المدخلات!$M$4:$M$15,MATCH(A609,المدخلات!$L$4:$L$15,0)),""))</f>
        <v/>
      </c>
      <c r="N609" s="4" t="str">
        <f t="shared" si="78"/>
        <v/>
      </c>
      <c r="O609" s="4" t="str">
        <f t="shared" si="79"/>
        <v/>
      </c>
    </row>
    <row r="610" spans="1:15">
      <c r="A610" s="11"/>
      <c r="B610" s="19"/>
      <c r="C610" s="19"/>
      <c r="D610" s="55"/>
      <c r="E610" s="56"/>
      <c r="F610" s="19"/>
      <c r="G610" s="4" t="str">
        <f t="shared" si="72"/>
        <v/>
      </c>
      <c r="H610" s="11" t="str">
        <f t="shared" si="73"/>
        <v/>
      </c>
      <c r="I610" s="55" t="str">
        <f t="shared" si="74"/>
        <v/>
      </c>
      <c r="J610" s="55" t="str">
        <f t="shared" si="75"/>
        <v/>
      </c>
      <c r="K610" s="4" t="str">
        <f t="shared" si="76"/>
        <v/>
      </c>
      <c r="L610" s="19" t="str">
        <f t="shared" si="77"/>
        <v/>
      </c>
      <c r="M610" s="12" t="str">
        <f>IF(A610="","",IFERROR(INDEX(المدخلات!$M$4:$M$15,MATCH(A610,المدخلات!$L$4:$L$15,0)),""))</f>
        <v/>
      </c>
      <c r="N610" s="4" t="str">
        <f t="shared" si="78"/>
        <v/>
      </c>
      <c r="O610" s="4" t="str">
        <f t="shared" si="79"/>
        <v/>
      </c>
    </row>
    <row r="611" spans="1:15">
      <c r="A611" s="11"/>
      <c r="B611" s="19"/>
      <c r="C611" s="19"/>
      <c r="D611" s="55"/>
      <c r="E611" s="56"/>
      <c r="F611" s="19"/>
      <c r="G611" s="4" t="str">
        <f t="shared" si="72"/>
        <v/>
      </c>
      <c r="H611" s="11" t="str">
        <f t="shared" si="73"/>
        <v/>
      </c>
      <c r="I611" s="55" t="str">
        <f t="shared" si="74"/>
        <v/>
      </c>
      <c r="J611" s="55" t="str">
        <f t="shared" si="75"/>
        <v/>
      </c>
      <c r="K611" s="4" t="str">
        <f t="shared" si="76"/>
        <v/>
      </c>
      <c r="L611" s="19" t="str">
        <f t="shared" si="77"/>
        <v/>
      </c>
      <c r="M611" s="12" t="str">
        <f>IF(A611="","",IFERROR(INDEX(المدخلات!$M$4:$M$15,MATCH(A611,المدخلات!$L$4:$L$15,0)),""))</f>
        <v/>
      </c>
      <c r="N611" s="4" t="str">
        <f t="shared" si="78"/>
        <v/>
      </c>
      <c r="O611" s="4" t="str">
        <f t="shared" si="79"/>
        <v/>
      </c>
    </row>
    <row r="612" spans="1:15">
      <c r="A612" s="11"/>
      <c r="B612" s="19"/>
      <c r="C612" s="19"/>
      <c r="D612" s="55"/>
      <c r="E612" s="56"/>
      <c r="F612" s="19"/>
      <c r="G612" s="4" t="str">
        <f t="shared" si="72"/>
        <v/>
      </c>
      <c r="H612" s="11" t="str">
        <f t="shared" si="73"/>
        <v/>
      </c>
      <c r="I612" s="55" t="str">
        <f t="shared" si="74"/>
        <v/>
      </c>
      <c r="J612" s="55" t="str">
        <f t="shared" si="75"/>
        <v/>
      </c>
      <c r="K612" s="4" t="str">
        <f t="shared" si="76"/>
        <v/>
      </c>
      <c r="L612" s="19" t="str">
        <f t="shared" si="77"/>
        <v/>
      </c>
      <c r="M612" s="12" t="str">
        <f>IF(A612="","",IFERROR(INDEX(المدخلات!$M$4:$M$15,MATCH(A612,المدخلات!$L$4:$L$15,0)),""))</f>
        <v/>
      </c>
      <c r="N612" s="4" t="str">
        <f t="shared" si="78"/>
        <v/>
      </c>
      <c r="O612" s="4" t="str">
        <f t="shared" si="79"/>
        <v/>
      </c>
    </row>
    <row r="613" spans="1:15">
      <c r="A613" s="11"/>
      <c r="B613" s="19"/>
      <c r="C613" s="19"/>
      <c r="D613" s="55"/>
      <c r="E613" s="56"/>
      <c r="F613" s="19"/>
      <c r="G613" s="4" t="str">
        <f t="shared" si="72"/>
        <v/>
      </c>
      <c r="H613" s="11" t="str">
        <f t="shared" si="73"/>
        <v/>
      </c>
      <c r="I613" s="55" t="str">
        <f t="shared" si="74"/>
        <v/>
      </c>
      <c r="J613" s="55" t="str">
        <f t="shared" si="75"/>
        <v/>
      </c>
      <c r="K613" s="4" t="str">
        <f t="shared" si="76"/>
        <v/>
      </c>
      <c r="L613" s="19" t="str">
        <f t="shared" si="77"/>
        <v/>
      </c>
      <c r="M613" s="12" t="str">
        <f>IF(A613="","",IFERROR(INDEX(المدخلات!$M$4:$M$15,MATCH(A613,المدخلات!$L$4:$L$15,0)),""))</f>
        <v/>
      </c>
      <c r="N613" s="4" t="str">
        <f t="shared" si="78"/>
        <v/>
      </c>
      <c r="O613" s="4" t="str">
        <f t="shared" si="79"/>
        <v/>
      </c>
    </row>
    <row r="614" spans="1:15">
      <c r="A614" s="11"/>
      <c r="B614" s="19"/>
      <c r="C614" s="19"/>
      <c r="D614" s="55"/>
      <c r="E614" s="56"/>
      <c r="F614" s="19"/>
      <c r="G614" s="4" t="str">
        <f t="shared" si="72"/>
        <v/>
      </c>
      <c r="H614" s="11" t="str">
        <f t="shared" si="73"/>
        <v/>
      </c>
      <c r="I614" s="55" t="str">
        <f t="shared" si="74"/>
        <v/>
      </c>
      <c r="J614" s="55" t="str">
        <f t="shared" si="75"/>
        <v/>
      </c>
      <c r="K614" s="4" t="str">
        <f t="shared" si="76"/>
        <v/>
      </c>
      <c r="L614" s="19" t="str">
        <f t="shared" si="77"/>
        <v/>
      </c>
      <c r="M614" s="12" t="str">
        <f>IF(A614="","",IFERROR(INDEX(المدخلات!$M$4:$M$15,MATCH(A614,المدخلات!$L$4:$L$15,0)),""))</f>
        <v/>
      </c>
      <c r="N614" s="4" t="str">
        <f t="shared" si="78"/>
        <v/>
      </c>
      <c r="O614" s="4" t="str">
        <f t="shared" si="79"/>
        <v/>
      </c>
    </row>
    <row r="615" spans="1:15">
      <c r="A615" s="11"/>
      <c r="B615" s="19"/>
      <c r="C615" s="19"/>
      <c r="D615" s="55"/>
      <c r="E615" s="56"/>
      <c r="F615" s="19"/>
      <c r="G615" s="4" t="str">
        <f t="shared" si="72"/>
        <v/>
      </c>
      <c r="H615" s="11" t="str">
        <f t="shared" si="73"/>
        <v/>
      </c>
      <c r="I615" s="55" t="str">
        <f t="shared" si="74"/>
        <v/>
      </c>
      <c r="J615" s="55" t="str">
        <f t="shared" si="75"/>
        <v/>
      </c>
      <c r="K615" s="4" t="str">
        <f t="shared" si="76"/>
        <v/>
      </c>
      <c r="L615" s="19" t="str">
        <f t="shared" si="77"/>
        <v/>
      </c>
      <c r="M615" s="12" t="str">
        <f>IF(A615="","",IFERROR(INDEX(المدخلات!$M$4:$M$15,MATCH(A615,المدخلات!$L$4:$L$15,0)),""))</f>
        <v/>
      </c>
      <c r="N615" s="4" t="str">
        <f t="shared" si="78"/>
        <v/>
      </c>
      <c r="O615" s="4" t="str">
        <f t="shared" si="79"/>
        <v/>
      </c>
    </row>
    <row r="616" spans="1:15">
      <c r="A616" s="11"/>
      <c r="B616" s="19"/>
      <c r="C616" s="19"/>
      <c r="D616" s="55"/>
      <c r="E616" s="56"/>
      <c r="F616" s="19"/>
      <c r="G616" s="4" t="str">
        <f t="shared" si="72"/>
        <v/>
      </c>
      <c r="H616" s="11" t="str">
        <f t="shared" si="73"/>
        <v/>
      </c>
      <c r="I616" s="55" t="str">
        <f t="shared" si="74"/>
        <v/>
      </c>
      <c r="J616" s="55" t="str">
        <f t="shared" si="75"/>
        <v/>
      </c>
      <c r="K616" s="4" t="str">
        <f t="shared" si="76"/>
        <v/>
      </c>
      <c r="L616" s="19" t="str">
        <f t="shared" si="77"/>
        <v/>
      </c>
      <c r="M616" s="12" t="str">
        <f>IF(A616="","",IFERROR(INDEX(المدخلات!$M$4:$M$15,MATCH(A616,المدخلات!$L$4:$L$15,0)),""))</f>
        <v/>
      </c>
      <c r="N616" s="4" t="str">
        <f t="shared" si="78"/>
        <v/>
      </c>
      <c r="O616" s="4" t="str">
        <f t="shared" si="79"/>
        <v/>
      </c>
    </row>
    <row r="617" spans="1:15">
      <c r="A617" s="11"/>
      <c r="B617" s="19"/>
      <c r="C617" s="19"/>
      <c r="D617" s="55"/>
      <c r="E617" s="56"/>
      <c r="F617" s="19"/>
      <c r="G617" s="4" t="str">
        <f t="shared" si="72"/>
        <v/>
      </c>
      <c r="H617" s="11" t="str">
        <f t="shared" si="73"/>
        <v/>
      </c>
      <c r="I617" s="55" t="str">
        <f t="shared" si="74"/>
        <v/>
      </c>
      <c r="J617" s="55" t="str">
        <f t="shared" si="75"/>
        <v/>
      </c>
      <c r="K617" s="4" t="str">
        <f t="shared" si="76"/>
        <v/>
      </c>
      <c r="L617" s="19" t="str">
        <f t="shared" si="77"/>
        <v/>
      </c>
      <c r="M617" s="12" t="str">
        <f>IF(A617="","",IFERROR(INDEX(المدخلات!$M$4:$M$15,MATCH(A617,المدخلات!$L$4:$L$15,0)),""))</f>
        <v/>
      </c>
      <c r="N617" s="4" t="str">
        <f t="shared" si="78"/>
        <v/>
      </c>
      <c r="O617" s="4" t="str">
        <f t="shared" si="79"/>
        <v/>
      </c>
    </row>
    <row r="618" spans="1:15">
      <c r="A618" s="11"/>
      <c r="B618" s="19"/>
      <c r="C618" s="19"/>
      <c r="D618" s="55"/>
      <c r="E618" s="56"/>
      <c r="F618" s="19"/>
      <c r="G618" s="4" t="str">
        <f t="shared" si="72"/>
        <v/>
      </c>
      <c r="H618" s="11" t="str">
        <f t="shared" si="73"/>
        <v/>
      </c>
      <c r="I618" s="55" t="str">
        <f t="shared" si="74"/>
        <v/>
      </c>
      <c r="J618" s="55" t="str">
        <f t="shared" si="75"/>
        <v/>
      </c>
      <c r="K618" s="4" t="str">
        <f t="shared" si="76"/>
        <v/>
      </c>
      <c r="L618" s="19" t="str">
        <f t="shared" si="77"/>
        <v/>
      </c>
      <c r="M618" s="12" t="str">
        <f>IF(A618="","",IFERROR(INDEX(المدخلات!$M$4:$M$15,MATCH(A618,المدخلات!$L$4:$L$15,0)),""))</f>
        <v/>
      </c>
      <c r="N618" s="4" t="str">
        <f t="shared" si="78"/>
        <v/>
      </c>
      <c r="O618" s="4" t="str">
        <f t="shared" si="79"/>
        <v/>
      </c>
    </row>
    <row r="619" spans="1:15">
      <c r="A619" s="11"/>
      <c r="B619" s="19"/>
      <c r="C619" s="19"/>
      <c r="D619" s="55"/>
      <c r="E619" s="56"/>
      <c r="F619" s="19"/>
      <c r="G619" s="4" t="str">
        <f t="shared" si="72"/>
        <v/>
      </c>
      <c r="H619" s="11" t="str">
        <f t="shared" si="73"/>
        <v/>
      </c>
      <c r="I619" s="55" t="str">
        <f t="shared" si="74"/>
        <v/>
      </c>
      <c r="J619" s="55" t="str">
        <f t="shared" si="75"/>
        <v/>
      </c>
      <c r="K619" s="4" t="str">
        <f t="shared" si="76"/>
        <v/>
      </c>
      <c r="L619" s="19" t="str">
        <f t="shared" si="77"/>
        <v/>
      </c>
      <c r="M619" s="12" t="str">
        <f>IF(A619="","",IFERROR(INDEX(المدخلات!$M$4:$M$15,MATCH(A619,المدخلات!$L$4:$L$15,0)),""))</f>
        <v/>
      </c>
      <c r="N619" s="4" t="str">
        <f t="shared" si="78"/>
        <v/>
      </c>
      <c r="O619" s="4" t="str">
        <f t="shared" si="79"/>
        <v/>
      </c>
    </row>
    <row r="620" spans="1:15">
      <c r="A620" s="11"/>
      <c r="B620" s="19"/>
      <c r="C620" s="19"/>
      <c r="D620" s="55"/>
      <c r="E620" s="56"/>
      <c r="F620" s="19"/>
      <c r="G620" s="4" t="str">
        <f t="shared" si="72"/>
        <v/>
      </c>
      <c r="H620" s="11" t="str">
        <f t="shared" si="73"/>
        <v/>
      </c>
      <c r="I620" s="55" t="str">
        <f t="shared" si="74"/>
        <v/>
      </c>
      <c r="J620" s="55" t="str">
        <f t="shared" si="75"/>
        <v/>
      </c>
      <c r="K620" s="4" t="str">
        <f t="shared" si="76"/>
        <v/>
      </c>
      <c r="L620" s="19" t="str">
        <f t="shared" si="77"/>
        <v/>
      </c>
      <c r="M620" s="12" t="str">
        <f>IF(A620="","",IFERROR(INDEX(المدخلات!$M$4:$M$15,MATCH(A620,المدخلات!$L$4:$L$15,0)),""))</f>
        <v/>
      </c>
      <c r="N620" s="4" t="str">
        <f t="shared" si="78"/>
        <v/>
      </c>
      <c r="O620" s="4" t="str">
        <f t="shared" si="79"/>
        <v/>
      </c>
    </row>
    <row r="621" spans="1:15">
      <c r="A621" s="11"/>
      <c r="B621" s="19"/>
      <c r="C621" s="19"/>
      <c r="D621" s="55"/>
      <c r="E621" s="56"/>
      <c r="F621" s="19"/>
      <c r="G621" s="4" t="str">
        <f t="shared" si="72"/>
        <v/>
      </c>
      <c r="H621" s="11" t="str">
        <f t="shared" si="73"/>
        <v/>
      </c>
      <c r="I621" s="55" t="str">
        <f t="shared" si="74"/>
        <v/>
      </c>
      <c r="J621" s="55" t="str">
        <f t="shared" si="75"/>
        <v/>
      </c>
      <c r="K621" s="4" t="str">
        <f t="shared" si="76"/>
        <v/>
      </c>
      <c r="L621" s="19" t="str">
        <f t="shared" si="77"/>
        <v/>
      </c>
      <c r="M621" s="12" t="str">
        <f>IF(A621="","",IFERROR(INDEX(المدخلات!$M$4:$M$15,MATCH(A621,المدخلات!$L$4:$L$15,0)),""))</f>
        <v/>
      </c>
      <c r="N621" s="4" t="str">
        <f t="shared" si="78"/>
        <v/>
      </c>
      <c r="O621" s="4" t="str">
        <f t="shared" si="79"/>
        <v/>
      </c>
    </row>
    <row r="622" spans="1:15">
      <c r="A622" s="11"/>
      <c r="B622" s="19"/>
      <c r="C622" s="19"/>
      <c r="D622" s="55"/>
      <c r="E622" s="56"/>
      <c r="F622" s="19"/>
      <c r="G622" s="4" t="str">
        <f t="shared" si="72"/>
        <v/>
      </c>
      <c r="H622" s="11" t="str">
        <f t="shared" si="73"/>
        <v/>
      </c>
      <c r="I622" s="55" t="str">
        <f t="shared" si="74"/>
        <v/>
      </c>
      <c r="J622" s="55" t="str">
        <f t="shared" si="75"/>
        <v/>
      </c>
      <c r="K622" s="4" t="str">
        <f t="shared" si="76"/>
        <v/>
      </c>
      <c r="L622" s="19" t="str">
        <f t="shared" si="77"/>
        <v/>
      </c>
      <c r="M622" s="12" t="str">
        <f>IF(A622="","",IFERROR(INDEX(المدخلات!$M$4:$M$15,MATCH(A622,المدخلات!$L$4:$L$15,0)),""))</f>
        <v/>
      </c>
      <c r="N622" s="4" t="str">
        <f t="shared" si="78"/>
        <v/>
      </c>
      <c r="O622" s="4" t="str">
        <f t="shared" si="79"/>
        <v/>
      </c>
    </row>
    <row r="623" spans="1:15">
      <c r="A623" s="11"/>
      <c r="B623" s="19"/>
      <c r="C623" s="19"/>
      <c r="D623" s="55"/>
      <c r="E623" s="56"/>
      <c r="F623" s="19"/>
      <c r="G623" s="4" t="str">
        <f t="shared" si="72"/>
        <v/>
      </c>
      <c r="H623" s="11" t="str">
        <f t="shared" si="73"/>
        <v/>
      </c>
      <c r="I623" s="55" t="str">
        <f t="shared" si="74"/>
        <v/>
      </c>
      <c r="J623" s="55" t="str">
        <f t="shared" si="75"/>
        <v/>
      </c>
      <c r="K623" s="4" t="str">
        <f t="shared" si="76"/>
        <v/>
      </c>
      <c r="L623" s="19" t="str">
        <f t="shared" si="77"/>
        <v/>
      </c>
      <c r="M623" s="12" t="str">
        <f>IF(A623="","",IFERROR(INDEX(المدخلات!$M$4:$M$15,MATCH(A623,المدخلات!$L$4:$L$15,0)),""))</f>
        <v/>
      </c>
      <c r="N623" s="4" t="str">
        <f t="shared" si="78"/>
        <v/>
      </c>
      <c r="O623" s="4" t="str">
        <f t="shared" si="79"/>
        <v/>
      </c>
    </row>
    <row r="624" spans="1:15">
      <c r="A624" s="11"/>
      <c r="B624" s="19"/>
      <c r="C624" s="19"/>
      <c r="D624" s="55"/>
      <c r="E624" s="56"/>
      <c r="F624" s="19"/>
      <c r="G624" s="4" t="str">
        <f t="shared" si="72"/>
        <v/>
      </c>
      <c r="H624" s="11" t="str">
        <f t="shared" si="73"/>
        <v/>
      </c>
      <c r="I624" s="55" t="str">
        <f t="shared" si="74"/>
        <v/>
      </c>
      <c r="J624" s="55" t="str">
        <f t="shared" si="75"/>
        <v/>
      </c>
      <c r="K624" s="4" t="str">
        <f t="shared" si="76"/>
        <v/>
      </c>
      <c r="L624" s="19" t="str">
        <f t="shared" si="77"/>
        <v/>
      </c>
      <c r="M624" s="12" t="str">
        <f>IF(A624="","",IFERROR(INDEX(المدخلات!$M$4:$M$15,MATCH(A624,المدخلات!$L$4:$L$15,0)),""))</f>
        <v/>
      </c>
      <c r="N624" s="4" t="str">
        <f t="shared" si="78"/>
        <v/>
      </c>
      <c r="O624" s="4" t="str">
        <f t="shared" si="79"/>
        <v/>
      </c>
    </row>
    <row r="625" spans="1:15">
      <c r="A625" s="11"/>
      <c r="B625" s="19"/>
      <c r="C625" s="19"/>
      <c r="D625" s="55"/>
      <c r="E625" s="56"/>
      <c r="F625" s="19"/>
      <c r="G625" s="4" t="str">
        <f t="shared" si="72"/>
        <v/>
      </c>
      <c r="H625" s="11" t="str">
        <f t="shared" si="73"/>
        <v/>
      </c>
      <c r="I625" s="55" t="str">
        <f t="shared" si="74"/>
        <v/>
      </c>
      <c r="J625" s="55" t="str">
        <f t="shared" si="75"/>
        <v/>
      </c>
      <c r="K625" s="4" t="str">
        <f t="shared" si="76"/>
        <v/>
      </c>
      <c r="L625" s="19" t="str">
        <f t="shared" si="77"/>
        <v/>
      </c>
      <c r="M625" s="12" t="str">
        <f>IF(A625="","",IFERROR(INDEX(المدخلات!$M$4:$M$15,MATCH(A625,المدخلات!$L$4:$L$15,0)),""))</f>
        <v/>
      </c>
      <c r="N625" s="4" t="str">
        <f t="shared" si="78"/>
        <v/>
      </c>
      <c r="O625" s="4" t="str">
        <f t="shared" si="79"/>
        <v/>
      </c>
    </row>
    <row r="626" spans="1:15">
      <c r="A626" s="11"/>
      <c r="B626" s="19"/>
      <c r="C626" s="19"/>
      <c r="D626" s="55"/>
      <c r="E626" s="56"/>
      <c r="F626" s="19"/>
      <c r="G626" s="4" t="str">
        <f t="shared" si="72"/>
        <v/>
      </c>
      <c r="H626" s="11" t="str">
        <f t="shared" si="73"/>
        <v/>
      </c>
      <c r="I626" s="55" t="str">
        <f t="shared" si="74"/>
        <v/>
      </c>
      <c r="J626" s="55" t="str">
        <f t="shared" si="75"/>
        <v/>
      </c>
      <c r="K626" s="4" t="str">
        <f t="shared" si="76"/>
        <v/>
      </c>
      <c r="L626" s="19" t="str">
        <f t="shared" si="77"/>
        <v/>
      </c>
      <c r="M626" s="12" t="str">
        <f>IF(A626="","",IFERROR(INDEX(المدخلات!$M$4:$M$15,MATCH(A626,المدخلات!$L$4:$L$15,0)),""))</f>
        <v/>
      </c>
      <c r="N626" s="4" t="str">
        <f t="shared" si="78"/>
        <v/>
      </c>
      <c r="O626" s="4" t="str">
        <f t="shared" si="79"/>
        <v/>
      </c>
    </row>
    <row r="627" spans="1:15">
      <c r="A627" s="11"/>
      <c r="B627" s="19"/>
      <c r="C627" s="19"/>
      <c r="D627" s="55"/>
      <c r="E627" s="56"/>
      <c r="F627" s="19"/>
      <c r="G627" s="4" t="str">
        <f t="shared" si="72"/>
        <v/>
      </c>
      <c r="H627" s="11" t="str">
        <f t="shared" si="73"/>
        <v/>
      </c>
      <c r="I627" s="55" t="str">
        <f t="shared" si="74"/>
        <v/>
      </c>
      <c r="J627" s="55" t="str">
        <f t="shared" si="75"/>
        <v/>
      </c>
      <c r="K627" s="4" t="str">
        <f t="shared" si="76"/>
        <v/>
      </c>
      <c r="L627" s="19" t="str">
        <f t="shared" si="77"/>
        <v/>
      </c>
      <c r="M627" s="12" t="str">
        <f>IF(A627="","",IFERROR(INDEX(المدخلات!$M$4:$M$15,MATCH(A627,المدخلات!$L$4:$L$15,0)),""))</f>
        <v/>
      </c>
      <c r="N627" s="4" t="str">
        <f t="shared" si="78"/>
        <v/>
      </c>
      <c r="O627" s="4" t="str">
        <f t="shared" si="79"/>
        <v/>
      </c>
    </row>
    <row r="628" spans="1:15">
      <c r="A628" s="11"/>
      <c r="B628" s="19"/>
      <c r="C628" s="19"/>
      <c r="D628" s="55"/>
      <c r="E628" s="56"/>
      <c r="F628" s="19"/>
      <c r="G628" s="4" t="str">
        <f t="shared" si="72"/>
        <v/>
      </c>
      <c r="H628" s="11" t="str">
        <f t="shared" si="73"/>
        <v/>
      </c>
      <c r="I628" s="55" t="str">
        <f t="shared" si="74"/>
        <v/>
      </c>
      <c r="J628" s="55" t="str">
        <f t="shared" si="75"/>
        <v/>
      </c>
      <c r="K628" s="4" t="str">
        <f t="shared" si="76"/>
        <v/>
      </c>
      <c r="L628" s="19" t="str">
        <f t="shared" si="77"/>
        <v/>
      </c>
      <c r="M628" s="12" t="str">
        <f>IF(A628="","",IFERROR(INDEX(المدخلات!$M$4:$M$15,MATCH(A628,المدخلات!$L$4:$L$15,0)),""))</f>
        <v/>
      </c>
      <c r="N628" s="4" t="str">
        <f t="shared" si="78"/>
        <v/>
      </c>
      <c r="O628" s="4" t="str">
        <f t="shared" si="79"/>
        <v/>
      </c>
    </row>
    <row r="629" spans="1:15">
      <c r="A629" s="11"/>
      <c r="B629" s="19"/>
      <c r="C629" s="19"/>
      <c r="D629" s="55"/>
      <c r="E629" s="56"/>
      <c r="F629" s="19"/>
      <c r="G629" s="4" t="str">
        <f t="shared" si="72"/>
        <v/>
      </c>
      <c r="H629" s="11" t="str">
        <f t="shared" si="73"/>
        <v/>
      </c>
      <c r="I629" s="55" t="str">
        <f t="shared" si="74"/>
        <v/>
      </c>
      <c r="J629" s="55" t="str">
        <f t="shared" si="75"/>
        <v/>
      </c>
      <c r="K629" s="4" t="str">
        <f t="shared" si="76"/>
        <v/>
      </c>
      <c r="L629" s="19" t="str">
        <f t="shared" si="77"/>
        <v/>
      </c>
      <c r="M629" s="12" t="str">
        <f>IF(A629="","",IFERROR(INDEX(المدخلات!$M$4:$M$15,MATCH(A629,المدخلات!$L$4:$L$15,0)),""))</f>
        <v/>
      </c>
      <c r="N629" s="4" t="str">
        <f t="shared" si="78"/>
        <v/>
      </c>
      <c r="O629" s="4" t="str">
        <f t="shared" si="79"/>
        <v/>
      </c>
    </row>
    <row r="630" spans="1:15">
      <c r="A630" s="11"/>
      <c r="B630" s="19"/>
      <c r="C630" s="19"/>
      <c r="D630" s="55"/>
      <c r="E630" s="56"/>
      <c r="F630" s="19"/>
      <c r="G630" s="4" t="str">
        <f t="shared" si="72"/>
        <v/>
      </c>
      <c r="H630" s="11" t="str">
        <f t="shared" si="73"/>
        <v/>
      </c>
      <c r="I630" s="55" t="str">
        <f t="shared" si="74"/>
        <v/>
      </c>
      <c r="J630" s="55" t="str">
        <f t="shared" si="75"/>
        <v/>
      </c>
      <c r="K630" s="4" t="str">
        <f t="shared" si="76"/>
        <v/>
      </c>
      <c r="L630" s="19" t="str">
        <f t="shared" si="77"/>
        <v/>
      </c>
      <c r="M630" s="12" t="str">
        <f>IF(A630="","",IFERROR(INDEX(المدخلات!$M$4:$M$15,MATCH(A630,المدخلات!$L$4:$L$15,0)),""))</f>
        <v/>
      </c>
      <c r="N630" s="4" t="str">
        <f t="shared" si="78"/>
        <v/>
      </c>
      <c r="O630" s="4" t="str">
        <f t="shared" si="79"/>
        <v/>
      </c>
    </row>
    <row r="631" spans="1:15">
      <c r="A631" s="11"/>
      <c r="B631" s="19"/>
      <c r="C631" s="19"/>
      <c r="D631" s="55"/>
      <c r="E631" s="56"/>
      <c r="F631" s="19"/>
      <c r="G631" s="4" t="str">
        <f t="shared" si="72"/>
        <v/>
      </c>
      <c r="H631" s="11" t="str">
        <f t="shared" si="73"/>
        <v/>
      </c>
      <c r="I631" s="55" t="str">
        <f t="shared" si="74"/>
        <v/>
      </c>
      <c r="J631" s="55" t="str">
        <f t="shared" si="75"/>
        <v/>
      </c>
      <c r="K631" s="4" t="str">
        <f t="shared" si="76"/>
        <v/>
      </c>
      <c r="L631" s="19" t="str">
        <f t="shared" si="77"/>
        <v/>
      </c>
      <c r="M631" s="12" t="str">
        <f>IF(A631="","",IFERROR(INDEX(المدخلات!$M$4:$M$15,MATCH(A631,المدخلات!$L$4:$L$15,0)),""))</f>
        <v/>
      </c>
      <c r="N631" s="4" t="str">
        <f t="shared" si="78"/>
        <v/>
      </c>
      <c r="O631" s="4" t="str">
        <f t="shared" si="79"/>
        <v/>
      </c>
    </row>
    <row r="632" spans="1:15">
      <c r="A632" s="11"/>
      <c r="B632" s="19"/>
      <c r="C632" s="19"/>
      <c r="D632" s="55"/>
      <c r="E632" s="56"/>
      <c r="F632" s="19"/>
      <c r="G632" s="4" t="str">
        <f t="shared" si="72"/>
        <v/>
      </c>
      <c r="H632" s="11" t="str">
        <f t="shared" si="73"/>
        <v/>
      </c>
      <c r="I632" s="55" t="str">
        <f t="shared" si="74"/>
        <v/>
      </c>
      <c r="J632" s="55" t="str">
        <f t="shared" si="75"/>
        <v/>
      </c>
      <c r="K632" s="4" t="str">
        <f t="shared" si="76"/>
        <v/>
      </c>
      <c r="L632" s="19" t="str">
        <f t="shared" si="77"/>
        <v/>
      </c>
      <c r="M632" s="12" t="str">
        <f>IF(A632="","",IFERROR(INDEX(المدخلات!$M$4:$M$15,MATCH(A632,المدخلات!$L$4:$L$15,0)),""))</f>
        <v/>
      </c>
      <c r="N632" s="4" t="str">
        <f t="shared" si="78"/>
        <v/>
      </c>
      <c r="O632" s="4" t="str">
        <f t="shared" si="79"/>
        <v/>
      </c>
    </row>
    <row r="633" spans="1:15">
      <c r="A633" s="11"/>
      <c r="B633" s="19"/>
      <c r="C633" s="19"/>
      <c r="D633" s="55"/>
      <c r="E633" s="56"/>
      <c r="F633" s="19"/>
      <c r="G633" s="4" t="str">
        <f t="shared" si="72"/>
        <v/>
      </c>
      <c r="H633" s="11" t="str">
        <f t="shared" si="73"/>
        <v/>
      </c>
      <c r="I633" s="55" t="str">
        <f t="shared" si="74"/>
        <v/>
      </c>
      <c r="J633" s="55" t="str">
        <f t="shared" si="75"/>
        <v/>
      </c>
      <c r="K633" s="4" t="str">
        <f t="shared" si="76"/>
        <v/>
      </c>
      <c r="L633" s="19" t="str">
        <f t="shared" si="77"/>
        <v/>
      </c>
      <c r="M633" s="12" t="str">
        <f>IF(A633="","",IFERROR(INDEX(المدخلات!$M$4:$M$15,MATCH(A633,المدخلات!$L$4:$L$15,0)),""))</f>
        <v/>
      </c>
      <c r="N633" s="4" t="str">
        <f t="shared" si="78"/>
        <v/>
      </c>
      <c r="O633" s="4" t="str">
        <f t="shared" si="79"/>
        <v/>
      </c>
    </row>
    <row r="634" spans="1:15">
      <c r="A634" s="11"/>
      <c r="B634" s="19"/>
      <c r="C634" s="19"/>
      <c r="D634" s="55"/>
      <c r="E634" s="56"/>
      <c r="F634" s="19"/>
      <c r="G634" s="4" t="str">
        <f t="shared" si="72"/>
        <v/>
      </c>
      <c r="H634" s="11" t="str">
        <f t="shared" si="73"/>
        <v/>
      </c>
      <c r="I634" s="55" t="str">
        <f t="shared" si="74"/>
        <v/>
      </c>
      <c r="J634" s="55" t="str">
        <f t="shared" si="75"/>
        <v/>
      </c>
      <c r="K634" s="4" t="str">
        <f t="shared" si="76"/>
        <v/>
      </c>
      <c r="L634" s="19" t="str">
        <f t="shared" si="77"/>
        <v/>
      </c>
      <c r="M634" s="12" t="str">
        <f>IF(A634="","",IFERROR(INDEX(المدخلات!$M$4:$M$15,MATCH(A634,المدخلات!$L$4:$L$15,0)),""))</f>
        <v/>
      </c>
      <c r="N634" s="4" t="str">
        <f t="shared" si="78"/>
        <v/>
      </c>
      <c r="O634" s="4" t="str">
        <f t="shared" si="79"/>
        <v/>
      </c>
    </row>
    <row r="635" spans="1:15">
      <c r="A635" s="11"/>
      <c r="B635" s="19"/>
      <c r="C635" s="19"/>
      <c r="D635" s="55"/>
      <c r="E635" s="56"/>
      <c r="F635" s="19"/>
      <c r="G635" s="4" t="str">
        <f t="shared" si="72"/>
        <v/>
      </c>
      <c r="H635" s="11" t="str">
        <f t="shared" si="73"/>
        <v/>
      </c>
      <c r="I635" s="55" t="str">
        <f t="shared" si="74"/>
        <v/>
      </c>
      <c r="J635" s="55" t="str">
        <f t="shared" si="75"/>
        <v/>
      </c>
      <c r="K635" s="4" t="str">
        <f t="shared" si="76"/>
        <v/>
      </c>
      <c r="L635" s="19" t="str">
        <f t="shared" si="77"/>
        <v/>
      </c>
      <c r="M635" s="12" t="str">
        <f>IF(A635="","",IFERROR(INDEX(المدخلات!$M$4:$M$15,MATCH(A635,المدخلات!$L$4:$L$15,0)),""))</f>
        <v/>
      </c>
      <c r="N635" s="4" t="str">
        <f t="shared" si="78"/>
        <v/>
      </c>
      <c r="O635" s="4" t="str">
        <f t="shared" si="79"/>
        <v/>
      </c>
    </row>
    <row r="636" spans="1:15">
      <c r="A636" s="11"/>
      <c r="B636" s="19"/>
      <c r="C636" s="19"/>
      <c r="D636" s="55"/>
      <c r="E636" s="56"/>
      <c r="F636" s="19"/>
      <c r="G636" s="4" t="str">
        <f t="shared" si="72"/>
        <v/>
      </c>
      <c r="H636" s="11" t="str">
        <f t="shared" si="73"/>
        <v/>
      </c>
      <c r="I636" s="55" t="str">
        <f t="shared" si="74"/>
        <v/>
      </c>
      <c r="J636" s="55" t="str">
        <f t="shared" si="75"/>
        <v/>
      </c>
      <c r="K636" s="4" t="str">
        <f t="shared" si="76"/>
        <v/>
      </c>
      <c r="L636" s="19" t="str">
        <f t="shared" si="77"/>
        <v/>
      </c>
      <c r="M636" s="12" t="str">
        <f>IF(A636="","",IFERROR(INDEX(المدخلات!$M$4:$M$15,MATCH(A636,المدخلات!$L$4:$L$15,0)),""))</f>
        <v/>
      </c>
      <c r="N636" s="4" t="str">
        <f t="shared" si="78"/>
        <v/>
      </c>
      <c r="O636" s="4" t="str">
        <f t="shared" si="79"/>
        <v/>
      </c>
    </row>
    <row r="637" spans="1:15">
      <c r="A637" s="11"/>
      <c r="B637" s="19"/>
      <c r="C637" s="19"/>
      <c r="D637" s="55"/>
      <c r="E637" s="56"/>
      <c r="F637" s="19"/>
      <c r="G637" s="4" t="str">
        <f t="shared" si="72"/>
        <v/>
      </c>
      <c r="H637" s="11" t="str">
        <f t="shared" si="73"/>
        <v/>
      </c>
      <c r="I637" s="55" t="str">
        <f t="shared" si="74"/>
        <v/>
      </c>
      <c r="J637" s="55" t="str">
        <f t="shared" si="75"/>
        <v/>
      </c>
      <c r="K637" s="4" t="str">
        <f t="shared" si="76"/>
        <v/>
      </c>
      <c r="L637" s="19" t="str">
        <f t="shared" si="77"/>
        <v/>
      </c>
      <c r="M637" s="12" t="str">
        <f>IF(A637="","",IFERROR(INDEX(المدخلات!$M$4:$M$15,MATCH(A637,المدخلات!$L$4:$L$15,0)),""))</f>
        <v/>
      </c>
      <c r="N637" s="4" t="str">
        <f t="shared" si="78"/>
        <v/>
      </c>
      <c r="O637" s="4" t="str">
        <f t="shared" si="79"/>
        <v/>
      </c>
    </row>
    <row r="638" spans="1:15">
      <c r="A638" s="11"/>
      <c r="B638" s="19"/>
      <c r="C638" s="19"/>
      <c r="D638" s="55"/>
      <c r="E638" s="56"/>
      <c r="F638" s="19"/>
      <c r="G638" s="4" t="str">
        <f t="shared" si="72"/>
        <v/>
      </c>
      <c r="H638" s="11" t="str">
        <f t="shared" si="73"/>
        <v/>
      </c>
      <c r="I638" s="55" t="str">
        <f t="shared" si="74"/>
        <v/>
      </c>
      <c r="J638" s="55" t="str">
        <f t="shared" si="75"/>
        <v/>
      </c>
      <c r="K638" s="4" t="str">
        <f t="shared" si="76"/>
        <v/>
      </c>
      <c r="L638" s="19" t="str">
        <f t="shared" si="77"/>
        <v/>
      </c>
      <c r="M638" s="12" t="str">
        <f>IF(A638="","",IFERROR(INDEX(المدخلات!$M$4:$M$15,MATCH(A638,المدخلات!$L$4:$L$15,0)),""))</f>
        <v/>
      </c>
      <c r="N638" s="4" t="str">
        <f t="shared" si="78"/>
        <v/>
      </c>
      <c r="O638" s="4" t="str">
        <f t="shared" si="79"/>
        <v/>
      </c>
    </row>
    <row r="639" spans="1:15">
      <c r="A639" s="11"/>
      <c r="B639" s="19"/>
      <c r="C639" s="19"/>
      <c r="D639" s="55"/>
      <c r="E639" s="56"/>
      <c r="F639" s="19"/>
      <c r="G639" s="4" t="str">
        <f t="shared" si="72"/>
        <v/>
      </c>
      <c r="H639" s="11" t="str">
        <f t="shared" si="73"/>
        <v/>
      </c>
      <c r="I639" s="55" t="str">
        <f t="shared" si="74"/>
        <v/>
      </c>
      <c r="J639" s="55" t="str">
        <f t="shared" si="75"/>
        <v/>
      </c>
      <c r="K639" s="4" t="str">
        <f t="shared" si="76"/>
        <v/>
      </c>
      <c r="L639" s="19" t="str">
        <f t="shared" si="77"/>
        <v/>
      </c>
      <c r="M639" s="12" t="str">
        <f>IF(A639="","",IFERROR(INDEX(المدخلات!$M$4:$M$15,MATCH(A639,المدخلات!$L$4:$L$15,0)),""))</f>
        <v/>
      </c>
      <c r="N639" s="4" t="str">
        <f t="shared" si="78"/>
        <v/>
      </c>
      <c r="O639" s="4" t="str">
        <f t="shared" si="79"/>
        <v/>
      </c>
    </row>
    <row r="640" spans="1:15">
      <c r="A640" s="11"/>
      <c r="B640" s="19"/>
      <c r="C640" s="19"/>
      <c r="D640" s="55"/>
      <c r="E640" s="56"/>
      <c r="F640" s="19"/>
      <c r="G640" s="4" t="str">
        <f t="shared" si="72"/>
        <v/>
      </c>
      <c r="H640" s="11" t="str">
        <f t="shared" si="73"/>
        <v/>
      </c>
      <c r="I640" s="55" t="str">
        <f t="shared" si="74"/>
        <v/>
      </c>
      <c r="J640" s="55" t="str">
        <f t="shared" si="75"/>
        <v/>
      </c>
      <c r="K640" s="4" t="str">
        <f t="shared" si="76"/>
        <v/>
      </c>
      <c r="L640" s="19" t="str">
        <f t="shared" si="77"/>
        <v/>
      </c>
      <c r="M640" s="12" t="str">
        <f>IF(A640="","",IFERROR(INDEX(المدخلات!$M$4:$M$15,MATCH(A640,المدخلات!$L$4:$L$15,0)),""))</f>
        <v/>
      </c>
      <c r="N640" s="4" t="str">
        <f t="shared" si="78"/>
        <v/>
      </c>
      <c r="O640" s="4" t="str">
        <f t="shared" si="79"/>
        <v/>
      </c>
    </row>
    <row r="641" spans="1:15">
      <c r="A641" s="11"/>
      <c r="B641" s="19"/>
      <c r="C641" s="19"/>
      <c r="D641" s="55"/>
      <c r="E641" s="56"/>
      <c r="F641" s="19"/>
      <c r="G641" s="4" t="str">
        <f t="shared" si="72"/>
        <v/>
      </c>
      <c r="H641" s="11" t="str">
        <f t="shared" si="73"/>
        <v/>
      </c>
      <c r="I641" s="55" t="str">
        <f t="shared" si="74"/>
        <v/>
      </c>
      <c r="J641" s="55" t="str">
        <f t="shared" si="75"/>
        <v/>
      </c>
      <c r="K641" s="4" t="str">
        <f t="shared" si="76"/>
        <v/>
      </c>
      <c r="L641" s="19" t="str">
        <f t="shared" si="77"/>
        <v/>
      </c>
      <c r="M641" s="12" t="str">
        <f>IF(A641="","",IFERROR(INDEX(المدخلات!$M$4:$M$15,MATCH(A641,المدخلات!$L$4:$L$15,0)),""))</f>
        <v/>
      </c>
      <c r="N641" s="4" t="str">
        <f t="shared" si="78"/>
        <v/>
      </c>
      <c r="O641" s="4" t="str">
        <f t="shared" si="79"/>
        <v/>
      </c>
    </row>
    <row r="642" spans="1:15">
      <c r="A642" s="11"/>
      <c r="B642" s="19"/>
      <c r="C642" s="19"/>
      <c r="D642" s="55"/>
      <c r="E642" s="56"/>
      <c r="F642" s="19"/>
      <c r="G642" s="4" t="str">
        <f t="shared" si="72"/>
        <v/>
      </c>
      <c r="H642" s="11" t="str">
        <f t="shared" si="73"/>
        <v/>
      </c>
      <c r="I642" s="55" t="str">
        <f t="shared" si="74"/>
        <v/>
      </c>
      <c r="J642" s="55" t="str">
        <f t="shared" si="75"/>
        <v/>
      </c>
      <c r="K642" s="4" t="str">
        <f t="shared" si="76"/>
        <v/>
      </c>
      <c r="L642" s="19" t="str">
        <f t="shared" si="77"/>
        <v/>
      </c>
      <c r="M642" s="12" t="str">
        <f>IF(A642="","",IFERROR(INDEX(المدخلات!$M$4:$M$15,MATCH(A642,المدخلات!$L$4:$L$15,0)),""))</f>
        <v/>
      </c>
      <c r="N642" s="4" t="str">
        <f t="shared" si="78"/>
        <v/>
      </c>
      <c r="O642" s="4" t="str">
        <f t="shared" si="79"/>
        <v/>
      </c>
    </row>
    <row r="643" spans="1:15">
      <c r="A643" s="11"/>
      <c r="B643" s="19"/>
      <c r="C643" s="19"/>
      <c r="D643" s="55"/>
      <c r="E643" s="56"/>
      <c r="F643" s="19"/>
      <c r="G643" s="4" t="str">
        <f t="shared" si="72"/>
        <v/>
      </c>
      <c r="H643" s="11" t="str">
        <f t="shared" si="73"/>
        <v/>
      </c>
      <c r="I643" s="55" t="str">
        <f t="shared" si="74"/>
        <v/>
      </c>
      <c r="J643" s="55" t="str">
        <f t="shared" si="75"/>
        <v/>
      </c>
      <c r="K643" s="4" t="str">
        <f t="shared" si="76"/>
        <v/>
      </c>
      <c r="L643" s="19" t="str">
        <f t="shared" si="77"/>
        <v/>
      </c>
      <c r="M643" s="12" t="str">
        <f>IF(A643="","",IFERROR(INDEX(المدخلات!$M$4:$M$15,MATCH(A643,المدخلات!$L$4:$L$15,0)),""))</f>
        <v/>
      </c>
      <c r="N643" s="4" t="str">
        <f t="shared" si="78"/>
        <v/>
      </c>
      <c r="O643" s="4" t="str">
        <f t="shared" si="79"/>
        <v/>
      </c>
    </row>
    <row r="644" spans="1:15">
      <c r="A644" s="11"/>
      <c r="B644" s="19"/>
      <c r="C644" s="19"/>
      <c r="D644" s="55"/>
      <c r="E644" s="56"/>
      <c r="F644" s="19"/>
      <c r="G644" s="4" t="str">
        <f t="shared" si="72"/>
        <v/>
      </c>
      <c r="H644" s="11" t="str">
        <f t="shared" si="73"/>
        <v/>
      </c>
      <c r="I644" s="55" t="str">
        <f t="shared" si="74"/>
        <v/>
      </c>
      <c r="J644" s="55" t="str">
        <f t="shared" si="75"/>
        <v/>
      </c>
      <c r="K644" s="4" t="str">
        <f t="shared" si="76"/>
        <v/>
      </c>
      <c r="L644" s="19" t="str">
        <f t="shared" si="77"/>
        <v/>
      </c>
      <c r="M644" s="12" t="str">
        <f>IF(A644="","",IFERROR(INDEX(المدخلات!$M$4:$M$15,MATCH(A644,المدخلات!$L$4:$L$15,0)),""))</f>
        <v/>
      </c>
      <c r="N644" s="4" t="str">
        <f t="shared" si="78"/>
        <v/>
      </c>
      <c r="O644" s="4" t="str">
        <f t="shared" si="79"/>
        <v/>
      </c>
    </row>
    <row r="645" spans="1:15">
      <c r="A645" s="11"/>
      <c r="B645" s="19"/>
      <c r="C645" s="19"/>
      <c r="D645" s="55"/>
      <c r="E645" s="56"/>
      <c r="F645" s="19"/>
      <c r="G645" s="4" t="str">
        <f t="shared" ref="G645:G708" si="80">IF(OR(D645="",E645=""),"",D645*E645)</f>
        <v/>
      </c>
      <c r="H645" s="11" t="str">
        <f t="shared" ref="H645:H708" si="81">IF(C645="","",IFERROR(_xlfn.MAXIFS($A$5:$A$2003,$C$5:$C$2003,C645,$A$5:$A$2003,"&lt;"&amp;A645),0))</f>
        <v/>
      </c>
      <c r="I645" s="55" t="str">
        <f t="shared" ref="I645:I708" si="82">IF(OR(H645="",H645=0),"",IFERROR(SUMIFS($D$5:$D$2003,$C$5:$C$2003,C645,$A$5:$A$2003,H645),""))</f>
        <v/>
      </c>
      <c r="J645" s="55" t="str">
        <f t="shared" ref="J645:J708" si="83">IF(C645="","",IF(I645="",0,MAX(I645-D645,0)))</f>
        <v/>
      </c>
      <c r="K645" s="4" t="str">
        <f t="shared" ref="K645:K708" si="84">IF(J645="","",J645*E645)</f>
        <v/>
      </c>
      <c r="L645" s="19" t="str">
        <f t="shared" ref="L645:L708" si="85">IF(C645="","",IF(COUNTIFS($A$5:$A$2003,A645,$C$5:$C$2003,C645)&gt;1,"⚠️ مادة مكررة بنفس الشهر",IF(OR(H645="",H645=0),"🆕 أول ظهور لهذه المادة",IF(D645&gt;I645,"ℹ️ زيادة كمية (شراء/تصحيح) - لا تُحتسب استهلاكاً",IF(D645=I645,"➖ لا تغيير","")))))</f>
        <v/>
      </c>
      <c r="M645" s="12" t="str">
        <f>IF(A645="","",IFERROR(INDEX(المدخلات!$M$4:$M$15,MATCH(A645,المدخلات!$L$4:$L$15,0)),""))</f>
        <v/>
      </c>
      <c r="N645" s="4" t="str">
        <f t="shared" ref="N645:N708" si="86">IF(OR(G645="",F645=""),"",IF(F645="دولار أمريكي",IF(M645="","⚠️ لا يوجد سعر صرف",G645*M645),G645))</f>
        <v/>
      </c>
      <c r="O645" s="4" t="str">
        <f t="shared" ref="O645:O708" si="87">IF(OR(K645="",F645=""),"",IF(F645="دولار أمريكي",IF(M645="","⚠️ لا يوجد سعر صرف",K645*M645),K645))</f>
        <v/>
      </c>
    </row>
    <row r="646" spans="1:15">
      <c r="A646" s="11"/>
      <c r="B646" s="19"/>
      <c r="C646" s="19"/>
      <c r="D646" s="55"/>
      <c r="E646" s="56"/>
      <c r="F646" s="19"/>
      <c r="G646" s="4" t="str">
        <f t="shared" si="80"/>
        <v/>
      </c>
      <c r="H646" s="11" t="str">
        <f t="shared" si="81"/>
        <v/>
      </c>
      <c r="I646" s="55" t="str">
        <f t="shared" si="82"/>
        <v/>
      </c>
      <c r="J646" s="55" t="str">
        <f t="shared" si="83"/>
        <v/>
      </c>
      <c r="K646" s="4" t="str">
        <f t="shared" si="84"/>
        <v/>
      </c>
      <c r="L646" s="19" t="str">
        <f t="shared" si="85"/>
        <v/>
      </c>
      <c r="M646" s="12" t="str">
        <f>IF(A646="","",IFERROR(INDEX(المدخلات!$M$4:$M$15,MATCH(A646,المدخلات!$L$4:$L$15,0)),""))</f>
        <v/>
      </c>
      <c r="N646" s="4" t="str">
        <f t="shared" si="86"/>
        <v/>
      </c>
      <c r="O646" s="4" t="str">
        <f t="shared" si="87"/>
        <v/>
      </c>
    </row>
    <row r="647" spans="1:15">
      <c r="A647" s="11"/>
      <c r="B647" s="19"/>
      <c r="C647" s="19"/>
      <c r="D647" s="55"/>
      <c r="E647" s="56"/>
      <c r="F647" s="19"/>
      <c r="G647" s="4" t="str">
        <f t="shared" si="80"/>
        <v/>
      </c>
      <c r="H647" s="11" t="str">
        <f t="shared" si="81"/>
        <v/>
      </c>
      <c r="I647" s="55" t="str">
        <f t="shared" si="82"/>
        <v/>
      </c>
      <c r="J647" s="55" t="str">
        <f t="shared" si="83"/>
        <v/>
      </c>
      <c r="K647" s="4" t="str">
        <f t="shared" si="84"/>
        <v/>
      </c>
      <c r="L647" s="19" t="str">
        <f t="shared" si="85"/>
        <v/>
      </c>
      <c r="M647" s="12" t="str">
        <f>IF(A647="","",IFERROR(INDEX(المدخلات!$M$4:$M$15,MATCH(A647,المدخلات!$L$4:$L$15,0)),""))</f>
        <v/>
      </c>
      <c r="N647" s="4" t="str">
        <f t="shared" si="86"/>
        <v/>
      </c>
      <c r="O647" s="4" t="str">
        <f t="shared" si="87"/>
        <v/>
      </c>
    </row>
    <row r="648" spans="1:15">
      <c r="A648" s="11"/>
      <c r="B648" s="19"/>
      <c r="C648" s="19"/>
      <c r="D648" s="55"/>
      <c r="E648" s="56"/>
      <c r="F648" s="19"/>
      <c r="G648" s="4" t="str">
        <f t="shared" si="80"/>
        <v/>
      </c>
      <c r="H648" s="11" t="str">
        <f t="shared" si="81"/>
        <v/>
      </c>
      <c r="I648" s="55" t="str">
        <f t="shared" si="82"/>
        <v/>
      </c>
      <c r="J648" s="55" t="str">
        <f t="shared" si="83"/>
        <v/>
      </c>
      <c r="K648" s="4" t="str">
        <f t="shared" si="84"/>
        <v/>
      </c>
      <c r="L648" s="19" t="str">
        <f t="shared" si="85"/>
        <v/>
      </c>
      <c r="M648" s="12" t="str">
        <f>IF(A648="","",IFERROR(INDEX(المدخلات!$M$4:$M$15,MATCH(A648,المدخلات!$L$4:$L$15,0)),""))</f>
        <v/>
      </c>
      <c r="N648" s="4" t="str">
        <f t="shared" si="86"/>
        <v/>
      </c>
      <c r="O648" s="4" t="str">
        <f t="shared" si="87"/>
        <v/>
      </c>
    </row>
    <row r="649" spans="1:15">
      <c r="A649" s="11"/>
      <c r="B649" s="19"/>
      <c r="C649" s="19"/>
      <c r="D649" s="55"/>
      <c r="E649" s="56"/>
      <c r="F649" s="19"/>
      <c r="G649" s="4" t="str">
        <f t="shared" si="80"/>
        <v/>
      </c>
      <c r="H649" s="11" t="str">
        <f t="shared" si="81"/>
        <v/>
      </c>
      <c r="I649" s="55" t="str">
        <f t="shared" si="82"/>
        <v/>
      </c>
      <c r="J649" s="55" t="str">
        <f t="shared" si="83"/>
        <v/>
      </c>
      <c r="K649" s="4" t="str">
        <f t="shared" si="84"/>
        <v/>
      </c>
      <c r="L649" s="19" t="str">
        <f t="shared" si="85"/>
        <v/>
      </c>
      <c r="M649" s="12" t="str">
        <f>IF(A649="","",IFERROR(INDEX(المدخلات!$M$4:$M$15,MATCH(A649,المدخلات!$L$4:$L$15,0)),""))</f>
        <v/>
      </c>
      <c r="N649" s="4" t="str">
        <f t="shared" si="86"/>
        <v/>
      </c>
      <c r="O649" s="4" t="str">
        <f t="shared" si="87"/>
        <v/>
      </c>
    </row>
    <row r="650" spans="1:15">
      <c r="A650" s="11"/>
      <c r="B650" s="19"/>
      <c r="C650" s="19"/>
      <c r="D650" s="55"/>
      <c r="E650" s="56"/>
      <c r="F650" s="19"/>
      <c r="G650" s="4" t="str">
        <f t="shared" si="80"/>
        <v/>
      </c>
      <c r="H650" s="11" t="str">
        <f t="shared" si="81"/>
        <v/>
      </c>
      <c r="I650" s="55" t="str">
        <f t="shared" si="82"/>
        <v/>
      </c>
      <c r="J650" s="55" t="str">
        <f t="shared" si="83"/>
        <v/>
      </c>
      <c r="K650" s="4" t="str">
        <f t="shared" si="84"/>
        <v/>
      </c>
      <c r="L650" s="19" t="str">
        <f t="shared" si="85"/>
        <v/>
      </c>
      <c r="M650" s="12" t="str">
        <f>IF(A650="","",IFERROR(INDEX(المدخلات!$M$4:$M$15,MATCH(A650,المدخلات!$L$4:$L$15,0)),""))</f>
        <v/>
      </c>
      <c r="N650" s="4" t="str">
        <f t="shared" si="86"/>
        <v/>
      </c>
      <c r="O650" s="4" t="str">
        <f t="shared" si="87"/>
        <v/>
      </c>
    </row>
    <row r="651" spans="1:15">
      <c r="A651" s="11"/>
      <c r="B651" s="19"/>
      <c r="C651" s="19"/>
      <c r="D651" s="55"/>
      <c r="E651" s="56"/>
      <c r="F651" s="19"/>
      <c r="G651" s="4" t="str">
        <f t="shared" si="80"/>
        <v/>
      </c>
      <c r="H651" s="11" t="str">
        <f t="shared" si="81"/>
        <v/>
      </c>
      <c r="I651" s="55" t="str">
        <f t="shared" si="82"/>
        <v/>
      </c>
      <c r="J651" s="55" t="str">
        <f t="shared" si="83"/>
        <v/>
      </c>
      <c r="K651" s="4" t="str">
        <f t="shared" si="84"/>
        <v/>
      </c>
      <c r="L651" s="19" t="str">
        <f t="shared" si="85"/>
        <v/>
      </c>
      <c r="M651" s="12" t="str">
        <f>IF(A651="","",IFERROR(INDEX(المدخلات!$M$4:$M$15,MATCH(A651,المدخلات!$L$4:$L$15,0)),""))</f>
        <v/>
      </c>
      <c r="N651" s="4" t="str">
        <f t="shared" si="86"/>
        <v/>
      </c>
      <c r="O651" s="4" t="str">
        <f t="shared" si="87"/>
        <v/>
      </c>
    </row>
    <row r="652" spans="1:15">
      <c r="A652" s="11"/>
      <c r="B652" s="19"/>
      <c r="C652" s="19"/>
      <c r="D652" s="55"/>
      <c r="E652" s="56"/>
      <c r="F652" s="19"/>
      <c r="G652" s="4" t="str">
        <f t="shared" si="80"/>
        <v/>
      </c>
      <c r="H652" s="11" t="str">
        <f t="shared" si="81"/>
        <v/>
      </c>
      <c r="I652" s="55" t="str">
        <f t="shared" si="82"/>
        <v/>
      </c>
      <c r="J652" s="55" t="str">
        <f t="shared" si="83"/>
        <v/>
      </c>
      <c r="K652" s="4" t="str">
        <f t="shared" si="84"/>
        <v/>
      </c>
      <c r="L652" s="19" t="str">
        <f t="shared" si="85"/>
        <v/>
      </c>
      <c r="M652" s="12" t="str">
        <f>IF(A652="","",IFERROR(INDEX(المدخلات!$M$4:$M$15,MATCH(A652,المدخلات!$L$4:$L$15,0)),""))</f>
        <v/>
      </c>
      <c r="N652" s="4" t="str">
        <f t="shared" si="86"/>
        <v/>
      </c>
      <c r="O652" s="4" t="str">
        <f t="shared" si="87"/>
        <v/>
      </c>
    </row>
    <row r="653" spans="1:15">
      <c r="A653" s="11"/>
      <c r="B653" s="19"/>
      <c r="C653" s="19"/>
      <c r="D653" s="55"/>
      <c r="E653" s="56"/>
      <c r="F653" s="19"/>
      <c r="G653" s="4" t="str">
        <f t="shared" si="80"/>
        <v/>
      </c>
      <c r="H653" s="11" t="str">
        <f t="shared" si="81"/>
        <v/>
      </c>
      <c r="I653" s="55" t="str">
        <f t="shared" si="82"/>
        <v/>
      </c>
      <c r="J653" s="55" t="str">
        <f t="shared" si="83"/>
        <v/>
      </c>
      <c r="K653" s="4" t="str">
        <f t="shared" si="84"/>
        <v/>
      </c>
      <c r="L653" s="19" t="str">
        <f t="shared" si="85"/>
        <v/>
      </c>
      <c r="M653" s="12" t="str">
        <f>IF(A653="","",IFERROR(INDEX(المدخلات!$M$4:$M$15,MATCH(A653,المدخلات!$L$4:$L$15,0)),""))</f>
        <v/>
      </c>
      <c r="N653" s="4" t="str">
        <f t="shared" si="86"/>
        <v/>
      </c>
      <c r="O653" s="4" t="str">
        <f t="shared" si="87"/>
        <v/>
      </c>
    </row>
    <row r="654" spans="1:15">
      <c r="A654" s="11"/>
      <c r="B654" s="19"/>
      <c r="C654" s="19"/>
      <c r="D654" s="55"/>
      <c r="E654" s="56"/>
      <c r="F654" s="19"/>
      <c r="G654" s="4" t="str">
        <f t="shared" si="80"/>
        <v/>
      </c>
      <c r="H654" s="11" t="str">
        <f t="shared" si="81"/>
        <v/>
      </c>
      <c r="I654" s="55" t="str">
        <f t="shared" si="82"/>
        <v/>
      </c>
      <c r="J654" s="55" t="str">
        <f t="shared" si="83"/>
        <v/>
      </c>
      <c r="K654" s="4" t="str">
        <f t="shared" si="84"/>
        <v/>
      </c>
      <c r="L654" s="19" t="str">
        <f t="shared" si="85"/>
        <v/>
      </c>
      <c r="M654" s="12" t="str">
        <f>IF(A654="","",IFERROR(INDEX(المدخلات!$M$4:$M$15,MATCH(A654,المدخلات!$L$4:$L$15,0)),""))</f>
        <v/>
      </c>
      <c r="N654" s="4" t="str">
        <f t="shared" si="86"/>
        <v/>
      </c>
      <c r="O654" s="4" t="str">
        <f t="shared" si="87"/>
        <v/>
      </c>
    </row>
    <row r="655" spans="1:15">
      <c r="A655" s="11"/>
      <c r="B655" s="19"/>
      <c r="C655" s="19"/>
      <c r="D655" s="55"/>
      <c r="E655" s="56"/>
      <c r="F655" s="19"/>
      <c r="G655" s="4" t="str">
        <f t="shared" si="80"/>
        <v/>
      </c>
      <c r="H655" s="11" t="str">
        <f t="shared" si="81"/>
        <v/>
      </c>
      <c r="I655" s="55" t="str">
        <f t="shared" si="82"/>
        <v/>
      </c>
      <c r="J655" s="55" t="str">
        <f t="shared" si="83"/>
        <v/>
      </c>
      <c r="K655" s="4" t="str">
        <f t="shared" si="84"/>
        <v/>
      </c>
      <c r="L655" s="19" t="str">
        <f t="shared" si="85"/>
        <v/>
      </c>
      <c r="M655" s="12" t="str">
        <f>IF(A655="","",IFERROR(INDEX(المدخلات!$M$4:$M$15,MATCH(A655,المدخلات!$L$4:$L$15,0)),""))</f>
        <v/>
      </c>
      <c r="N655" s="4" t="str">
        <f t="shared" si="86"/>
        <v/>
      </c>
      <c r="O655" s="4" t="str">
        <f t="shared" si="87"/>
        <v/>
      </c>
    </row>
    <row r="656" spans="1:15">
      <c r="A656" s="11"/>
      <c r="B656" s="19"/>
      <c r="C656" s="19"/>
      <c r="D656" s="55"/>
      <c r="E656" s="56"/>
      <c r="F656" s="19"/>
      <c r="G656" s="4" t="str">
        <f t="shared" si="80"/>
        <v/>
      </c>
      <c r="H656" s="11" t="str">
        <f t="shared" si="81"/>
        <v/>
      </c>
      <c r="I656" s="55" t="str">
        <f t="shared" si="82"/>
        <v/>
      </c>
      <c r="J656" s="55" t="str">
        <f t="shared" si="83"/>
        <v/>
      </c>
      <c r="K656" s="4" t="str">
        <f t="shared" si="84"/>
        <v/>
      </c>
      <c r="L656" s="19" t="str">
        <f t="shared" si="85"/>
        <v/>
      </c>
      <c r="M656" s="12" t="str">
        <f>IF(A656="","",IFERROR(INDEX(المدخلات!$M$4:$M$15,MATCH(A656,المدخلات!$L$4:$L$15,0)),""))</f>
        <v/>
      </c>
      <c r="N656" s="4" t="str">
        <f t="shared" si="86"/>
        <v/>
      </c>
      <c r="O656" s="4" t="str">
        <f t="shared" si="87"/>
        <v/>
      </c>
    </row>
    <row r="657" spans="1:15">
      <c r="A657" s="11"/>
      <c r="B657" s="19"/>
      <c r="C657" s="19"/>
      <c r="D657" s="55"/>
      <c r="E657" s="56"/>
      <c r="F657" s="19"/>
      <c r="G657" s="4" t="str">
        <f t="shared" si="80"/>
        <v/>
      </c>
      <c r="H657" s="11" t="str">
        <f t="shared" si="81"/>
        <v/>
      </c>
      <c r="I657" s="55" t="str">
        <f t="shared" si="82"/>
        <v/>
      </c>
      <c r="J657" s="55" t="str">
        <f t="shared" si="83"/>
        <v/>
      </c>
      <c r="K657" s="4" t="str">
        <f t="shared" si="84"/>
        <v/>
      </c>
      <c r="L657" s="19" t="str">
        <f t="shared" si="85"/>
        <v/>
      </c>
      <c r="M657" s="12" t="str">
        <f>IF(A657="","",IFERROR(INDEX(المدخلات!$M$4:$M$15,MATCH(A657,المدخلات!$L$4:$L$15,0)),""))</f>
        <v/>
      </c>
      <c r="N657" s="4" t="str">
        <f t="shared" si="86"/>
        <v/>
      </c>
      <c r="O657" s="4" t="str">
        <f t="shared" si="87"/>
        <v/>
      </c>
    </row>
    <row r="658" spans="1:15">
      <c r="A658" s="11"/>
      <c r="B658" s="19"/>
      <c r="C658" s="19"/>
      <c r="D658" s="55"/>
      <c r="E658" s="56"/>
      <c r="F658" s="19"/>
      <c r="G658" s="4" t="str">
        <f t="shared" si="80"/>
        <v/>
      </c>
      <c r="H658" s="11" t="str">
        <f t="shared" si="81"/>
        <v/>
      </c>
      <c r="I658" s="55" t="str">
        <f t="shared" si="82"/>
        <v/>
      </c>
      <c r="J658" s="55" t="str">
        <f t="shared" si="83"/>
        <v/>
      </c>
      <c r="K658" s="4" t="str">
        <f t="shared" si="84"/>
        <v/>
      </c>
      <c r="L658" s="19" t="str">
        <f t="shared" si="85"/>
        <v/>
      </c>
      <c r="M658" s="12" t="str">
        <f>IF(A658="","",IFERROR(INDEX(المدخلات!$M$4:$M$15,MATCH(A658,المدخلات!$L$4:$L$15,0)),""))</f>
        <v/>
      </c>
      <c r="N658" s="4" t="str">
        <f t="shared" si="86"/>
        <v/>
      </c>
      <c r="O658" s="4" t="str">
        <f t="shared" si="87"/>
        <v/>
      </c>
    </row>
    <row r="659" spans="1:15">
      <c r="A659" s="11"/>
      <c r="B659" s="19"/>
      <c r="C659" s="19"/>
      <c r="D659" s="55"/>
      <c r="E659" s="56"/>
      <c r="F659" s="19"/>
      <c r="G659" s="4" t="str">
        <f t="shared" si="80"/>
        <v/>
      </c>
      <c r="H659" s="11" t="str">
        <f t="shared" si="81"/>
        <v/>
      </c>
      <c r="I659" s="55" t="str">
        <f t="shared" si="82"/>
        <v/>
      </c>
      <c r="J659" s="55" t="str">
        <f t="shared" si="83"/>
        <v/>
      </c>
      <c r="K659" s="4" t="str">
        <f t="shared" si="84"/>
        <v/>
      </c>
      <c r="L659" s="19" t="str">
        <f t="shared" si="85"/>
        <v/>
      </c>
      <c r="M659" s="12" t="str">
        <f>IF(A659="","",IFERROR(INDEX(المدخلات!$M$4:$M$15,MATCH(A659,المدخلات!$L$4:$L$15,0)),""))</f>
        <v/>
      </c>
      <c r="N659" s="4" t="str">
        <f t="shared" si="86"/>
        <v/>
      </c>
      <c r="O659" s="4" t="str">
        <f t="shared" si="87"/>
        <v/>
      </c>
    </row>
    <row r="660" spans="1:15">
      <c r="A660" s="11"/>
      <c r="B660" s="19"/>
      <c r="C660" s="19"/>
      <c r="D660" s="55"/>
      <c r="E660" s="56"/>
      <c r="F660" s="19"/>
      <c r="G660" s="4" t="str">
        <f t="shared" si="80"/>
        <v/>
      </c>
      <c r="H660" s="11" t="str">
        <f t="shared" si="81"/>
        <v/>
      </c>
      <c r="I660" s="55" t="str">
        <f t="shared" si="82"/>
        <v/>
      </c>
      <c r="J660" s="55" t="str">
        <f t="shared" si="83"/>
        <v/>
      </c>
      <c r="K660" s="4" t="str">
        <f t="shared" si="84"/>
        <v/>
      </c>
      <c r="L660" s="19" t="str">
        <f t="shared" si="85"/>
        <v/>
      </c>
      <c r="M660" s="12" t="str">
        <f>IF(A660="","",IFERROR(INDEX(المدخلات!$M$4:$M$15,MATCH(A660,المدخلات!$L$4:$L$15,0)),""))</f>
        <v/>
      </c>
      <c r="N660" s="4" t="str">
        <f t="shared" si="86"/>
        <v/>
      </c>
      <c r="O660" s="4" t="str">
        <f t="shared" si="87"/>
        <v/>
      </c>
    </row>
    <row r="661" spans="1:15">
      <c r="A661" s="11"/>
      <c r="B661" s="19"/>
      <c r="C661" s="19"/>
      <c r="D661" s="55"/>
      <c r="E661" s="56"/>
      <c r="F661" s="19"/>
      <c r="G661" s="4" t="str">
        <f t="shared" si="80"/>
        <v/>
      </c>
      <c r="H661" s="11" t="str">
        <f t="shared" si="81"/>
        <v/>
      </c>
      <c r="I661" s="55" t="str">
        <f t="shared" si="82"/>
        <v/>
      </c>
      <c r="J661" s="55" t="str">
        <f t="shared" si="83"/>
        <v/>
      </c>
      <c r="K661" s="4" t="str">
        <f t="shared" si="84"/>
        <v/>
      </c>
      <c r="L661" s="19" t="str">
        <f t="shared" si="85"/>
        <v/>
      </c>
      <c r="M661" s="12" t="str">
        <f>IF(A661="","",IFERROR(INDEX(المدخلات!$M$4:$M$15,MATCH(A661,المدخلات!$L$4:$L$15,0)),""))</f>
        <v/>
      </c>
      <c r="N661" s="4" t="str">
        <f t="shared" si="86"/>
        <v/>
      </c>
      <c r="O661" s="4" t="str">
        <f t="shared" si="87"/>
        <v/>
      </c>
    </row>
    <row r="662" spans="1:15">
      <c r="A662" s="11"/>
      <c r="B662" s="19"/>
      <c r="C662" s="19"/>
      <c r="D662" s="55"/>
      <c r="E662" s="56"/>
      <c r="F662" s="19"/>
      <c r="G662" s="4" t="str">
        <f t="shared" si="80"/>
        <v/>
      </c>
      <c r="H662" s="11" t="str">
        <f t="shared" si="81"/>
        <v/>
      </c>
      <c r="I662" s="55" t="str">
        <f t="shared" si="82"/>
        <v/>
      </c>
      <c r="J662" s="55" t="str">
        <f t="shared" si="83"/>
        <v/>
      </c>
      <c r="K662" s="4" t="str">
        <f t="shared" si="84"/>
        <v/>
      </c>
      <c r="L662" s="19" t="str">
        <f t="shared" si="85"/>
        <v/>
      </c>
      <c r="M662" s="12" t="str">
        <f>IF(A662="","",IFERROR(INDEX(المدخلات!$M$4:$M$15,MATCH(A662,المدخلات!$L$4:$L$15,0)),""))</f>
        <v/>
      </c>
      <c r="N662" s="4" t="str">
        <f t="shared" si="86"/>
        <v/>
      </c>
      <c r="O662" s="4" t="str">
        <f t="shared" si="87"/>
        <v/>
      </c>
    </row>
    <row r="663" spans="1:15">
      <c r="A663" s="11"/>
      <c r="B663" s="19"/>
      <c r="C663" s="19"/>
      <c r="D663" s="55"/>
      <c r="E663" s="56"/>
      <c r="F663" s="19"/>
      <c r="G663" s="4" t="str">
        <f t="shared" si="80"/>
        <v/>
      </c>
      <c r="H663" s="11" t="str">
        <f t="shared" si="81"/>
        <v/>
      </c>
      <c r="I663" s="55" t="str">
        <f t="shared" si="82"/>
        <v/>
      </c>
      <c r="J663" s="55" t="str">
        <f t="shared" si="83"/>
        <v/>
      </c>
      <c r="K663" s="4" t="str">
        <f t="shared" si="84"/>
        <v/>
      </c>
      <c r="L663" s="19" t="str">
        <f t="shared" si="85"/>
        <v/>
      </c>
      <c r="M663" s="12" t="str">
        <f>IF(A663="","",IFERROR(INDEX(المدخلات!$M$4:$M$15,MATCH(A663,المدخلات!$L$4:$L$15,0)),""))</f>
        <v/>
      </c>
      <c r="N663" s="4" t="str">
        <f t="shared" si="86"/>
        <v/>
      </c>
      <c r="O663" s="4" t="str">
        <f t="shared" si="87"/>
        <v/>
      </c>
    </row>
    <row r="664" spans="1:15">
      <c r="A664" s="11"/>
      <c r="B664" s="19"/>
      <c r="C664" s="19"/>
      <c r="D664" s="55"/>
      <c r="E664" s="56"/>
      <c r="F664" s="19"/>
      <c r="G664" s="4" t="str">
        <f t="shared" si="80"/>
        <v/>
      </c>
      <c r="H664" s="11" t="str">
        <f t="shared" si="81"/>
        <v/>
      </c>
      <c r="I664" s="55" t="str">
        <f t="shared" si="82"/>
        <v/>
      </c>
      <c r="J664" s="55" t="str">
        <f t="shared" si="83"/>
        <v/>
      </c>
      <c r="K664" s="4" t="str">
        <f t="shared" si="84"/>
        <v/>
      </c>
      <c r="L664" s="19" t="str">
        <f t="shared" si="85"/>
        <v/>
      </c>
      <c r="M664" s="12" t="str">
        <f>IF(A664="","",IFERROR(INDEX(المدخلات!$M$4:$M$15,MATCH(A664,المدخلات!$L$4:$L$15,0)),""))</f>
        <v/>
      </c>
      <c r="N664" s="4" t="str">
        <f t="shared" si="86"/>
        <v/>
      </c>
      <c r="O664" s="4" t="str">
        <f t="shared" si="87"/>
        <v/>
      </c>
    </row>
    <row r="665" spans="1:15">
      <c r="A665" s="11"/>
      <c r="B665" s="19"/>
      <c r="C665" s="19"/>
      <c r="D665" s="55"/>
      <c r="E665" s="56"/>
      <c r="F665" s="19"/>
      <c r="G665" s="4" t="str">
        <f t="shared" si="80"/>
        <v/>
      </c>
      <c r="H665" s="11" t="str">
        <f t="shared" si="81"/>
        <v/>
      </c>
      <c r="I665" s="55" t="str">
        <f t="shared" si="82"/>
        <v/>
      </c>
      <c r="J665" s="55" t="str">
        <f t="shared" si="83"/>
        <v/>
      </c>
      <c r="K665" s="4" t="str">
        <f t="shared" si="84"/>
        <v/>
      </c>
      <c r="L665" s="19" t="str">
        <f t="shared" si="85"/>
        <v/>
      </c>
      <c r="M665" s="12" t="str">
        <f>IF(A665="","",IFERROR(INDEX(المدخلات!$M$4:$M$15,MATCH(A665,المدخلات!$L$4:$L$15,0)),""))</f>
        <v/>
      </c>
      <c r="N665" s="4" t="str">
        <f t="shared" si="86"/>
        <v/>
      </c>
      <c r="O665" s="4" t="str">
        <f t="shared" si="87"/>
        <v/>
      </c>
    </row>
    <row r="666" spans="1:15">
      <c r="A666" s="11"/>
      <c r="B666" s="19"/>
      <c r="C666" s="19"/>
      <c r="D666" s="55"/>
      <c r="E666" s="56"/>
      <c r="F666" s="19"/>
      <c r="G666" s="4" t="str">
        <f t="shared" si="80"/>
        <v/>
      </c>
      <c r="H666" s="11" t="str">
        <f t="shared" si="81"/>
        <v/>
      </c>
      <c r="I666" s="55" t="str">
        <f t="shared" si="82"/>
        <v/>
      </c>
      <c r="J666" s="55" t="str">
        <f t="shared" si="83"/>
        <v/>
      </c>
      <c r="K666" s="4" t="str">
        <f t="shared" si="84"/>
        <v/>
      </c>
      <c r="L666" s="19" t="str">
        <f t="shared" si="85"/>
        <v/>
      </c>
      <c r="M666" s="12" t="str">
        <f>IF(A666="","",IFERROR(INDEX(المدخلات!$M$4:$M$15,MATCH(A666,المدخلات!$L$4:$L$15,0)),""))</f>
        <v/>
      </c>
      <c r="N666" s="4" t="str">
        <f t="shared" si="86"/>
        <v/>
      </c>
      <c r="O666" s="4" t="str">
        <f t="shared" si="87"/>
        <v/>
      </c>
    </row>
    <row r="667" spans="1:15">
      <c r="A667" s="11"/>
      <c r="B667" s="19"/>
      <c r="C667" s="19"/>
      <c r="D667" s="55"/>
      <c r="E667" s="56"/>
      <c r="F667" s="19"/>
      <c r="G667" s="4" t="str">
        <f t="shared" si="80"/>
        <v/>
      </c>
      <c r="H667" s="11" t="str">
        <f t="shared" si="81"/>
        <v/>
      </c>
      <c r="I667" s="55" t="str">
        <f t="shared" si="82"/>
        <v/>
      </c>
      <c r="J667" s="55" t="str">
        <f t="shared" si="83"/>
        <v/>
      </c>
      <c r="K667" s="4" t="str">
        <f t="shared" si="84"/>
        <v/>
      </c>
      <c r="L667" s="19" t="str">
        <f t="shared" si="85"/>
        <v/>
      </c>
      <c r="M667" s="12" t="str">
        <f>IF(A667="","",IFERROR(INDEX(المدخلات!$M$4:$M$15,MATCH(A667,المدخلات!$L$4:$L$15,0)),""))</f>
        <v/>
      </c>
      <c r="N667" s="4" t="str">
        <f t="shared" si="86"/>
        <v/>
      </c>
      <c r="O667" s="4" t="str">
        <f t="shared" si="87"/>
        <v/>
      </c>
    </row>
    <row r="668" spans="1:15">
      <c r="A668" s="11"/>
      <c r="B668" s="19"/>
      <c r="C668" s="19"/>
      <c r="D668" s="55"/>
      <c r="E668" s="56"/>
      <c r="F668" s="19"/>
      <c r="G668" s="4" t="str">
        <f t="shared" si="80"/>
        <v/>
      </c>
      <c r="H668" s="11" t="str">
        <f t="shared" si="81"/>
        <v/>
      </c>
      <c r="I668" s="55" t="str">
        <f t="shared" si="82"/>
        <v/>
      </c>
      <c r="J668" s="55" t="str">
        <f t="shared" si="83"/>
        <v/>
      </c>
      <c r="K668" s="4" t="str">
        <f t="shared" si="84"/>
        <v/>
      </c>
      <c r="L668" s="19" t="str">
        <f t="shared" si="85"/>
        <v/>
      </c>
      <c r="M668" s="12" t="str">
        <f>IF(A668="","",IFERROR(INDEX(المدخلات!$M$4:$M$15,MATCH(A668,المدخلات!$L$4:$L$15,0)),""))</f>
        <v/>
      </c>
      <c r="N668" s="4" t="str">
        <f t="shared" si="86"/>
        <v/>
      </c>
      <c r="O668" s="4" t="str">
        <f t="shared" si="87"/>
        <v/>
      </c>
    </row>
    <row r="669" spans="1:15">
      <c r="A669" s="11"/>
      <c r="B669" s="19"/>
      <c r="C669" s="19"/>
      <c r="D669" s="55"/>
      <c r="E669" s="56"/>
      <c r="F669" s="19"/>
      <c r="G669" s="4" t="str">
        <f t="shared" si="80"/>
        <v/>
      </c>
      <c r="H669" s="11" t="str">
        <f t="shared" si="81"/>
        <v/>
      </c>
      <c r="I669" s="55" t="str">
        <f t="shared" si="82"/>
        <v/>
      </c>
      <c r="J669" s="55" t="str">
        <f t="shared" si="83"/>
        <v/>
      </c>
      <c r="K669" s="4" t="str">
        <f t="shared" si="84"/>
        <v/>
      </c>
      <c r="L669" s="19" t="str">
        <f t="shared" si="85"/>
        <v/>
      </c>
      <c r="M669" s="12" t="str">
        <f>IF(A669="","",IFERROR(INDEX(المدخلات!$M$4:$M$15,MATCH(A669,المدخلات!$L$4:$L$15,0)),""))</f>
        <v/>
      </c>
      <c r="N669" s="4" t="str">
        <f t="shared" si="86"/>
        <v/>
      </c>
      <c r="O669" s="4" t="str">
        <f t="shared" si="87"/>
        <v/>
      </c>
    </row>
    <row r="670" spans="1:15">
      <c r="A670" s="11"/>
      <c r="B670" s="19"/>
      <c r="C670" s="19"/>
      <c r="D670" s="55"/>
      <c r="E670" s="56"/>
      <c r="F670" s="19"/>
      <c r="G670" s="4" t="str">
        <f t="shared" si="80"/>
        <v/>
      </c>
      <c r="H670" s="11" t="str">
        <f t="shared" si="81"/>
        <v/>
      </c>
      <c r="I670" s="55" t="str">
        <f t="shared" si="82"/>
        <v/>
      </c>
      <c r="J670" s="55" t="str">
        <f t="shared" si="83"/>
        <v/>
      </c>
      <c r="K670" s="4" t="str">
        <f t="shared" si="84"/>
        <v/>
      </c>
      <c r="L670" s="19" t="str">
        <f t="shared" si="85"/>
        <v/>
      </c>
      <c r="M670" s="12" t="str">
        <f>IF(A670="","",IFERROR(INDEX(المدخلات!$M$4:$M$15,MATCH(A670,المدخلات!$L$4:$L$15,0)),""))</f>
        <v/>
      </c>
      <c r="N670" s="4" t="str">
        <f t="shared" si="86"/>
        <v/>
      </c>
      <c r="O670" s="4" t="str">
        <f t="shared" si="87"/>
        <v/>
      </c>
    </row>
    <row r="671" spans="1:15">
      <c r="A671" s="11"/>
      <c r="B671" s="19"/>
      <c r="C671" s="19"/>
      <c r="D671" s="55"/>
      <c r="E671" s="56"/>
      <c r="F671" s="19"/>
      <c r="G671" s="4" t="str">
        <f t="shared" si="80"/>
        <v/>
      </c>
      <c r="H671" s="11" t="str">
        <f t="shared" si="81"/>
        <v/>
      </c>
      <c r="I671" s="55" t="str">
        <f t="shared" si="82"/>
        <v/>
      </c>
      <c r="J671" s="55" t="str">
        <f t="shared" si="83"/>
        <v/>
      </c>
      <c r="K671" s="4" t="str">
        <f t="shared" si="84"/>
        <v/>
      </c>
      <c r="L671" s="19" t="str">
        <f t="shared" si="85"/>
        <v/>
      </c>
      <c r="M671" s="12" t="str">
        <f>IF(A671="","",IFERROR(INDEX(المدخلات!$M$4:$M$15,MATCH(A671,المدخلات!$L$4:$L$15,0)),""))</f>
        <v/>
      </c>
      <c r="N671" s="4" t="str">
        <f t="shared" si="86"/>
        <v/>
      </c>
      <c r="O671" s="4" t="str">
        <f t="shared" si="87"/>
        <v/>
      </c>
    </row>
    <row r="672" spans="1:15">
      <c r="A672" s="11"/>
      <c r="B672" s="19"/>
      <c r="C672" s="19"/>
      <c r="D672" s="55"/>
      <c r="E672" s="56"/>
      <c r="F672" s="19"/>
      <c r="G672" s="4" t="str">
        <f t="shared" si="80"/>
        <v/>
      </c>
      <c r="H672" s="11" t="str">
        <f t="shared" si="81"/>
        <v/>
      </c>
      <c r="I672" s="55" t="str">
        <f t="shared" si="82"/>
        <v/>
      </c>
      <c r="J672" s="55" t="str">
        <f t="shared" si="83"/>
        <v/>
      </c>
      <c r="K672" s="4" t="str">
        <f t="shared" si="84"/>
        <v/>
      </c>
      <c r="L672" s="19" t="str">
        <f t="shared" si="85"/>
        <v/>
      </c>
      <c r="M672" s="12" t="str">
        <f>IF(A672="","",IFERROR(INDEX(المدخلات!$M$4:$M$15,MATCH(A672,المدخلات!$L$4:$L$15,0)),""))</f>
        <v/>
      </c>
      <c r="N672" s="4" t="str">
        <f t="shared" si="86"/>
        <v/>
      </c>
      <c r="O672" s="4" t="str">
        <f t="shared" si="87"/>
        <v/>
      </c>
    </row>
    <row r="673" spans="1:15">
      <c r="A673" s="11"/>
      <c r="B673" s="19"/>
      <c r="C673" s="19"/>
      <c r="D673" s="55"/>
      <c r="E673" s="56"/>
      <c r="F673" s="19"/>
      <c r="G673" s="4" t="str">
        <f t="shared" si="80"/>
        <v/>
      </c>
      <c r="H673" s="11" t="str">
        <f t="shared" si="81"/>
        <v/>
      </c>
      <c r="I673" s="55" t="str">
        <f t="shared" si="82"/>
        <v/>
      </c>
      <c r="J673" s="55" t="str">
        <f t="shared" si="83"/>
        <v/>
      </c>
      <c r="K673" s="4" t="str">
        <f t="shared" si="84"/>
        <v/>
      </c>
      <c r="L673" s="19" t="str">
        <f t="shared" si="85"/>
        <v/>
      </c>
      <c r="M673" s="12" t="str">
        <f>IF(A673="","",IFERROR(INDEX(المدخلات!$M$4:$M$15,MATCH(A673,المدخلات!$L$4:$L$15,0)),""))</f>
        <v/>
      </c>
      <c r="N673" s="4" t="str">
        <f t="shared" si="86"/>
        <v/>
      </c>
      <c r="O673" s="4" t="str">
        <f t="shared" si="87"/>
        <v/>
      </c>
    </row>
    <row r="674" spans="1:15">
      <c r="A674" s="11"/>
      <c r="B674" s="19"/>
      <c r="C674" s="19"/>
      <c r="D674" s="55"/>
      <c r="E674" s="56"/>
      <c r="F674" s="19"/>
      <c r="G674" s="4" t="str">
        <f t="shared" si="80"/>
        <v/>
      </c>
      <c r="H674" s="11" t="str">
        <f t="shared" si="81"/>
        <v/>
      </c>
      <c r="I674" s="55" t="str">
        <f t="shared" si="82"/>
        <v/>
      </c>
      <c r="J674" s="55" t="str">
        <f t="shared" si="83"/>
        <v/>
      </c>
      <c r="K674" s="4" t="str">
        <f t="shared" si="84"/>
        <v/>
      </c>
      <c r="L674" s="19" t="str">
        <f t="shared" si="85"/>
        <v/>
      </c>
      <c r="M674" s="12" t="str">
        <f>IF(A674="","",IFERROR(INDEX(المدخلات!$M$4:$M$15,MATCH(A674,المدخلات!$L$4:$L$15,0)),""))</f>
        <v/>
      </c>
      <c r="N674" s="4" t="str">
        <f t="shared" si="86"/>
        <v/>
      </c>
      <c r="O674" s="4" t="str">
        <f t="shared" si="87"/>
        <v/>
      </c>
    </row>
    <row r="675" spans="1:15">
      <c r="A675" s="11"/>
      <c r="B675" s="19"/>
      <c r="C675" s="19"/>
      <c r="D675" s="55"/>
      <c r="E675" s="56"/>
      <c r="F675" s="19"/>
      <c r="G675" s="4" t="str">
        <f t="shared" si="80"/>
        <v/>
      </c>
      <c r="H675" s="11" t="str">
        <f t="shared" si="81"/>
        <v/>
      </c>
      <c r="I675" s="55" t="str">
        <f t="shared" si="82"/>
        <v/>
      </c>
      <c r="J675" s="55" t="str">
        <f t="shared" si="83"/>
        <v/>
      </c>
      <c r="K675" s="4" t="str">
        <f t="shared" si="84"/>
        <v/>
      </c>
      <c r="L675" s="19" t="str">
        <f t="shared" si="85"/>
        <v/>
      </c>
      <c r="M675" s="12" t="str">
        <f>IF(A675="","",IFERROR(INDEX(المدخلات!$M$4:$M$15,MATCH(A675,المدخلات!$L$4:$L$15,0)),""))</f>
        <v/>
      </c>
      <c r="N675" s="4" t="str">
        <f t="shared" si="86"/>
        <v/>
      </c>
      <c r="O675" s="4" t="str">
        <f t="shared" si="87"/>
        <v/>
      </c>
    </row>
    <row r="676" spans="1:15">
      <c r="A676" s="11"/>
      <c r="B676" s="19"/>
      <c r="C676" s="19"/>
      <c r="D676" s="55"/>
      <c r="E676" s="56"/>
      <c r="F676" s="19"/>
      <c r="G676" s="4" t="str">
        <f t="shared" si="80"/>
        <v/>
      </c>
      <c r="H676" s="11" t="str">
        <f t="shared" si="81"/>
        <v/>
      </c>
      <c r="I676" s="55" t="str">
        <f t="shared" si="82"/>
        <v/>
      </c>
      <c r="J676" s="55" t="str">
        <f t="shared" si="83"/>
        <v/>
      </c>
      <c r="K676" s="4" t="str">
        <f t="shared" si="84"/>
        <v/>
      </c>
      <c r="L676" s="19" t="str">
        <f t="shared" si="85"/>
        <v/>
      </c>
      <c r="M676" s="12" t="str">
        <f>IF(A676="","",IFERROR(INDEX(المدخلات!$M$4:$M$15,MATCH(A676,المدخلات!$L$4:$L$15,0)),""))</f>
        <v/>
      </c>
      <c r="N676" s="4" t="str">
        <f t="shared" si="86"/>
        <v/>
      </c>
      <c r="O676" s="4" t="str">
        <f t="shared" si="87"/>
        <v/>
      </c>
    </row>
    <row r="677" spans="1:15">
      <c r="A677" s="11"/>
      <c r="B677" s="19"/>
      <c r="C677" s="19"/>
      <c r="D677" s="55"/>
      <c r="E677" s="56"/>
      <c r="F677" s="19"/>
      <c r="G677" s="4" t="str">
        <f t="shared" si="80"/>
        <v/>
      </c>
      <c r="H677" s="11" t="str">
        <f t="shared" si="81"/>
        <v/>
      </c>
      <c r="I677" s="55" t="str">
        <f t="shared" si="82"/>
        <v/>
      </c>
      <c r="J677" s="55" t="str">
        <f t="shared" si="83"/>
        <v/>
      </c>
      <c r="K677" s="4" t="str">
        <f t="shared" si="84"/>
        <v/>
      </c>
      <c r="L677" s="19" t="str">
        <f t="shared" si="85"/>
        <v/>
      </c>
      <c r="M677" s="12" t="str">
        <f>IF(A677="","",IFERROR(INDEX(المدخلات!$M$4:$M$15,MATCH(A677,المدخلات!$L$4:$L$15,0)),""))</f>
        <v/>
      </c>
      <c r="N677" s="4" t="str">
        <f t="shared" si="86"/>
        <v/>
      </c>
      <c r="O677" s="4" t="str">
        <f t="shared" si="87"/>
        <v/>
      </c>
    </row>
    <row r="678" spans="1:15">
      <c r="A678" s="11"/>
      <c r="B678" s="19"/>
      <c r="C678" s="19"/>
      <c r="D678" s="55"/>
      <c r="E678" s="56"/>
      <c r="F678" s="19"/>
      <c r="G678" s="4" t="str">
        <f t="shared" si="80"/>
        <v/>
      </c>
      <c r="H678" s="11" t="str">
        <f t="shared" si="81"/>
        <v/>
      </c>
      <c r="I678" s="55" t="str">
        <f t="shared" si="82"/>
        <v/>
      </c>
      <c r="J678" s="55" t="str">
        <f t="shared" si="83"/>
        <v/>
      </c>
      <c r="K678" s="4" t="str">
        <f t="shared" si="84"/>
        <v/>
      </c>
      <c r="L678" s="19" t="str">
        <f t="shared" si="85"/>
        <v/>
      </c>
      <c r="M678" s="12" t="str">
        <f>IF(A678="","",IFERROR(INDEX(المدخلات!$M$4:$M$15,MATCH(A678,المدخلات!$L$4:$L$15,0)),""))</f>
        <v/>
      </c>
      <c r="N678" s="4" t="str">
        <f t="shared" si="86"/>
        <v/>
      </c>
      <c r="O678" s="4" t="str">
        <f t="shared" si="87"/>
        <v/>
      </c>
    </row>
    <row r="679" spans="1:15">
      <c r="A679" s="11"/>
      <c r="B679" s="19"/>
      <c r="C679" s="19"/>
      <c r="D679" s="55"/>
      <c r="E679" s="56"/>
      <c r="F679" s="19"/>
      <c r="G679" s="4" t="str">
        <f t="shared" si="80"/>
        <v/>
      </c>
      <c r="H679" s="11" t="str">
        <f t="shared" si="81"/>
        <v/>
      </c>
      <c r="I679" s="55" t="str">
        <f t="shared" si="82"/>
        <v/>
      </c>
      <c r="J679" s="55" t="str">
        <f t="shared" si="83"/>
        <v/>
      </c>
      <c r="K679" s="4" t="str">
        <f t="shared" si="84"/>
        <v/>
      </c>
      <c r="L679" s="19" t="str">
        <f t="shared" si="85"/>
        <v/>
      </c>
      <c r="M679" s="12" t="str">
        <f>IF(A679="","",IFERROR(INDEX(المدخلات!$M$4:$M$15,MATCH(A679,المدخلات!$L$4:$L$15,0)),""))</f>
        <v/>
      </c>
      <c r="N679" s="4" t="str">
        <f t="shared" si="86"/>
        <v/>
      </c>
      <c r="O679" s="4" t="str">
        <f t="shared" si="87"/>
        <v/>
      </c>
    </row>
    <row r="680" spans="1:15">
      <c r="A680" s="11"/>
      <c r="B680" s="19"/>
      <c r="C680" s="19"/>
      <c r="D680" s="55"/>
      <c r="E680" s="56"/>
      <c r="F680" s="19"/>
      <c r="G680" s="4" t="str">
        <f t="shared" si="80"/>
        <v/>
      </c>
      <c r="H680" s="11" t="str">
        <f t="shared" si="81"/>
        <v/>
      </c>
      <c r="I680" s="55" t="str">
        <f t="shared" si="82"/>
        <v/>
      </c>
      <c r="J680" s="55" t="str">
        <f t="shared" si="83"/>
        <v/>
      </c>
      <c r="K680" s="4" t="str">
        <f t="shared" si="84"/>
        <v/>
      </c>
      <c r="L680" s="19" t="str">
        <f t="shared" si="85"/>
        <v/>
      </c>
      <c r="M680" s="12" t="str">
        <f>IF(A680="","",IFERROR(INDEX(المدخلات!$M$4:$M$15,MATCH(A680,المدخلات!$L$4:$L$15,0)),""))</f>
        <v/>
      </c>
      <c r="N680" s="4" t="str">
        <f t="shared" si="86"/>
        <v/>
      </c>
      <c r="O680" s="4" t="str">
        <f t="shared" si="87"/>
        <v/>
      </c>
    </row>
    <row r="681" spans="1:15">
      <c r="A681" s="11"/>
      <c r="B681" s="19"/>
      <c r="C681" s="19"/>
      <c r="D681" s="55"/>
      <c r="E681" s="56"/>
      <c r="F681" s="19"/>
      <c r="G681" s="4" t="str">
        <f t="shared" si="80"/>
        <v/>
      </c>
      <c r="H681" s="11" t="str">
        <f t="shared" si="81"/>
        <v/>
      </c>
      <c r="I681" s="55" t="str">
        <f t="shared" si="82"/>
        <v/>
      </c>
      <c r="J681" s="55" t="str">
        <f t="shared" si="83"/>
        <v/>
      </c>
      <c r="K681" s="4" t="str">
        <f t="shared" si="84"/>
        <v/>
      </c>
      <c r="L681" s="19" t="str">
        <f t="shared" si="85"/>
        <v/>
      </c>
      <c r="M681" s="12" t="str">
        <f>IF(A681="","",IFERROR(INDEX(المدخلات!$M$4:$M$15,MATCH(A681,المدخلات!$L$4:$L$15,0)),""))</f>
        <v/>
      </c>
      <c r="N681" s="4" t="str">
        <f t="shared" si="86"/>
        <v/>
      </c>
      <c r="O681" s="4" t="str">
        <f t="shared" si="87"/>
        <v/>
      </c>
    </row>
    <row r="682" spans="1:15">
      <c r="A682" s="11"/>
      <c r="B682" s="19"/>
      <c r="C682" s="19"/>
      <c r="D682" s="55"/>
      <c r="E682" s="56"/>
      <c r="F682" s="19"/>
      <c r="G682" s="4" t="str">
        <f t="shared" si="80"/>
        <v/>
      </c>
      <c r="H682" s="11" t="str">
        <f t="shared" si="81"/>
        <v/>
      </c>
      <c r="I682" s="55" t="str">
        <f t="shared" si="82"/>
        <v/>
      </c>
      <c r="J682" s="55" t="str">
        <f t="shared" si="83"/>
        <v/>
      </c>
      <c r="K682" s="4" t="str">
        <f t="shared" si="84"/>
        <v/>
      </c>
      <c r="L682" s="19" t="str">
        <f t="shared" si="85"/>
        <v/>
      </c>
      <c r="M682" s="12" t="str">
        <f>IF(A682="","",IFERROR(INDEX(المدخلات!$M$4:$M$15,MATCH(A682,المدخلات!$L$4:$L$15,0)),""))</f>
        <v/>
      </c>
      <c r="N682" s="4" t="str">
        <f t="shared" si="86"/>
        <v/>
      </c>
      <c r="O682" s="4" t="str">
        <f t="shared" si="87"/>
        <v/>
      </c>
    </row>
    <row r="683" spans="1:15">
      <c r="A683" s="11"/>
      <c r="B683" s="19"/>
      <c r="C683" s="19"/>
      <c r="D683" s="55"/>
      <c r="E683" s="56"/>
      <c r="F683" s="19"/>
      <c r="G683" s="4" t="str">
        <f t="shared" si="80"/>
        <v/>
      </c>
      <c r="H683" s="11" t="str">
        <f t="shared" si="81"/>
        <v/>
      </c>
      <c r="I683" s="55" t="str">
        <f t="shared" si="82"/>
        <v/>
      </c>
      <c r="J683" s="55" t="str">
        <f t="shared" si="83"/>
        <v/>
      </c>
      <c r="K683" s="4" t="str">
        <f t="shared" si="84"/>
        <v/>
      </c>
      <c r="L683" s="19" t="str">
        <f t="shared" si="85"/>
        <v/>
      </c>
      <c r="M683" s="12" t="str">
        <f>IF(A683="","",IFERROR(INDEX(المدخلات!$M$4:$M$15,MATCH(A683,المدخلات!$L$4:$L$15,0)),""))</f>
        <v/>
      </c>
      <c r="N683" s="4" t="str">
        <f t="shared" si="86"/>
        <v/>
      </c>
      <c r="O683" s="4" t="str">
        <f t="shared" si="87"/>
        <v/>
      </c>
    </row>
    <row r="684" spans="1:15">
      <c r="A684" s="11"/>
      <c r="B684" s="19"/>
      <c r="C684" s="19"/>
      <c r="D684" s="55"/>
      <c r="E684" s="56"/>
      <c r="F684" s="19"/>
      <c r="G684" s="4" t="str">
        <f t="shared" si="80"/>
        <v/>
      </c>
      <c r="H684" s="11" t="str">
        <f t="shared" si="81"/>
        <v/>
      </c>
      <c r="I684" s="55" t="str">
        <f t="shared" si="82"/>
        <v/>
      </c>
      <c r="J684" s="55" t="str">
        <f t="shared" si="83"/>
        <v/>
      </c>
      <c r="K684" s="4" t="str">
        <f t="shared" si="84"/>
        <v/>
      </c>
      <c r="L684" s="19" t="str">
        <f t="shared" si="85"/>
        <v/>
      </c>
      <c r="M684" s="12" t="str">
        <f>IF(A684="","",IFERROR(INDEX(المدخلات!$M$4:$M$15,MATCH(A684,المدخلات!$L$4:$L$15,0)),""))</f>
        <v/>
      </c>
      <c r="N684" s="4" t="str">
        <f t="shared" si="86"/>
        <v/>
      </c>
      <c r="O684" s="4" t="str">
        <f t="shared" si="87"/>
        <v/>
      </c>
    </row>
    <row r="685" spans="1:15">
      <c r="A685" s="11"/>
      <c r="B685" s="19"/>
      <c r="C685" s="19"/>
      <c r="D685" s="55"/>
      <c r="E685" s="56"/>
      <c r="F685" s="19"/>
      <c r="G685" s="4" t="str">
        <f t="shared" si="80"/>
        <v/>
      </c>
      <c r="H685" s="11" t="str">
        <f t="shared" si="81"/>
        <v/>
      </c>
      <c r="I685" s="55" t="str">
        <f t="shared" si="82"/>
        <v/>
      </c>
      <c r="J685" s="55" t="str">
        <f t="shared" si="83"/>
        <v/>
      </c>
      <c r="K685" s="4" t="str">
        <f t="shared" si="84"/>
        <v/>
      </c>
      <c r="L685" s="19" t="str">
        <f t="shared" si="85"/>
        <v/>
      </c>
      <c r="M685" s="12" t="str">
        <f>IF(A685="","",IFERROR(INDEX(المدخلات!$M$4:$M$15,MATCH(A685,المدخلات!$L$4:$L$15,0)),""))</f>
        <v/>
      </c>
      <c r="N685" s="4" t="str">
        <f t="shared" si="86"/>
        <v/>
      </c>
      <c r="O685" s="4" t="str">
        <f t="shared" si="87"/>
        <v/>
      </c>
    </row>
    <row r="686" spans="1:15">
      <c r="A686" s="11"/>
      <c r="B686" s="19"/>
      <c r="C686" s="19"/>
      <c r="D686" s="55"/>
      <c r="E686" s="56"/>
      <c r="F686" s="19"/>
      <c r="G686" s="4" t="str">
        <f t="shared" si="80"/>
        <v/>
      </c>
      <c r="H686" s="11" t="str">
        <f t="shared" si="81"/>
        <v/>
      </c>
      <c r="I686" s="55" t="str">
        <f t="shared" si="82"/>
        <v/>
      </c>
      <c r="J686" s="55" t="str">
        <f t="shared" si="83"/>
        <v/>
      </c>
      <c r="K686" s="4" t="str">
        <f t="shared" si="84"/>
        <v/>
      </c>
      <c r="L686" s="19" t="str">
        <f t="shared" si="85"/>
        <v/>
      </c>
      <c r="M686" s="12" t="str">
        <f>IF(A686="","",IFERROR(INDEX(المدخلات!$M$4:$M$15,MATCH(A686,المدخلات!$L$4:$L$15,0)),""))</f>
        <v/>
      </c>
      <c r="N686" s="4" t="str">
        <f t="shared" si="86"/>
        <v/>
      </c>
      <c r="O686" s="4" t="str">
        <f t="shared" si="87"/>
        <v/>
      </c>
    </row>
    <row r="687" spans="1:15">
      <c r="A687" s="11"/>
      <c r="B687" s="19"/>
      <c r="C687" s="19"/>
      <c r="D687" s="55"/>
      <c r="E687" s="56"/>
      <c r="F687" s="19"/>
      <c r="G687" s="4" t="str">
        <f t="shared" si="80"/>
        <v/>
      </c>
      <c r="H687" s="11" t="str">
        <f t="shared" si="81"/>
        <v/>
      </c>
      <c r="I687" s="55" t="str">
        <f t="shared" si="82"/>
        <v/>
      </c>
      <c r="J687" s="55" t="str">
        <f t="shared" si="83"/>
        <v/>
      </c>
      <c r="K687" s="4" t="str">
        <f t="shared" si="84"/>
        <v/>
      </c>
      <c r="L687" s="19" t="str">
        <f t="shared" si="85"/>
        <v/>
      </c>
      <c r="M687" s="12" t="str">
        <f>IF(A687="","",IFERROR(INDEX(المدخلات!$M$4:$M$15,MATCH(A687,المدخلات!$L$4:$L$15,0)),""))</f>
        <v/>
      </c>
      <c r="N687" s="4" t="str">
        <f t="shared" si="86"/>
        <v/>
      </c>
      <c r="O687" s="4" t="str">
        <f t="shared" si="87"/>
        <v/>
      </c>
    </row>
    <row r="688" spans="1:15">
      <c r="A688" s="11"/>
      <c r="B688" s="19"/>
      <c r="C688" s="19"/>
      <c r="D688" s="55"/>
      <c r="E688" s="56"/>
      <c r="F688" s="19"/>
      <c r="G688" s="4" t="str">
        <f t="shared" si="80"/>
        <v/>
      </c>
      <c r="H688" s="11" t="str">
        <f t="shared" si="81"/>
        <v/>
      </c>
      <c r="I688" s="55" t="str">
        <f t="shared" si="82"/>
        <v/>
      </c>
      <c r="J688" s="55" t="str">
        <f t="shared" si="83"/>
        <v/>
      </c>
      <c r="K688" s="4" t="str">
        <f t="shared" si="84"/>
        <v/>
      </c>
      <c r="L688" s="19" t="str">
        <f t="shared" si="85"/>
        <v/>
      </c>
      <c r="M688" s="12" t="str">
        <f>IF(A688="","",IFERROR(INDEX(المدخلات!$M$4:$M$15,MATCH(A688,المدخلات!$L$4:$L$15,0)),""))</f>
        <v/>
      </c>
      <c r="N688" s="4" t="str">
        <f t="shared" si="86"/>
        <v/>
      </c>
      <c r="O688" s="4" t="str">
        <f t="shared" si="87"/>
        <v/>
      </c>
    </row>
    <row r="689" spans="1:15">
      <c r="A689" s="11"/>
      <c r="B689" s="19"/>
      <c r="C689" s="19"/>
      <c r="D689" s="55"/>
      <c r="E689" s="56"/>
      <c r="F689" s="19"/>
      <c r="G689" s="4" t="str">
        <f t="shared" si="80"/>
        <v/>
      </c>
      <c r="H689" s="11" t="str">
        <f t="shared" si="81"/>
        <v/>
      </c>
      <c r="I689" s="55" t="str">
        <f t="shared" si="82"/>
        <v/>
      </c>
      <c r="J689" s="55" t="str">
        <f t="shared" si="83"/>
        <v/>
      </c>
      <c r="K689" s="4" t="str">
        <f t="shared" si="84"/>
        <v/>
      </c>
      <c r="L689" s="19" t="str">
        <f t="shared" si="85"/>
        <v/>
      </c>
      <c r="M689" s="12" t="str">
        <f>IF(A689="","",IFERROR(INDEX(المدخلات!$M$4:$M$15,MATCH(A689,المدخلات!$L$4:$L$15,0)),""))</f>
        <v/>
      </c>
      <c r="N689" s="4" t="str">
        <f t="shared" si="86"/>
        <v/>
      </c>
      <c r="O689" s="4" t="str">
        <f t="shared" si="87"/>
        <v/>
      </c>
    </row>
    <row r="690" spans="1:15">
      <c r="A690" s="11"/>
      <c r="B690" s="19"/>
      <c r="C690" s="19"/>
      <c r="D690" s="55"/>
      <c r="E690" s="56"/>
      <c r="F690" s="19"/>
      <c r="G690" s="4" t="str">
        <f t="shared" si="80"/>
        <v/>
      </c>
      <c r="H690" s="11" t="str">
        <f t="shared" si="81"/>
        <v/>
      </c>
      <c r="I690" s="55" t="str">
        <f t="shared" si="82"/>
        <v/>
      </c>
      <c r="J690" s="55" t="str">
        <f t="shared" si="83"/>
        <v/>
      </c>
      <c r="K690" s="4" t="str">
        <f t="shared" si="84"/>
        <v/>
      </c>
      <c r="L690" s="19" t="str">
        <f t="shared" si="85"/>
        <v/>
      </c>
      <c r="M690" s="12" t="str">
        <f>IF(A690="","",IFERROR(INDEX(المدخلات!$M$4:$M$15,MATCH(A690,المدخلات!$L$4:$L$15,0)),""))</f>
        <v/>
      </c>
      <c r="N690" s="4" t="str">
        <f t="shared" si="86"/>
        <v/>
      </c>
      <c r="O690" s="4" t="str">
        <f t="shared" si="87"/>
        <v/>
      </c>
    </row>
    <row r="691" spans="1:15">
      <c r="A691" s="11"/>
      <c r="B691" s="19"/>
      <c r="C691" s="19"/>
      <c r="D691" s="55"/>
      <c r="E691" s="56"/>
      <c r="F691" s="19"/>
      <c r="G691" s="4" t="str">
        <f t="shared" si="80"/>
        <v/>
      </c>
      <c r="H691" s="11" t="str">
        <f t="shared" si="81"/>
        <v/>
      </c>
      <c r="I691" s="55" t="str">
        <f t="shared" si="82"/>
        <v/>
      </c>
      <c r="J691" s="55" t="str">
        <f t="shared" si="83"/>
        <v/>
      </c>
      <c r="K691" s="4" t="str">
        <f t="shared" si="84"/>
        <v/>
      </c>
      <c r="L691" s="19" t="str">
        <f t="shared" si="85"/>
        <v/>
      </c>
      <c r="M691" s="12" t="str">
        <f>IF(A691="","",IFERROR(INDEX(المدخلات!$M$4:$M$15,MATCH(A691,المدخلات!$L$4:$L$15,0)),""))</f>
        <v/>
      </c>
      <c r="N691" s="4" t="str">
        <f t="shared" si="86"/>
        <v/>
      </c>
      <c r="O691" s="4" t="str">
        <f t="shared" si="87"/>
        <v/>
      </c>
    </row>
    <row r="692" spans="1:15">
      <c r="A692" s="11"/>
      <c r="B692" s="19"/>
      <c r="C692" s="19"/>
      <c r="D692" s="55"/>
      <c r="E692" s="56"/>
      <c r="F692" s="19"/>
      <c r="G692" s="4" t="str">
        <f t="shared" si="80"/>
        <v/>
      </c>
      <c r="H692" s="11" t="str">
        <f t="shared" si="81"/>
        <v/>
      </c>
      <c r="I692" s="55" t="str">
        <f t="shared" si="82"/>
        <v/>
      </c>
      <c r="J692" s="55" t="str">
        <f t="shared" si="83"/>
        <v/>
      </c>
      <c r="K692" s="4" t="str">
        <f t="shared" si="84"/>
        <v/>
      </c>
      <c r="L692" s="19" t="str">
        <f t="shared" si="85"/>
        <v/>
      </c>
      <c r="M692" s="12" t="str">
        <f>IF(A692="","",IFERROR(INDEX(المدخلات!$M$4:$M$15,MATCH(A692,المدخلات!$L$4:$L$15,0)),""))</f>
        <v/>
      </c>
      <c r="N692" s="4" t="str">
        <f t="shared" si="86"/>
        <v/>
      </c>
      <c r="O692" s="4" t="str">
        <f t="shared" si="87"/>
        <v/>
      </c>
    </row>
    <row r="693" spans="1:15">
      <c r="A693" s="11"/>
      <c r="B693" s="19"/>
      <c r="C693" s="19"/>
      <c r="D693" s="55"/>
      <c r="E693" s="56"/>
      <c r="F693" s="19"/>
      <c r="G693" s="4" t="str">
        <f t="shared" si="80"/>
        <v/>
      </c>
      <c r="H693" s="11" t="str">
        <f t="shared" si="81"/>
        <v/>
      </c>
      <c r="I693" s="55" t="str">
        <f t="shared" si="82"/>
        <v/>
      </c>
      <c r="J693" s="55" t="str">
        <f t="shared" si="83"/>
        <v/>
      </c>
      <c r="K693" s="4" t="str">
        <f t="shared" si="84"/>
        <v/>
      </c>
      <c r="L693" s="19" t="str">
        <f t="shared" si="85"/>
        <v/>
      </c>
      <c r="M693" s="12" t="str">
        <f>IF(A693="","",IFERROR(INDEX(المدخلات!$M$4:$M$15,MATCH(A693,المدخلات!$L$4:$L$15,0)),""))</f>
        <v/>
      </c>
      <c r="N693" s="4" t="str">
        <f t="shared" si="86"/>
        <v/>
      </c>
      <c r="O693" s="4" t="str">
        <f t="shared" si="87"/>
        <v/>
      </c>
    </row>
    <row r="694" spans="1:15">
      <c r="A694" s="11"/>
      <c r="B694" s="19"/>
      <c r="C694" s="19"/>
      <c r="D694" s="55"/>
      <c r="E694" s="56"/>
      <c r="F694" s="19"/>
      <c r="G694" s="4" t="str">
        <f t="shared" si="80"/>
        <v/>
      </c>
      <c r="H694" s="11" t="str">
        <f t="shared" si="81"/>
        <v/>
      </c>
      <c r="I694" s="55" t="str">
        <f t="shared" si="82"/>
        <v/>
      </c>
      <c r="J694" s="55" t="str">
        <f t="shared" si="83"/>
        <v/>
      </c>
      <c r="K694" s="4" t="str">
        <f t="shared" si="84"/>
        <v/>
      </c>
      <c r="L694" s="19" t="str">
        <f t="shared" si="85"/>
        <v/>
      </c>
      <c r="M694" s="12" t="str">
        <f>IF(A694="","",IFERROR(INDEX(المدخلات!$M$4:$M$15,MATCH(A694,المدخلات!$L$4:$L$15,0)),""))</f>
        <v/>
      </c>
      <c r="N694" s="4" t="str">
        <f t="shared" si="86"/>
        <v/>
      </c>
      <c r="O694" s="4" t="str">
        <f t="shared" si="87"/>
        <v/>
      </c>
    </row>
    <row r="695" spans="1:15">
      <c r="A695" s="11"/>
      <c r="B695" s="19"/>
      <c r="C695" s="19"/>
      <c r="D695" s="55"/>
      <c r="E695" s="56"/>
      <c r="F695" s="19"/>
      <c r="G695" s="4" t="str">
        <f t="shared" si="80"/>
        <v/>
      </c>
      <c r="H695" s="11" t="str">
        <f t="shared" si="81"/>
        <v/>
      </c>
      <c r="I695" s="55" t="str">
        <f t="shared" si="82"/>
        <v/>
      </c>
      <c r="J695" s="55" t="str">
        <f t="shared" si="83"/>
        <v/>
      </c>
      <c r="K695" s="4" t="str">
        <f t="shared" si="84"/>
        <v/>
      </c>
      <c r="L695" s="19" t="str">
        <f t="shared" si="85"/>
        <v/>
      </c>
      <c r="M695" s="12" t="str">
        <f>IF(A695="","",IFERROR(INDEX(المدخلات!$M$4:$M$15,MATCH(A695,المدخلات!$L$4:$L$15,0)),""))</f>
        <v/>
      </c>
      <c r="N695" s="4" t="str">
        <f t="shared" si="86"/>
        <v/>
      </c>
      <c r="O695" s="4" t="str">
        <f t="shared" si="87"/>
        <v/>
      </c>
    </row>
    <row r="696" spans="1:15">
      <c r="A696" s="11"/>
      <c r="B696" s="19"/>
      <c r="C696" s="19"/>
      <c r="D696" s="55"/>
      <c r="E696" s="56"/>
      <c r="F696" s="19"/>
      <c r="G696" s="4" t="str">
        <f t="shared" si="80"/>
        <v/>
      </c>
      <c r="H696" s="11" t="str">
        <f t="shared" si="81"/>
        <v/>
      </c>
      <c r="I696" s="55" t="str">
        <f t="shared" si="82"/>
        <v/>
      </c>
      <c r="J696" s="55" t="str">
        <f t="shared" si="83"/>
        <v/>
      </c>
      <c r="K696" s="4" t="str">
        <f t="shared" si="84"/>
        <v/>
      </c>
      <c r="L696" s="19" t="str">
        <f t="shared" si="85"/>
        <v/>
      </c>
      <c r="M696" s="12" t="str">
        <f>IF(A696="","",IFERROR(INDEX(المدخلات!$M$4:$M$15,MATCH(A696,المدخلات!$L$4:$L$15,0)),""))</f>
        <v/>
      </c>
      <c r="N696" s="4" t="str">
        <f t="shared" si="86"/>
        <v/>
      </c>
      <c r="O696" s="4" t="str">
        <f t="shared" si="87"/>
        <v/>
      </c>
    </row>
    <row r="697" spans="1:15">
      <c r="A697" s="11"/>
      <c r="B697" s="19"/>
      <c r="C697" s="19"/>
      <c r="D697" s="55"/>
      <c r="E697" s="56"/>
      <c r="F697" s="19"/>
      <c r="G697" s="4" t="str">
        <f t="shared" si="80"/>
        <v/>
      </c>
      <c r="H697" s="11" t="str">
        <f t="shared" si="81"/>
        <v/>
      </c>
      <c r="I697" s="55" t="str">
        <f t="shared" si="82"/>
        <v/>
      </c>
      <c r="J697" s="55" t="str">
        <f t="shared" si="83"/>
        <v/>
      </c>
      <c r="K697" s="4" t="str">
        <f t="shared" si="84"/>
        <v/>
      </c>
      <c r="L697" s="19" t="str">
        <f t="shared" si="85"/>
        <v/>
      </c>
      <c r="M697" s="12" t="str">
        <f>IF(A697="","",IFERROR(INDEX(المدخلات!$M$4:$M$15,MATCH(A697,المدخلات!$L$4:$L$15,0)),""))</f>
        <v/>
      </c>
      <c r="N697" s="4" t="str">
        <f t="shared" si="86"/>
        <v/>
      </c>
      <c r="O697" s="4" t="str">
        <f t="shared" si="87"/>
        <v/>
      </c>
    </row>
    <row r="698" spans="1:15">
      <c r="A698" s="11"/>
      <c r="B698" s="19"/>
      <c r="C698" s="19"/>
      <c r="D698" s="55"/>
      <c r="E698" s="56"/>
      <c r="F698" s="19"/>
      <c r="G698" s="4" t="str">
        <f t="shared" si="80"/>
        <v/>
      </c>
      <c r="H698" s="11" t="str">
        <f t="shared" si="81"/>
        <v/>
      </c>
      <c r="I698" s="55" t="str">
        <f t="shared" si="82"/>
        <v/>
      </c>
      <c r="J698" s="55" t="str">
        <f t="shared" si="83"/>
        <v/>
      </c>
      <c r="K698" s="4" t="str">
        <f t="shared" si="84"/>
        <v/>
      </c>
      <c r="L698" s="19" t="str">
        <f t="shared" si="85"/>
        <v/>
      </c>
      <c r="M698" s="12" t="str">
        <f>IF(A698="","",IFERROR(INDEX(المدخلات!$M$4:$M$15,MATCH(A698,المدخلات!$L$4:$L$15,0)),""))</f>
        <v/>
      </c>
      <c r="N698" s="4" t="str">
        <f t="shared" si="86"/>
        <v/>
      </c>
      <c r="O698" s="4" t="str">
        <f t="shared" si="87"/>
        <v/>
      </c>
    </row>
    <row r="699" spans="1:15">
      <c r="A699" s="11"/>
      <c r="B699" s="19"/>
      <c r="C699" s="19"/>
      <c r="D699" s="55"/>
      <c r="E699" s="56"/>
      <c r="F699" s="19"/>
      <c r="G699" s="4" t="str">
        <f t="shared" si="80"/>
        <v/>
      </c>
      <c r="H699" s="11" t="str">
        <f t="shared" si="81"/>
        <v/>
      </c>
      <c r="I699" s="55" t="str">
        <f t="shared" si="82"/>
        <v/>
      </c>
      <c r="J699" s="55" t="str">
        <f t="shared" si="83"/>
        <v/>
      </c>
      <c r="K699" s="4" t="str">
        <f t="shared" si="84"/>
        <v/>
      </c>
      <c r="L699" s="19" t="str">
        <f t="shared" si="85"/>
        <v/>
      </c>
      <c r="M699" s="12" t="str">
        <f>IF(A699="","",IFERROR(INDEX(المدخلات!$M$4:$M$15,MATCH(A699,المدخلات!$L$4:$L$15,0)),""))</f>
        <v/>
      </c>
      <c r="N699" s="4" t="str">
        <f t="shared" si="86"/>
        <v/>
      </c>
      <c r="O699" s="4" t="str">
        <f t="shared" si="87"/>
        <v/>
      </c>
    </row>
    <row r="700" spans="1:15">
      <c r="A700" s="11"/>
      <c r="B700" s="19"/>
      <c r="C700" s="19"/>
      <c r="D700" s="55"/>
      <c r="E700" s="56"/>
      <c r="F700" s="19"/>
      <c r="G700" s="4" t="str">
        <f t="shared" si="80"/>
        <v/>
      </c>
      <c r="H700" s="11" t="str">
        <f t="shared" si="81"/>
        <v/>
      </c>
      <c r="I700" s="55" t="str">
        <f t="shared" si="82"/>
        <v/>
      </c>
      <c r="J700" s="55" t="str">
        <f t="shared" si="83"/>
        <v/>
      </c>
      <c r="K700" s="4" t="str">
        <f t="shared" si="84"/>
        <v/>
      </c>
      <c r="L700" s="19" t="str">
        <f t="shared" si="85"/>
        <v/>
      </c>
      <c r="M700" s="12" t="str">
        <f>IF(A700="","",IFERROR(INDEX(المدخلات!$M$4:$M$15,MATCH(A700,المدخلات!$L$4:$L$15,0)),""))</f>
        <v/>
      </c>
      <c r="N700" s="4" t="str">
        <f t="shared" si="86"/>
        <v/>
      </c>
      <c r="O700" s="4" t="str">
        <f t="shared" si="87"/>
        <v/>
      </c>
    </row>
    <row r="701" spans="1:15">
      <c r="A701" s="11"/>
      <c r="B701" s="19"/>
      <c r="C701" s="19"/>
      <c r="D701" s="55"/>
      <c r="E701" s="56"/>
      <c r="F701" s="19"/>
      <c r="G701" s="4" t="str">
        <f t="shared" si="80"/>
        <v/>
      </c>
      <c r="H701" s="11" t="str">
        <f t="shared" si="81"/>
        <v/>
      </c>
      <c r="I701" s="55" t="str">
        <f t="shared" si="82"/>
        <v/>
      </c>
      <c r="J701" s="55" t="str">
        <f t="shared" si="83"/>
        <v/>
      </c>
      <c r="K701" s="4" t="str">
        <f t="shared" si="84"/>
        <v/>
      </c>
      <c r="L701" s="19" t="str">
        <f t="shared" si="85"/>
        <v/>
      </c>
      <c r="M701" s="12" t="str">
        <f>IF(A701="","",IFERROR(INDEX(المدخلات!$M$4:$M$15,MATCH(A701,المدخلات!$L$4:$L$15,0)),""))</f>
        <v/>
      </c>
      <c r="N701" s="4" t="str">
        <f t="shared" si="86"/>
        <v/>
      </c>
      <c r="O701" s="4" t="str">
        <f t="shared" si="87"/>
        <v/>
      </c>
    </row>
    <row r="702" spans="1:15">
      <c r="A702" s="11"/>
      <c r="B702" s="19"/>
      <c r="C702" s="19"/>
      <c r="D702" s="55"/>
      <c r="E702" s="56"/>
      <c r="F702" s="19"/>
      <c r="G702" s="4" t="str">
        <f t="shared" si="80"/>
        <v/>
      </c>
      <c r="H702" s="11" t="str">
        <f t="shared" si="81"/>
        <v/>
      </c>
      <c r="I702" s="55" t="str">
        <f t="shared" si="82"/>
        <v/>
      </c>
      <c r="J702" s="55" t="str">
        <f t="shared" si="83"/>
        <v/>
      </c>
      <c r="K702" s="4" t="str">
        <f t="shared" si="84"/>
        <v/>
      </c>
      <c r="L702" s="19" t="str">
        <f t="shared" si="85"/>
        <v/>
      </c>
      <c r="M702" s="12" t="str">
        <f>IF(A702="","",IFERROR(INDEX(المدخلات!$M$4:$M$15,MATCH(A702,المدخلات!$L$4:$L$15,0)),""))</f>
        <v/>
      </c>
      <c r="N702" s="4" t="str">
        <f t="shared" si="86"/>
        <v/>
      </c>
      <c r="O702" s="4" t="str">
        <f t="shared" si="87"/>
        <v/>
      </c>
    </row>
    <row r="703" spans="1:15">
      <c r="A703" s="11"/>
      <c r="B703" s="19"/>
      <c r="C703" s="19"/>
      <c r="D703" s="55"/>
      <c r="E703" s="56"/>
      <c r="F703" s="19"/>
      <c r="G703" s="4" t="str">
        <f t="shared" si="80"/>
        <v/>
      </c>
      <c r="H703" s="11" t="str">
        <f t="shared" si="81"/>
        <v/>
      </c>
      <c r="I703" s="55" t="str">
        <f t="shared" si="82"/>
        <v/>
      </c>
      <c r="J703" s="55" t="str">
        <f t="shared" si="83"/>
        <v/>
      </c>
      <c r="K703" s="4" t="str">
        <f t="shared" si="84"/>
        <v/>
      </c>
      <c r="L703" s="19" t="str">
        <f t="shared" si="85"/>
        <v/>
      </c>
      <c r="M703" s="12" t="str">
        <f>IF(A703="","",IFERROR(INDEX(المدخلات!$M$4:$M$15,MATCH(A703,المدخلات!$L$4:$L$15,0)),""))</f>
        <v/>
      </c>
      <c r="N703" s="4" t="str">
        <f t="shared" si="86"/>
        <v/>
      </c>
      <c r="O703" s="4" t="str">
        <f t="shared" si="87"/>
        <v/>
      </c>
    </row>
    <row r="704" spans="1:15">
      <c r="A704" s="11"/>
      <c r="B704" s="19"/>
      <c r="C704" s="19"/>
      <c r="D704" s="55"/>
      <c r="E704" s="56"/>
      <c r="F704" s="19"/>
      <c r="G704" s="4" t="str">
        <f t="shared" si="80"/>
        <v/>
      </c>
      <c r="H704" s="11" t="str">
        <f t="shared" si="81"/>
        <v/>
      </c>
      <c r="I704" s="55" t="str">
        <f t="shared" si="82"/>
        <v/>
      </c>
      <c r="J704" s="55" t="str">
        <f t="shared" si="83"/>
        <v/>
      </c>
      <c r="K704" s="4" t="str">
        <f t="shared" si="84"/>
        <v/>
      </c>
      <c r="L704" s="19" t="str">
        <f t="shared" si="85"/>
        <v/>
      </c>
      <c r="M704" s="12" t="str">
        <f>IF(A704="","",IFERROR(INDEX(المدخلات!$M$4:$M$15,MATCH(A704,المدخلات!$L$4:$L$15,0)),""))</f>
        <v/>
      </c>
      <c r="N704" s="4" t="str">
        <f t="shared" si="86"/>
        <v/>
      </c>
      <c r="O704" s="4" t="str">
        <f t="shared" si="87"/>
        <v/>
      </c>
    </row>
    <row r="705" spans="1:15">
      <c r="A705" s="11"/>
      <c r="B705" s="19"/>
      <c r="C705" s="19"/>
      <c r="D705" s="55"/>
      <c r="E705" s="56"/>
      <c r="F705" s="19"/>
      <c r="G705" s="4" t="str">
        <f t="shared" si="80"/>
        <v/>
      </c>
      <c r="H705" s="11" t="str">
        <f t="shared" si="81"/>
        <v/>
      </c>
      <c r="I705" s="55" t="str">
        <f t="shared" si="82"/>
        <v/>
      </c>
      <c r="J705" s="55" t="str">
        <f t="shared" si="83"/>
        <v/>
      </c>
      <c r="K705" s="4" t="str">
        <f t="shared" si="84"/>
        <v/>
      </c>
      <c r="L705" s="19" t="str">
        <f t="shared" si="85"/>
        <v/>
      </c>
      <c r="M705" s="12" t="str">
        <f>IF(A705="","",IFERROR(INDEX(المدخلات!$M$4:$M$15,MATCH(A705,المدخلات!$L$4:$L$15,0)),""))</f>
        <v/>
      </c>
      <c r="N705" s="4" t="str">
        <f t="shared" si="86"/>
        <v/>
      </c>
      <c r="O705" s="4" t="str">
        <f t="shared" si="87"/>
        <v/>
      </c>
    </row>
    <row r="706" spans="1:15">
      <c r="A706" s="11"/>
      <c r="B706" s="19"/>
      <c r="C706" s="19"/>
      <c r="D706" s="55"/>
      <c r="E706" s="56"/>
      <c r="F706" s="19"/>
      <c r="G706" s="4" t="str">
        <f t="shared" si="80"/>
        <v/>
      </c>
      <c r="H706" s="11" t="str">
        <f t="shared" si="81"/>
        <v/>
      </c>
      <c r="I706" s="55" t="str">
        <f t="shared" si="82"/>
        <v/>
      </c>
      <c r="J706" s="55" t="str">
        <f t="shared" si="83"/>
        <v/>
      </c>
      <c r="K706" s="4" t="str">
        <f t="shared" si="84"/>
        <v/>
      </c>
      <c r="L706" s="19" t="str">
        <f t="shared" si="85"/>
        <v/>
      </c>
      <c r="M706" s="12" t="str">
        <f>IF(A706="","",IFERROR(INDEX(المدخلات!$M$4:$M$15,MATCH(A706,المدخلات!$L$4:$L$15,0)),""))</f>
        <v/>
      </c>
      <c r="N706" s="4" t="str">
        <f t="shared" si="86"/>
        <v/>
      </c>
      <c r="O706" s="4" t="str">
        <f t="shared" si="87"/>
        <v/>
      </c>
    </row>
    <row r="707" spans="1:15">
      <c r="A707" s="11"/>
      <c r="B707" s="19"/>
      <c r="C707" s="19"/>
      <c r="D707" s="55"/>
      <c r="E707" s="56"/>
      <c r="F707" s="19"/>
      <c r="G707" s="4" t="str">
        <f t="shared" si="80"/>
        <v/>
      </c>
      <c r="H707" s="11" t="str">
        <f t="shared" si="81"/>
        <v/>
      </c>
      <c r="I707" s="55" t="str">
        <f t="shared" si="82"/>
        <v/>
      </c>
      <c r="J707" s="55" t="str">
        <f t="shared" si="83"/>
        <v/>
      </c>
      <c r="K707" s="4" t="str">
        <f t="shared" si="84"/>
        <v/>
      </c>
      <c r="L707" s="19" t="str">
        <f t="shared" si="85"/>
        <v/>
      </c>
      <c r="M707" s="12" t="str">
        <f>IF(A707="","",IFERROR(INDEX(المدخلات!$M$4:$M$15,MATCH(A707,المدخلات!$L$4:$L$15,0)),""))</f>
        <v/>
      </c>
      <c r="N707" s="4" t="str">
        <f t="shared" si="86"/>
        <v/>
      </c>
      <c r="O707" s="4" t="str">
        <f t="shared" si="87"/>
        <v/>
      </c>
    </row>
    <row r="708" spans="1:15">
      <c r="A708" s="11"/>
      <c r="B708" s="19"/>
      <c r="C708" s="19"/>
      <c r="D708" s="55"/>
      <c r="E708" s="56"/>
      <c r="F708" s="19"/>
      <c r="G708" s="4" t="str">
        <f t="shared" si="80"/>
        <v/>
      </c>
      <c r="H708" s="11" t="str">
        <f t="shared" si="81"/>
        <v/>
      </c>
      <c r="I708" s="55" t="str">
        <f t="shared" si="82"/>
        <v/>
      </c>
      <c r="J708" s="55" t="str">
        <f t="shared" si="83"/>
        <v/>
      </c>
      <c r="K708" s="4" t="str">
        <f t="shared" si="84"/>
        <v/>
      </c>
      <c r="L708" s="19" t="str">
        <f t="shared" si="85"/>
        <v/>
      </c>
      <c r="M708" s="12" t="str">
        <f>IF(A708="","",IFERROR(INDEX(المدخلات!$M$4:$M$15,MATCH(A708,المدخلات!$L$4:$L$15,0)),""))</f>
        <v/>
      </c>
      <c r="N708" s="4" t="str">
        <f t="shared" si="86"/>
        <v/>
      </c>
      <c r="O708" s="4" t="str">
        <f t="shared" si="87"/>
        <v/>
      </c>
    </row>
    <row r="709" spans="1:15">
      <c r="A709" s="11"/>
      <c r="B709" s="19"/>
      <c r="C709" s="19"/>
      <c r="D709" s="55"/>
      <c r="E709" s="56"/>
      <c r="F709" s="19"/>
      <c r="G709" s="4" t="str">
        <f t="shared" ref="G709:G772" si="88">IF(OR(D709="",E709=""),"",D709*E709)</f>
        <v/>
      </c>
      <c r="H709" s="11" t="str">
        <f t="shared" ref="H709:H772" si="89">IF(C709="","",IFERROR(_xlfn.MAXIFS($A$5:$A$2003,$C$5:$C$2003,C709,$A$5:$A$2003,"&lt;"&amp;A709),0))</f>
        <v/>
      </c>
      <c r="I709" s="55" t="str">
        <f t="shared" ref="I709:I772" si="90">IF(OR(H709="",H709=0),"",IFERROR(SUMIFS($D$5:$D$2003,$C$5:$C$2003,C709,$A$5:$A$2003,H709),""))</f>
        <v/>
      </c>
      <c r="J709" s="55" t="str">
        <f t="shared" ref="J709:J772" si="91">IF(C709="","",IF(I709="",0,MAX(I709-D709,0)))</f>
        <v/>
      </c>
      <c r="K709" s="4" t="str">
        <f t="shared" ref="K709:K772" si="92">IF(J709="","",J709*E709)</f>
        <v/>
      </c>
      <c r="L709" s="19" t="str">
        <f t="shared" ref="L709:L772" si="93">IF(C709="","",IF(COUNTIFS($A$5:$A$2003,A709,$C$5:$C$2003,C709)&gt;1,"⚠️ مادة مكررة بنفس الشهر",IF(OR(H709="",H709=0),"🆕 أول ظهور لهذه المادة",IF(D709&gt;I709,"ℹ️ زيادة كمية (شراء/تصحيح) - لا تُحتسب استهلاكاً",IF(D709=I709,"➖ لا تغيير","")))))</f>
        <v/>
      </c>
      <c r="M709" s="12" t="str">
        <f>IF(A709="","",IFERROR(INDEX(المدخلات!$M$4:$M$15,MATCH(A709,المدخلات!$L$4:$L$15,0)),""))</f>
        <v/>
      </c>
      <c r="N709" s="4" t="str">
        <f t="shared" ref="N709:N772" si="94">IF(OR(G709="",F709=""),"",IF(F709="دولار أمريكي",IF(M709="","⚠️ لا يوجد سعر صرف",G709*M709),G709))</f>
        <v/>
      </c>
      <c r="O709" s="4" t="str">
        <f t="shared" ref="O709:O772" si="95">IF(OR(K709="",F709=""),"",IF(F709="دولار أمريكي",IF(M709="","⚠️ لا يوجد سعر صرف",K709*M709),K709))</f>
        <v/>
      </c>
    </row>
    <row r="710" spans="1:15">
      <c r="A710" s="11"/>
      <c r="B710" s="19"/>
      <c r="C710" s="19"/>
      <c r="D710" s="55"/>
      <c r="E710" s="56"/>
      <c r="F710" s="19"/>
      <c r="G710" s="4" t="str">
        <f t="shared" si="88"/>
        <v/>
      </c>
      <c r="H710" s="11" t="str">
        <f t="shared" si="89"/>
        <v/>
      </c>
      <c r="I710" s="55" t="str">
        <f t="shared" si="90"/>
        <v/>
      </c>
      <c r="J710" s="55" t="str">
        <f t="shared" si="91"/>
        <v/>
      </c>
      <c r="K710" s="4" t="str">
        <f t="shared" si="92"/>
        <v/>
      </c>
      <c r="L710" s="19" t="str">
        <f t="shared" si="93"/>
        <v/>
      </c>
      <c r="M710" s="12" t="str">
        <f>IF(A710="","",IFERROR(INDEX(المدخلات!$M$4:$M$15,MATCH(A710,المدخلات!$L$4:$L$15,0)),""))</f>
        <v/>
      </c>
      <c r="N710" s="4" t="str">
        <f t="shared" si="94"/>
        <v/>
      </c>
      <c r="O710" s="4" t="str">
        <f t="shared" si="95"/>
        <v/>
      </c>
    </row>
    <row r="711" spans="1:15">
      <c r="A711" s="11"/>
      <c r="B711" s="19"/>
      <c r="C711" s="19"/>
      <c r="D711" s="55"/>
      <c r="E711" s="56"/>
      <c r="F711" s="19"/>
      <c r="G711" s="4" t="str">
        <f t="shared" si="88"/>
        <v/>
      </c>
      <c r="H711" s="11" t="str">
        <f t="shared" si="89"/>
        <v/>
      </c>
      <c r="I711" s="55" t="str">
        <f t="shared" si="90"/>
        <v/>
      </c>
      <c r="J711" s="55" t="str">
        <f t="shared" si="91"/>
        <v/>
      </c>
      <c r="K711" s="4" t="str">
        <f t="shared" si="92"/>
        <v/>
      </c>
      <c r="L711" s="19" t="str">
        <f t="shared" si="93"/>
        <v/>
      </c>
      <c r="M711" s="12" t="str">
        <f>IF(A711="","",IFERROR(INDEX(المدخلات!$M$4:$M$15,MATCH(A711,المدخلات!$L$4:$L$15,0)),""))</f>
        <v/>
      </c>
      <c r="N711" s="4" t="str">
        <f t="shared" si="94"/>
        <v/>
      </c>
      <c r="O711" s="4" t="str">
        <f t="shared" si="95"/>
        <v/>
      </c>
    </row>
    <row r="712" spans="1:15">
      <c r="A712" s="11"/>
      <c r="B712" s="19"/>
      <c r="C712" s="19"/>
      <c r="D712" s="55"/>
      <c r="E712" s="56"/>
      <c r="F712" s="19"/>
      <c r="G712" s="4" t="str">
        <f t="shared" si="88"/>
        <v/>
      </c>
      <c r="H712" s="11" t="str">
        <f t="shared" si="89"/>
        <v/>
      </c>
      <c r="I712" s="55" t="str">
        <f t="shared" si="90"/>
        <v/>
      </c>
      <c r="J712" s="55" t="str">
        <f t="shared" si="91"/>
        <v/>
      </c>
      <c r="K712" s="4" t="str">
        <f t="shared" si="92"/>
        <v/>
      </c>
      <c r="L712" s="19" t="str">
        <f t="shared" si="93"/>
        <v/>
      </c>
      <c r="M712" s="12" t="str">
        <f>IF(A712="","",IFERROR(INDEX(المدخلات!$M$4:$M$15,MATCH(A712,المدخلات!$L$4:$L$15,0)),""))</f>
        <v/>
      </c>
      <c r="N712" s="4" t="str">
        <f t="shared" si="94"/>
        <v/>
      </c>
      <c r="O712" s="4" t="str">
        <f t="shared" si="95"/>
        <v/>
      </c>
    </row>
    <row r="713" spans="1:15">
      <c r="A713" s="11"/>
      <c r="B713" s="19"/>
      <c r="C713" s="19"/>
      <c r="D713" s="55"/>
      <c r="E713" s="56"/>
      <c r="F713" s="19"/>
      <c r="G713" s="4" t="str">
        <f t="shared" si="88"/>
        <v/>
      </c>
      <c r="H713" s="11" t="str">
        <f t="shared" si="89"/>
        <v/>
      </c>
      <c r="I713" s="55" t="str">
        <f t="shared" si="90"/>
        <v/>
      </c>
      <c r="J713" s="55" t="str">
        <f t="shared" si="91"/>
        <v/>
      </c>
      <c r="K713" s="4" t="str">
        <f t="shared" si="92"/>
        <v/>
      </c>
      <c r="L713" s="19" t="str">
        <f t="shared" si="93"/>
        <v/>
      </c>
      <c r="M713" s="12" t="str">
        <f>IF(A713="","",IFERROR(INDEX(المدخلات!$M$4:$M$15,MATCH(A713,المدخلات!$L$4:$L$15,0)),""))</f>
        <v/>
      </c>
      <c r="N713" s="4" t="str">
        <f t="shared" si="94"/>
        <v/>
      </c>
      <c r="O713" s="4" t="str">
        <f t="shared" si="95"/>
        <v/>
      </c>
    </row>
    <row r="714" spans="1:15">
      <c r="A714" s="11"/>
      <c r="B714" s="19"/>
      <c r="C714" s="19"/>
      <c r="D714" s="55"/>
      <c r="E714" s="56"/>
      <c r="F714" s="19"/>
      <c r="G714" s="4" t="str">
        <f t="shared" si="88"/>
        <v/>
      </c>
      <c r="H714" s="11" t="str">
        <f t="shared" si="89"/>
        <v/>
      </c>
      <c r="I714" s="55" t="str">
        <f t="shared" si="90"/>
        <v/>
      </c>
      <c r="J714" s="55" t="str">
        <f t="shared" si="91"/>
        <v/>
      </c>
      <c r="K714" s="4" t="str">
        <f t="shared" si="92"/>
        <v/>
      </c>
      <c r="L714" s="19" t="str">
        <f t="shared" si="93"/>
        <v/>
      </c>
      <c r="M714" s="12" t="str">
        <f>IF(A714="","",IFERROR(INDEX(المدخلات!$M$4:$M$15,MATCH(A714,المدخلات!$L$4:$L$15,0)),""))</f>
        <v/>
      </c>
      <c r="N714" s="4" t="str">
        <f t="shared" si="94"/>
        <v/>
      </c>
      <c r="O714" s="4" t="str">
        <f t="shared" si="95"/>
        <v/>
      </c>
    </row>
    <row r="715" spans="1:15">
      <c r="A715" s="11"/>
      <c r="B715" s="19"/>
      <c r="C715" s="19"/>
      <c r="D715" s="55"/>
      <c r="E715" s="56"/>
      <c r="F715" s="19"/>
      <c r="G715" s="4" t="str">
        <f t="shared" si="88"/>
        <v/>
      </c>
      <c r="H715" s="11" t="str">
        <f t="shared" si="89"/>
        <v/>
      </c>
      <c r="I715" s="55" t="str">
        <f t="shared" si="90"/>
        <v/>
      </c>
      <c r="J715" s="55" t="str">
        <f t="shared" si="91"/>
        <v/>
      </c>
      <c r="K715" s="4" t="str">
        <f t="shared" si="92"/>
        <v/>
      </c>
      <c r="L715" s="19" t="str">
        <f t="shared" si="93"/>
        <v/>
      </c>
      <c r="M715" s="12" t="str">
        <f>IF(A715="","",IFERROR(INDEX(المدخلات!$M$4:$M$15,MATCH(A715,المدخلات!$L$4:$L$15,0)),""))</f>
        <v/>
      </c>
      <c r="N715" s="4" t="str">
        <f t="shared" si="94"/>
        <v/>
      </c>
      <c r="O715" s="4" t="str">
        <f t="shared" si="95"/>
        <v/>
      </c>
    </row>
    <row r="716" spans="1:15">
      <c r="A716" s="11"/>
      <c r="B716" s="19"/>
      <c r="C716" s="19"/>
      <c r="D716" s="55"/>
      <c r="E716" s="56"/>
      <c r="F716" s="19"/>
      <c r="G716" s="4" t="str">
        <f t="shared" si="88"/>
        <v/>
      </c>
      <c r="H716" s="11" t="str">
        <f t="shared" si="89"/>
        <v/>
      </c>
      <c r="I716" s="55" t="str">
        <f t="shared" si="90"/>
        <v/>
      </c>
      <c r="J716" s="55" t="str">
        <f t="shared" si="91"/>
        <v/>
      </c>
      <c r="K716" s="4" t="str">
        <f t="shared" si="92"/>
        <v/>
      </c>
      <c r="L716" s="19" t="str">
        <f t="shared" si="93"/>
        <v/>
      </c>
      <c r="M716" s="12" t="str">
        <f>IF(A716="","",IFERROR(INDEX(المدخلات!$M$4:$M$15,MATCH(A716,المدخلات!$L$4:$L$15,0)),""))</f>
        <v/>
      </c>
      <c r="N716" s="4" t="str">
        <f t="shared" si="94"/>
        <v/>
      </c>
      <c r="O716" s="4" t="str">
        <f t="shared" si="95"/>
        <v/>
      </c>
    </row>
    <row r="717" spans="1:15">
      <c r="A717" s="11"/>
      <c r="B717" s="19"/>
      <c r="C717" s="19"/>
      <c r="D717" s="55"/>
      <c r="E717" s="56"/>
      <c r="F717" s="19"/>
      <c r="G717" s="4" t="str">
        <f t="shared" si="88"/>
        <v/>
      </c>
      <c r="H717" s="11" t="str">
        <f t="shared" si="89"/>
        <v/>
      </c>
      <c r="I717" s="55" t="str">
        <f t="shared" si="90"/>
        <v/>
      </c>
      <c r="J717" s="55" t="str">
        <f t="shared" si="91"/>
        <v/>
      </c>
      <c r="K717" s="4" t="str">
        <f t="shared" si="92"/>
        <v/>
      </c>
      <c r="L717" s="19" t="str">
        <f t="shared" si="93"/>
        <v/>
      </c>
      <c r="M717" s="12" t="str">
        <f>IF(A717="","",IFERROR(INDEX(المدخلات!$M$4:$M$15,MATCH(A717,المدخلات!$L$4:$L$15,0)),""))</f>
        <v/>
      </c>
      <c r="N717" s="4" t="str">
        <f t="shared" si="94"/>
        <v/>
      </c>
      <c r="O717" s="4" t="str">
        <f t="shared" si="95"/>
        <v/>
      </c>
    </row>
    <row r="718" spans="1:15">
      <c r="A718" s="11"/>
      <c r="B718" s="19"/>
      <c r="C718" s="19"/>
      <c r="D718" s="55"/>
      <c r="E718" s="56"/>
      <c r="F718" s="19"/>
      <c r="G718" s="4" t="str">
        <f t="shared" si="88"/>
        <v/>
      </c>
      <c r="H718" s="11" t="str">
        <f t="shared" si="89"/>
        <v/>
      </c>
      <c r="I718" s="55" t="str">
        <f t="shared" si="90"/>
        <v/>
      </c>
      <c r="J718" s="55" t="str">
        <f t="shared" si="91"/>
        <v/>
      </c>
      <c r="K718" s="4" t="str">
        <f t="shared" si="92"/>
        <v/>
      </c>
      <c r="L718" s="19" t="str">
        <f t="shared" si="93"/>
        <v/>
      </c>
      <c r="M718" s="12" t="str">
        <f>IF(A718="","",IFERROR(INDEX(المدخلات!$M$4:$M$15,MATCH(A718,المدخلات!$L$4:$L$15,0)),""))</f>
        <v/>
      </c>
      <c r="N718" s="4" t="str">
        <f t="shared" si="94"/>
        <v/>
      </c>
      <c r="O718" s="4" t="str">
        <f t="shared" si="95"/>
        <v/>
      </c>
    </row>
    <row r="719" spans="1:15">
      <c r="A719" s="11"/>
      <c r="B719" s="19"/>
      <c r="C719" s="19"/>
      <c r="D719" s="55"/>
      <c r="E719" s="56"/>
      <c r="F719" s="19"/>
      <c r="G719" s="4" t="str">
        <f t="shared" si="88"/>
        <v/>
      </c>
      <c r="H719" s="11" t="str">
        <f t="shared" si="89"/>
        <v/>
      </c>
      <c r="I719" s="55" t="str">
        <f t="shared" si="90"/>
        <v/>
      </c>
      <c r="J719" s="55" t="str">
        <f t="shared" si="91"/>
        <v/>
      </c>
      <c r="K719" s="4" t="str">
        <f t="shared" si="92"/>
        <v/>
      </c>
      <c r="L719" s="19" t="str">
        <f t="shared" si="93"/>
        <v/>
      </c>
      <c r="M719" s="12" t="str">
        <f>IF(A719="","",IFERROR(INDEX(المدخلات!$M$4:$M$15,MATCH(A719,المدخلات!$L$4:$L$15,0)),""))</f>
        <v/>
      </c>
      <c r="N719" s="4" t="str">
        <f t="shared" si="94"/>
        <v/>
      </c>
      <c r="O719" s="4" t="str">
        <f t="shared" si="95"/>
        <v/>
      </c>
    </row>
    <row r="720" spans="1:15">
      <c r="A720" s="11"/>
      <c r="B720" s="19"/>
      <c r="C720" s="19"/>
      <c r="D720" s="55"/>
      <c r="E720" s="56"/>
      <c r="F720" s="19"/>
      <c r="G720" s="4" t="str">
        <f t="shared" si="88"/>
        <v/>
      </c>
      <c r="H720" s="11" t="str">
        <f t="shared" si="89"/>
        <v/>
      </c>
      <c r="I720" s="55" t="str">
        <f t="shared" si="90"/>
        <v/>
      </c>
      <c r="J720" s="55" t="str">
        <f t="shared" si="91"/>
        <v/>
      </c>
      <c r="K720" s="4" t="str">
        <f t="shared" si="92"/>
        <v/>
      </c>
      <c r="L720" s="19" t="str">
        <f t="shared" si="93"/>
        <v/>
      </c>
      <c r="M720" s="12" t="str">
        <f>IF(A720="","",IFERROR(INDEX(المدخلات!$M$4:$M$15,MATCH(A720,المدخلات!$L$4:$L$15,0)),""))</f>
        <v/>
      </c>
      <c r="N720" s="4" t="str">
        <f t="shared" si="94"/>
        <v/>
      </c>
      <c r="O720" s="4" t="str">
        <f t="shared" si="95"/>
        <v/>
      </c>
    </row>
    <row r="721" spans="1:15">
      <c r="A721" s="11"/>
      <c r="B721" s="19"/>
      <c r="C721" s="19"/>
      <c r="D721" s="55"/>
      <c r="E721" s="56"/>
      <c r="F721" s="19"/>
      <c r="G721" s="4" t="str">
        <f t="shared" si="88"/>
        <v/>
      </c>
      <c r="H721" s="11" t="str">
        <f t="shared" si="89"/>
        <v/>
      </c>
      <c r="I721" s="55" t="str">
        <f t="shared" si="90"/>
        <v/>
      </c>
      <c r="J721" s="55" t="str">
        <f t="shared" si="91"/>
        <v/>
      </c>
      <c r="K721" s="4" t="str">
        <f t="shared" si="92"/>
        <v/>
      </c>
      <c r="L721" s="19" t="str">
        <f t="shared" si="93"/>
        <v/>
      </c>
      <c r="M721" s="12" t="str">
        <f>IF(A721="","",IFERROR(INDEX(المدخلات!$M$4:$M$15,MATCH(A721,المدخلات!$L$4:$L$15,0)),""))</f>
        <v/>
      </c>
      <c r="N721" s="4" t="str">
        <f t="shared" si="94"/>
        <v/>
      </c>
      <c r="O721" s="4" t="str">
        <f t="shared" si="95"/>
        <v/>
      </c>
    </row>
    <row r="722" spans="1:15">
      <c r="A722" s="11"/>
      <c r="B722" s="19"/>
      <c r="C722" s="19"/>
      <c r="D722" s="55"/>
      <c r="E722" s="56"/>
      <c r="F722" s="19"/>
      <c r="G722" s="4" t="str">
        <f t="shared" si="88"/>
        <v/>
      </c>
      <c r="H722" s="11" t="str">
        <f t="shared" si="89"/>
        <v/>
      </c>
      <c r="I722" s="55" t="str">
        <f t="shared" si="90"/>
        <v/>
      </c>
      <c r="J722" s="55" t="str">
        <f t="shared" si="91"/>
        <v/>
      </c>
      <c r="K722" s="4" t="str">
        <f t="shared" si="92"/>
        <v/>
      </c>
      <c r="L722" s="19" t="str">
        <f t="shared" si="93"/>
        <v/>
      </c>
      <c r="M722" s="12" t="str">
        <f>IF(A722="","",IFERROR(INDEX(المدخلات!$M$4:$M$15,MATCH(A722,المدخلات!$L$4:$L$15,0)),""))</f>
        <v/>
      </c>
      <c r="N722" s="4" t="str">
        <f t="shared" si="94"/>
        <v/>
      </c>
      <c r="O722" s="4" t="str">
        <f t="shared" si="95"/>
        <v/>
      </c>
    </row>
    <row r="723" spans="1:15">
      <c r="A723" s="11"/>
      <c r="B723" s="19"/>
      <c r="C723" s="19"/>
      <c r="D723" s="55"/>
      <c r="E723" s="56"/>
      <c r="F723" s="19"/>
      <c r="G723" s="4" t="str">
        <f t="shared" si="88"/>
        <v/>
      </c>
      <c r="H723" s="11" t="str">
        <f t="shared" si="89"/>
        <v/>
      </c>
      <c r="I723" s="55" t="str">
        <f t="shared" si="90"/>
        <v/>
      </c>
      <c r="J723" s="55" t="str">
        <f t="shared" si="91"/>
        <v/>
      </c>
      <c r="K723" s="4" t="str">
        <f t="shared" si="92"/>
        <v/>
      </c>
      <c r="L723" s="19" t="str">
        <f t="shared" si="93"/>
        <v/>
      </c>
      <c r="M723" s="12" t="str">
        <f>IF(A723="","",IFERROR(INDEX(المدخلات!$M$4:$M$15,MATCH(A723,المدخلات!$L$4:$L$15,0)),""))</f>
        <v/>
      </c>
      <c r="N723" s="4" t="str">
        <f t="shared" si="94"/>
        <v/>
      </c>
      <c r="O723" s="4" t="str">
        <f t="shared" si="95"/>
        <v/>
      </c>
    </row>
    <row r="724" spans="1:15">
      <c r="A724" s="11"/>
      <c r="B724" s="19"/>
      <c r="C724" s="19"/>
      <c r="D724" s="55"/>
      <c r="E724" s="56"/>
      <c r="F724" s="19"/>
      <c r="G724" s="4" t="str">
        <f t="shared" si="88"/>
        <v/>
      </c>
      <c r="H724" s="11" t="str">
        <f t="shared" si="89"/>
        <v/>
      </c>
      <c r="I724" s="55" t="str">
        <f t="shared" si="90"/>
        <v/>
      </c>
      <c r="J724" s="55" t="str">
        <f t="shared" si="91"/>
        <v/>
      </c>
      <c r="K724" s="4" t="str">
        <f t="shared" si="92"/>
        <v/>
      </c>
      <c r="L724" s="19" t="str">
        <f t="shared" si="93"/>
        <v/>
      </c>
      <c r="M724" s="12" t="str">
        <f>IF(A724="","",IFERROR(INDEX(المدخلات!$M$4:$M$15,MATCH(A724,المدخلات!$L$4:$L$15,0)),""))</f>
        <v/>
      </c>
      <c r="N724" s="4" t="str">
        <f t="shared" si="94"/>
        <v/>
      </c>
      <c r="O724" s="4" t="str">
        <f t="shared" si="95"/>
        <v/>
      </c>
    </row>
    <row r="725" spans="1:15">
      <c r="A725" s="11"/>
      <c r="B725" s="19"/>
      <c r="C725" s="19"/>
      <c r="D725" s="55"/>
      <c r="E725" s="56"/>
      <c r="F725" s="19"/>
      <c r="G725" s="4" t="str">
        <f t="shared" si="88"/>
        <v/>
      </c>
      <c r="H725" s="11" t="str">
        <f t="shared" si="89"/>
        <v/>
      </c>
      <c r="I725" s="55" t="str">
        <f t="shared" si="90"/>
        <v/>
      </c>
      <c r="J725" s="55" t="str">
        <f t="shared" si="91"/>
        <v/>
      </c>
      <c r="K725" s="4" t="str">
        <f t="shared" si="92"/>
        <v/>
      </c>
      <c r="L725" s="19" t="str">
        <f t="shared" si="93"/>
        <v/>
      </c>
      <c r="M725" s="12" t="str">
        <f>IF(A725="","",IFERROR(INDEX(المدخلات!$M$4:$M$15,MATCH(A725,المدخلات!$L$4:$L$15,0)),""))</f>
        <v/>
      </c>
      <c r="N725" s="4" t="str">
        <f t="shared" si="94"/>
        <v/>
      </c>
      <c r="O725" s="4" t="str">
        <f t="shared" si="95"/>
        <v/>
      </c>
    </row>
    <row r="726" spans="1:15">
      <c r="A726" s="11"/>
      <c r="B726" s="19"/>
      <c r="C726" s="19"/>
      <c r="D726" s="55"/>
      <c r="E726" s="56"/>
      <c r="F726" s="19"/>
      <c r="G726" s="4" t="str">
        <f t="shared" si="88"/>
        <v/>
      </c>
      <c r="H726" s="11" t="str">
        <f t="shared" si="89"/>
        <v/>
      </c>
      <c r="I726" s="55" t="str">
        <f t="shared" si="90"/>
        <v/>
      </c>
      <c r="J726" s="55" t="str">
        <f t="shared" si="91"/>
        <v/>
      </c>
      <c r="K726" s="4" t="str">
        <f t="shared" si="92"/>
        <v/>
      </c>
      <c r="L726" s="19" t="str">
        <f t="shared" si="93"/>
        <v/>
      </c>
      <c r="M726" s="12" t="str">
        <f>IF(A726="","",IFERROR(INDEX(المدخلات!$M$4:$M$15,MATCH(A726,المدخلات!$L$4:$L$15,0)),""))</f>
        <v/>
      </c>
      <c r="N726" s="4" t="str">
        <f t="shared" si="94"/>
        <v/>
      </c>
      <c r="O726" s="4" t="str">
        <f t="shared" si="95"/>
        <v/>
      </c>
    </row>
    <row r="727" spans="1:15">
      <c r="A727" s="11"/>
      <c r="B727" s="19"/>
      <c r="C727" s="19"/>
      <c r="D727" s="55"/>
      <c r="E727" s="56"/>
      <c r="F727" s="19"/>
      <c r="G727" s="4" t="str">
        <f t="shared" si="88"/>
        <v/>
      </c>
      <c r="H727" s="11" t="str">
        <f t="shared" si="89"/>
        <v/>
      </c>
      <c r="I727" s="55" t="str">
        <f t="shared" si="90"/>
        <v/>
      </c>
      <c r="J727" s="55" t="str">
        <f t="shared" si="91"/>
        <v/>
      </c>
      <c r="K727" s="4" t="str">
        <f t="shared" si="92"/>
        <v/>
      </c>
      <c r="L727" s="19" t="str">
        <f t="shared" si="93"/>
        <v/>
      </c>
      <c r="M727" s="12" t="str">
        <f>IF(A727="","",IFERROR(INDEX(المدخلات!$M$4:$M$15,MATCH(A727,المدخلات!$L$4:$L$15,0)),""))</f>
        <v/>
      </c>
      <c r="N727" s="4" t="str">
        <f t="shared" si="94"/>
        <v/>
      </c>
      <c r="O727" s="4" t="str">
        <f t="shared" si="95"/>
        <v/>
      </c>
    </row>
    <row r="728" spans="1:15">
      <c r="A728" s="11"/>
      <c r="B728" s="19"/>
      <c r="C728" s="19"/>
      <c r="D728" s="55"/>
      <c r="E728" s="56"/>
      <c r="F728" s="19"/>
      <c r="G728" s="4" t="str">
        <f t="shared" si="88"/>
        <v/>
      </c>
      <c r="H728" s="11" t="str">
        <f t="shared" si="89"/>
        <v/>
      </c>
      <c r="I728" s="55" t="str">
        <f t="shared" si="90"/>
        <v/>
      </c>
      <c r="J728" s="55" t="str">
        <f t="shared" si="91"/>
        <v/>
      </c>
      <c r="K728" s="4" t="str">
        <f t="shared" si="92"/>
        <v/>
      </c>
      <c r="L728" s="19" t="str">
        <f t="shared" si="93"/>
        <v/>
      </c>
      <c r="M728" s="12" t="str">
        <f>IF(A728="","",IFERROR(INDEX(المدخلات!$M$4:$M$15,MATCH(A728,المدخلات!$L$4:$L$15,0)),""))</f>
        <v/>
      </c>
      <c r="N728" s="4" t="str">
        <f t="shared" si="94"/>
        <v/>
      </c>
      <c r="O728" s="4" t="str">
        <f t="shared" si="95"/>
        <v/>
      </c>
    </row>
    <row r="729" spans="1:15">
      <c r="A729" s="11"/>
      <c r="B729" s="19"/>
      <c r="C729" s="19"/>
      <c r="D729" s="55"/>
      <c r="E729" s="56"/>
      <c r="F729" s="19"/>
      <c r="G729" s="4" t="str">
        <f t="shared" si="88"/>
        <v/>
      </c>
      <c r="H729" s="11" t="str">
        <f t="shared" si="89"/>
        <v/>
      </c>
      <c r="I729" s="55" t="str">
        <f t="shared" si="90"/>
        <v/>
      </c>
      <c r="J729" s="55" t="str">
        <f t="shared" si="91"/>
        <v/>
      </c>
      <c r="K729" s="4" t="str">
        <f t="shared" si="92"/>
        <v/>
      </c>
      <c r="L729" s="19" t="str">
        <f t="shared" si="93"/>
        <v/>
      </c>
      <c r="M729" s="12" t="str">
        <f>IF(A729="","",IFERROR(INDEX(المدخلات!$M$4:$M$15,MATCH(A729,المدخلات!$L$4:$L$15,0)),""))</f>
        <v/>
      </c>
      <c r="N729" s="4" t="str">
        <f t="shared" si="94"/>
        <v/>
      </c>
      <c r="O729" s="4" t="str">
        <f t="shared" si="95"/>
        <v/>
      </c>
    </row>
    <row r="730" spans="1:15">
      <c r="A730" s="11"/>
      <c r="B730" s="19"/>
      <c r="C730" s="19"/>
      <c r="D730" s="55"/>
      <c r="E730" s="56"/>
      <c r="F730" s="19"/>
      <c r="G730" s="4" t="str">
        <f t="shared" si="88"/>
        <v/>
      </c>
      <c r="H730" s="11" t="str">
        <f t="shared" si="89"/>
        <v/>
      </c>
      <c r="I730" s="55" t="str">
        <f t="shared" si="90"/>
        <v/>
      </c>
      <c r="J730" s="55" t="str">
        <f t="shared" si="91"/>
        <v/>
      </c>
      <c r="K730" s="4" t="str">
        <f t="shared" si="92"/>
        <v/>
      </c>
      <c r="L730" s="19" t="str">
        <f t="shared" si="93"/>
        <v/>
      </c>
      <c r="M730" s="12" t="str">
        <f>IF(A730="","",IFERROR(INDEX(المدخلات!$M$4:$M$15,MATCH(A730,المدخلات!$L$4:$L$15,0)),""))</f>
        <v/>
      </c>
      <c r="N730" s="4" t="str">
        <f t="shared" si="94"/>
        <v/>
      </c>
      <c r="O730" s="4" t="str">
        <f t="shared" si="95"/>
        <v/>
      </c>
    </row>
    <row r="731" spans="1:15">
      <c r="A731" s="11"/>
      <c r="B731" s="19"/>
      <c r="C731" s="19"/>
      <c r="D731" s="55"/>
      <c r="E731" s="56"/>
      <c r="F731" s="19"/>
      <c r="G731" s="4" t="str">
        <f t="shared" si="88"/>
        <v/>
      </c>
      <c r="H731" s="11" t="str">
        <f t="shared" si="89"/>
        <v/>
      </c>
      <c r="I731" s="55" t="str">
        <f t="shared" si="90"/>
        <v/>
      </c>
      <c r="J731" s="55" t="str">
        <f t="shared" si="91"/>
        <v/>
      </c>
      <c r="K731" s="4" t="str">
        <f t="shared" si="92"/>
        <v/>
      </c>
      <c r="L731" s="19" t="str">
        <f t="shared" si="93"/>
        <v/>
      </c>
      <c r="M731" s="12" t="str">
        <f>IF(A731="","",IFERROR(INDEX(المدخلات!$M$4:$M$15,MATCH(A731,المدخلات!$L$4:$L$15,0)),""))</f>
        <v/>
      </c>
      <c r="N731" s="4" t="str">
        <f t="shared" si="94"/>
        <v/>
      </c>
      <c r="O731" s="4" t="str">
        <f t="shared" si="95"/>
        <v/>
      </c>
    </row>
    <row r="732" spans="1:15">
      <c r="A732" s="11"/>
      <c r="B732" s="19"/>
      <c r="C732" s="19"/>
      <c r="D732" s="55"/>
      <c r="E732" s="56"/>
      <c r="F732" s="19"/>
      <c r="G732" s="4" t="str">
        <f t="shared" si="88"/>
        <v/>
      </c>
      <c r="H732" s="11" t="str">
        <f t="shared" si="89"/>
        <v/>
      </c>
      <c r="I732" s="55" t="str">
        <f t="shared" si="90"/>
        <v/>
      </c>
      <c r="J732" s="55" t="str">
        <f t="shared" si="91"/>
        <v/>
      </c>
      <c r="K732" s="4" t="str">
        <f t="shared" si="92"/>
        <v/>
      </c>
      <c r="L732" s="19" t="str">
        <f t="shared" si="93"/>
        <v/>
      </c>
      <c r="M732" s="12" t="str">
        <f>IF(A732="","",IFERROR(INDEX(المدخلات!$M$4:$M$15,MATCH(A732,المدخلات!$L$4:$L$15,0)),""))</f>
        <v/>
      </c>
      <c r="N732" s="4" t="str">
        <f t="shared" si="94"/>
        <v/>
      </c>
      <c r="O732" s="4" t="str">
        <f t="shared" si="95"/>
        <v/>
      </c>
    </row>
    <row r="733" spans="1:15">
      <c r="A733" s="11"/>
      <c r="B733" s="19"/>
      <c r="C733" s="19"/>
      <c r="D733" s="55"/>
      <c r="E733" s="56"/>
      <c r="F733" s="19"/>
      <c r="G733" s="4" t="str">
        <f t="shared" si="88"/>
        <v/>
      </c>
      <c r="H733" s="11" t="str">
        <f t="shared" si="89"/>
        <v/>
      </c>
      <c r="I733" s="55" t="str">
        <f t="shared" si="90"/>
        <v/>
      </c>
      <c r="J733" s="55" t="str">
        <f t="shared" si="91"/>
        <v/>
      </c>
      <c r="K733" s="4" t="str">
        <f t="shared" si="92"/>
        <v/>
      </c>
      <c r="L733" s="19" t="str">
        <f t="shared" si="93"/>
        <v/>
      </c>
      <c r="M733" s="12" t="str">
        <f>IF(A733="","",IFERROR(INDEX(المدخلات!$M$4:$M$15,MATCH(A733,المدخلات!$L$4:$L$15,0)),""))</f>
        <v/>
      </c>
      <c r="N733" s="4" t="str">
        <f t="shared" si="94"/>
        <v/>
      </c>
      <c r="O733" s="4" t="str">
        <f t="shared" si="95"/>
        <v/>
      </c>
    </row>
    <row r="734" spans="1:15">
      <c r="A734" s="11"/>
      <c r="B734" s="19"/>
      <c r="C734" s="19"/>
      <c r="D734" s="55"/>
      <c r="E734" s="56"/>
      <c r="F734" s="19"/>
      <c r="G734" s="4" t="str">
        <f t="shared" si="88"/>
        <v/>
      </c>
      <c r="H734" s="11" t="str">
        <f t="shared" si="89"/>
        <v/>
      </c>
      <c r="I734" s="55" t="str">
        <f t="shared" si="90"/>
        <v/>
      </c>
      <c r="J734" s="55" t="str">
        <f t="shared" si="91"/>
        <v/>
      </c>
      <c r="K734" s="4" t="str">
        <f t="shared" si="92"/>
        <v/>
      </c>
      <c r="L734" s="19" t="str">
        <f t="shared" si="93"/>
        <v/>
      </c>
      <c r="M734" s="12" t="str">
        <f>IF(A734="","",IFERROR(INDEX(المدخلات!$M$4:$M$15,MATCH(A734,المدخلات!$L$4:$L$15,0)),""))</f>
        <v/>
      </c>
      <c r="N734" s="4" t="str">
        <f t="shared" si="94"/>
        <v/>
      </c>
      <c r="O734" s="4" t="str">
        <f t="shared" si="95"/>
        <v/>
      </c>
    </row>
    <row r="735" spans="1:15">
      <c r="A735" s="11"/>
      <c r="B735" s="19"/>
      <c r="C735" s="19"/>
      <c r="D735" s="55"/>
      <c r="E735" s="56"/>
      <c r="F735" s="19"/>
      <c r="G735" s="4" t="str">
        <f t="shared" si="88"/>
        <v/>
      </c>
      <c r="H735" s="11" t="str">
        <f t="shared" si="89"/>
        <v/>
      </c>
      <c r="I735" s="55" t="str">
        <f t="shared" si="90"/>
        <v/>
      </c>
      <c r="J735" s="55" t="str">
        <f t="shared" si="91"/>
        <v/>
      </c>
      <c r="K735" s="4" t="str">
        <f t="shared" si="92"/>
        <v/>
      </c>
      <c r="L735" s="19" t="str">
        <f t="shared" si="93"/>
        <v/>
      </c>
      <c r="M735" s="12" t="str">
        <f>IF(A735="","",IFERROR(INDEX(المدخلات!$M$4:$M$15,MATCH(A735,المدخلات!$L$4:$L$15,0)),""))</f>
        <v/>
      </c>
      <c r="N735" s="4" t="str">
        <f t="shared" si="94"/>
        <v/>
      </c>
      <c r="O735" s="4" t="str">
        <f t="shared" si="95"/>
        <v/>
      </c>
    </row>
    <row r="736" spans="1:15">
      <c r="A736" s="11"/>
      <c r="B736" s="19"/>
      <c r="C736" s="19"/>
      <c r="D736" s="55"/>
      <c r="E736" s="56"/>
      <c r="F736" s="19"/>
      <c r="G736" s="4" t="str">
        <f t="shared" si="88"/>
        <v/>
      </c>
      <c r="H736" s="11" t="str">
        <f t="shared" si="89"/>
        <v/>
      </c>
      <c r="I736" s="55" t="str">
        <f t="shared" si="90"/>
        <v/>
      </c>
      <c r="J736" s="55" t="str">
        <f t="shared" si="91"/>
        <v/>
      </c>
      <c r="K736" s="4" t="str">
        <f t="shared" si="92"/>
        <v/>
      </c>
      <c r="L736" s="19" t="str">
        <f t="shared" si="93"/>
        <v/>
      </c>
      <c r="M736" s="12" t="str">
        <f>IF(A736="","",IFERROR(INDEX(المدخلات!$M$4:$M$15,MATCH(A736,المدخلات!$L$4:$L$15,0)),""))</f>
        <v/>
      </c>
      <c r="N736" s="4" t="str">
        <f t="shared" si="94"/>
        <v/>
      </c>
      <c r="O736" s="4" t="str">
        <f t="shared" si="95"/>
        <v/>
      </c>
    </row>
    <row r="737" spans="1:15">
      <c r="A737" s="11"/>
      <c r="B737" s="19"/>
      <c r="C737" s="19"/>
      <c r="D737" s="55"/>
      <c r="E737" s="56"/>
      <c r="F737" s="19"/>
      <c r="G737" s="4" t="str">
        <f t="shared" si="88"/>
        <v/>
      </c>
      <c r="H737" s="11" t="str">
        <f t="shared" si="89"/>
        <v/>
      </c>
      <c r="I737" s="55" t="str">
        <f t="shared" si="90"/>
        <v/>
      </c>
      <c r="J737" s="55" t="str">
        <f t="shared" si="91"/>
        <v/>
      </c>
      <c r="K737" s="4" t="str">
        <f t="shared" si="92"/>
        <v/>
      </c>
      <c r="L737" s="19" t="str">
        <f t="shared" si="93"/>
        <v/>
      </c>
      <c r="M737" s="12" t="str">
        <f>IF(A737="","",IFERROR(INDEX(المدخلات!$M$4:$M$15,MATCH(A737,المدخلات!$L$4:$L$15,0)),""))</f>
        <v/>
      </c>
      <c r="N737" s="4" t="str">
        <f t="shared" si="94"/>
        <v/>
      </c>
      <c r="O737" s="4" t="str">
        <f t="shared" si="95"/>
        <v/>
      </c>
    </row>
    <row r="738" spans="1:15">
      <c r="A738" s="11"/>
      <c r="B738" s="19"/>
      <c r="C738" s="19"/>
      <c r="D738" s="55"/>
      <c r="E738" s="56"/>
      <c r="F738" s="19"/>
      <c r="G738" s="4" t="str">
        <f t="shared" si="88"/>
        <v/>
      </c>
      <c r="H738" s="11" t="str">
        <f t="shared" si="89"/>
        <v/>
      </c>
      <c r="I738" s="55" t="str">
        <f t="shared" si="90"/>
        <v/>
      </c>
      <c r="J738" s="55" t="str">
        <f t="shared" si="91"/>
        <v/>
      </c>
      <c r="K738" s="4" t="str">
        <f t="shared" si="92"/>
        <v/>
      </c>
      <c r="L738" s="19" t="str">
        <f t="shared" si="93"/>
        <v/>
      </c>
      <c r="M738" s="12" t="str">
        <f>IF(A738="","",IFERROR(INDEX(المدخلات!$M$4:$M$15,MATCH(A738,المدخلات!$L$4:$L$15,0)),""))</f>
        <v/>
      </c>
      <c r="N738" s="4" t="str">
        <f t="shared" si="94"/>
        <v/>
      </c>
      <c r="O738" s="4" t="str">
        <f t="shared" si="95"/>
        <v/>
      </c>
    </row>
    <row r="739" spans="1:15">
      <c r="A739" s="11"/>
      <c r="B739" s="19"/>
      <c r="C739" s="19"/>
      <c r="D739" s="55"/>
      <c r="E739" s="56"/>
      <c r="F739" s="19"/>
      <c r="G739" s="4" t="str">
        <f t="shared" si="88"/>
        <v/>
      </c>
      <c r="H739" s="11" t="str">
        <f t="shared" si="89"/>
        <v/>
      </c>
      <c r="I739" s="55" t="str">
        <f t="shared" si="90"/>
        <v/>
      </c>
      <c r="J739" s="55" t="str">
        <f t="shared" si="91"/>
        <v/>
      </c>
      <c r="K739" s="4" t="str">
        <f t="shared" si="92"/>
        <v/>
      </c>
      <c r="L739" s="19" t="str">
        <f t="shared" si="93"/>
        <v/>
      </c>
      <c r="M739" s="12" t="str">
        <f>IF(A739="","",IFERROR(INDEX(المدخلات!$M$4:$M$15,MATCH(A739,المدخلات!$L$4:$L$15,0)),""))</f>
        <v/>
      </c>
      <c r="N739" s="4" t="str">
        <f t="shared" si="94"/>
        <v/>
      </c>
      <c r="O739" s="4" t="str">
        <f t="shared" si="95"/>
        <v/>
      </c>
    </row>
    <row r="740" spans="1:15">
      <c r="A740" s="11"/>
      <c r="B740" s="19"/>
      <c r="C740" s="19"/>
      <c r="D740" s="55"/>
      <c r="E740" s="56"/>
      <c r="F740" s="19"/>
      <c r="G740" s="4" t="str">
        <f t="shared" si="88"/>
        <v/>
      </c>
      <c r="H740" s="11" t="str">
        <f t="shared" si="89"/>
        <v/>
      </c>
      <c r="I740" s="55" t="str">
        <f t="shared" si="90"/>
        <v/>
      </c>
      <c r="J740" s="55" t="str">
        <f t="shared" si="91"/>
        <v/>
      </c>
      <c r="K740" s="4" t="str">
        <f t="shared" si="92"/>
        <v/>
      </c>
      <c r="L740" s="19" t="str">
        <f t="shared" si="93"/>
        <v/>
      </c>
      <c r="M740" s="12" t="str">
        <f>IF(A740="","",IFERROR(INDEX(المدخلات!$M$4:$M$15,MATCH(A740,المدخلات!$L$4:$L$15,0)),""))</f>
        <v/>
      </c>
      <c r="N740" s="4" t="str">
        <f t="shared" si="94"/>
        <v/>
      </c>
      <c r="O740" s="4" t="str">
        <f t="shared" si="95"/>
        <v/>
      </c>
    </row>
    <row r="741" spans="1:15">
      <c r="A741" s="11"/>
      <c r="B741" s="19"/>
      <c r="C741" s="19"/>
      <c r="D741" s="55"/>
      <c r="E741" s="56"/>
      <c r="F741" s="19"/>
      <c r="G741" s="4" t="str">
        <f t="shared" si="88"/>
        <v/>
      </c>
      <c r="H741" s="11" t="str">
        <f t="shared" si="89"/>
        <v/>
      </c>
      <c r="I741" s="55" t="str">
        <f t="shared" si="90"/>
        <v/>
      </c>
      <c r="J741" s="55" t="str">
        <f t="shared" si="91"/>
        <v/>
      </c>
      <c r="K741" s="4" t="str">
        <f t="shared" si="92"/>
        <v/>
      </c>
      <c r="L741" s="19" t="str">
        <f t="shared" si="93"/>
        <v/>
      </c>
      <c r="M741" s="12" t="str">
        <f>IF(A741="","",IFERROR(INDEX(المدخلات!$M$4:$M$15,MATCH(A741,المدخلات!$L$4:$L$15,0)),""))</f>
        <v/>
      </c>
      <c r="N741" s="4" t="str">
        <f t="shared" si="94"/>
        <v/>
      </c>
      <c r="O741" s="4" t="str">
        <f t="shared" si="95"/>
        <v/>
      </c>
    </row>
    <row r="742" spans="1:15">
      <c r="A742" s="11"/>
      <c r="B742" s="19"/>
      <c r="C742" s="19"/>
      <c r="D742" s="55"/>
      <c r="E742" s="56"/>
      <c r="F742" s="19"/>
      <c r="G742" s="4" t="str">
        <f t="shared" si="88"/>
        <v/>
      </c>
      <c r="H742" s="11" t="str">
        <f t="shared" si="89"/>
        <v/>
      </c>
      <c r="I742" s="55" t="str">
        <f t="shared" si="90"/>
        <v/>
      </c>
      <c r="J742" s="55" t="str">
        <f t="shared" si="91"/>
        <v/>
      </c>
      <c r="K742" s="4" t="str">
        <f t="shared" si="92"/>
        <v/>
      </c>
      <c r="L742" s="19" t="str">
        <f t="shared" si="93"/>
        <v/>
      </c>
      <c r="M742" s="12" t="str">
        <f>IF(A742="","",IFERROR(INDEX(المدخلات!$M$4:$M$15,MATCH(A742,المدخلات!$L$4:$L$15,0)),""))</f>
        <v/>
      </c>
      <c r="N742" s="4" t="str">
        <f t="shared" si="94"/>
        <v/>
      </c>
      <c r="O742" s="4" t="str">
        <f t="shared" si="95"/>
        <v/>
      </c>
    </row>
    <row r="743" spans="1:15">
      <c r="A743" s="11"/>
      <c r="B743" s="19"/>
      <c r="C743" s="19"/>
      <c r="D743" s="55"/>
      <c r="E743" s="56"/>
      <c r="F743" s="19"/>
      <c r="G743" s="4" t="str">
        <f t="shared" si="88"/>
        <v/>
      </c>
      <c r="H743" s="11" t="str">
        <f t="shared" si="89"/>
        <v/>
      </c>
      <c r="I743" s="55" t="str">
        <f t="shared" si="90"/>
        <v/>
      </c>
      <c r="J743" s="55" t="str">
        <f t="shared" si="91"/>
        <v/>
      </c>
      <c r="K743" s="4" t="str">
        <f t="shared" si="92"/>
        <v/>
      </c>
      <c r="L743" s="19" t="str">
        <f t="shared" si="93"/>
        <v/>
      </c>
      <c r="M743" s="12" t="str">
        <f>IF(A743="","",IFERROR(INDEX(المدخلات!$M$4:$M$15,MATCH(A743,المدخلات!$L$4:$L$15,0)),""))</f>
        <v/>
      </c>
      <c r="N743" s="4" t="str">
        <f t="shared" si="94"/>
        <v/>
      </c>
      <c r="O743" s="4" t="str">
        <f t="shared" si="95"/>
        <v/>
      </c>
    </row>
    <row r="744" spans="1:15">
      <c r="A744" s="11"/>
      <c r="B744" s="19"/>
      <c r="C744" s="19"/>
      <c r="D744" s="55"/>
      <c r="E744" s="56"/>
      <c r="F744" s="19"/>
      <c r="G744" s="4" t="str">
        <f t="shared" si="88"/>
        <v/>
      </c>
      <c r="H744" s="11" t="str">
        <f t="shared" si="89"/>
        <v/>
      </c>
      <c r="I744" s="55" t="str">
        <f t="shared" si="90"/>
        <v/>
      </c>
      <c r="J744" s="55" t="str">
        <f t="shared" si="91"/>
        <v/>
      </c>
      <c r="K744" s="4" t="str">
        <f t="shared" si="92"/>
        <v/>
      </c>
      <c r="L744" s="19" t="str">
        <f t="shared" si="93"/>
        <v/>
      </c>
      <c r="M744" s="12" t="str">
        <f>IF(A744="","",IFERROR(INDEX(المدخلات!$M$4:$M$15,MATCH(A744,المدخلات!$L$4:$L$15,0)),""))</f>
        <v/>
      </c>
      <c r="N744" s="4" t="str">
        <f t="shared" si="94"/>
        <v/>
      </c>
      <c r="O744" s="4" t="str">
        <f t="shared" si="95"/>
        <v/>
      </c>
    </row>
    <row r="745" spans="1:15">
      <c r="A745" s="11"/>
      <c r="B745" s="19"/>
      <c r="C745" s="19"/>
      <c r="D745" s="55"/>
      <c r="E745" s="56"/>
      <c r="F745" s="19"/>
      <c r="G745" s="4" t="str">
        <f t="shared" si="88"/>
        <v/>
      </c>
      <c r="H745" s="11" t="str">
        <f t="shared" si="89"/>
        <v/>
      </c>
      <c r="I745" s="55" t="str">
        <f t="shared" si="90"/>
        <v/>
      </c>
      <c r="J745" s="55" t="str">
        <f t="shared" si="91"/>
        <v/>
      </c>
      <c r="K745" s="4" t="str">
        <f t="shared" si="92"/>
        <v/>
      </c>
      <c r="L745" s="19" t="str">
        <f t="shared" si="93"/>
        <v/>
      </c>
      <c r="M745" s="12" t="str">
        <f>IF(A745="","",IFERROR(INDEX(المدخلات!$M$4:$M$15,MATCH(A745,المدخلات!$L$4:$L$15,0)),""))</f>
        <v/>
      </c>
      <c r="N745" s="4" t="str">
        <f t="shared" si="94"/>
        <v/>
      </c>
      <c r="O745" s="4" t="str">
        <f t="shared" si="95"/>
        <v/>
      </c>
    </row>
    <row r="746" spans="1:15">
      <c r="A746" s="11"/>
      <c r="B746" s="19"/>
      <c r="C746" s="19"/>
      <c r="D746" s="55"/>
      <c r="E746" s="56"/>
      <c r="F746" s="19"/>
      <c r="G746" s="4" t="str">
        <f t="shared" si="88"/>
        <v/>
      </c>
      <c r="H746" s="11" t="str">
        <f t="shared" si="89"/>
        <v/>
      </c>
      <c r="I746" s="55" t="str">
        <f t="shared" si="90"/>
        <v/>
      </c>
      <c r="J746" s="55" t="str">
        <f t="shared" si="91"/>
        <v/>
      </c>
      <c r="K746" s="4" t="str">
        <f t="shared" si="92"/>
        <v/>
      </c>
      <c r="L746" s="19" t="str">
        <f t="shared" si="93"/>
        <v/>
      </c>
      <c r="M746" s="12" t="str">
        <f>IF(A746="","",IFERROR(INDEX(المدخلات!$M$4:$M$15,MATCH(A746,المدخلات!$L$4:$L$15,0)),""))</f>
        <v/>
      </c>
      <c r="N746" s="4" t="str">
        <f t="shared" si="94"/>
        <v/>
      </c>
      <c r="O746" s="4" t="str">
        <f t="shared" si="95"/>
        <v/>
      </c>
    </row>
    <row r="747" spans="1:15">
      <c r="A747" s="11"/>
      <c r="B747" s="19"/>
      <c r="C747" s="19"/>
      <c r="D747" s="55"/>
      <c r="E747" s="56"/>
      <c r="F747" s="19"/>
      <c r="G747" s="4" t="str">
        <f t="shared" si="88"/>
        <v/>
      </c>
      <c r="H747" s="11" t="str">
        <f t="shared" si="89"/>
        <v/>
      </c>
      <c r="I747" s="55" t="str">
        <f t="shared" si="90"/>
        <v/>
      </c>
      <c r="J747" s="55" t="str">
        <f t="shared" si="91"/>
        <v/>
      </c>
      <c r="K747" s="4" t="str">
        <f t="shared" si="92"/>
        <v/>
      </c>
      <c r="L747" s="19" t="str">
        <f t="shared" si="93"/>
        <v/>
      </c>
      <c r="M747" s="12" t="str">
        <f>IF(A747="","",IFERROR(INDEX(المدخلات!$M$4:$M$15,MATCH(A747,المدخلات!$L$4:$L$15,0)),""))</f>
        <v/>
      </c>
      <c r="N747" s="4" t="str">
        <f t="shared" si="94"/>
        <v/>
      </c>
      <c r="O747" s="4" t="str">
        <f t="shared" si="95"/>
        <v/>
      </c>
    </row>
    <row r="748" spans="1:15">
      <c r="A748" s="11"/>
      <c r="B748" s="19"/>
      <c r="C748" s="19"/>
      <c r="D748" s="55"/>
      <c r="E748" s="56"/>
      <c r="F748" s="19"/>
      <c r="G748" s="4" t="str">
        <f t="shared" si="88"/>
        <v/>
      </c>
      <c r="H748" s="11" t="str">
        <f t="shared" si="89"/>
        <v/>
      </c>
      <c r="I748" s="55" t="str">
        <f t="shared" si="90"/>
        <v/>
      </c>
      <c r="J748" s="55" t="str">
        <f t="shared" si="91"/>
        <v/>
      </c>
      <c r="K748" s="4" t="str">
        <f t="shared" si="92"/>
        <v/>
      </c>
      <c r="L748" s="19" t="str">
        <f t="shared" si="93"/>
        <v/>
      </c>
      <c r="M748" s="12" t="str">
        <f>IF(A748="","",IFERROR(INDEX(المدخلات!$M$4:$M$15,MATCH(A748,المدخلات!$L$4:$L$15,0)),""))</f>
        <v/>
      </c>
      <c r="N748" s="4" t="str">
        <f t="shared" si="94"/>
        <v/>
      </c>
      <c r="O748" s="4" t="str">
        <f t="shared" si="95"/>
        <v/>
      </c>
    </row>
    <row r="749" spans="1:15">
      <c r="A749" s="11"/>
      <c r="B749" s="19"/>
      <c r="C749" s="19"/>
      <c r="D749" s="55"/>
      <c r="E749" s="56"/>
      <c r="F749" s="19"/>
      <c r="G749" s="4" t="str">
        <f t="shared" si="88"/>
        <v/>
      </c>
      <c r="H749" s="11" t="str">
        <f t="shared" si="89"/>
        <v/>
      </c>
      <c r="I749" s="55" t="str">
        <f t="shared" si="90"/>
        <v/>
      </c>
      <c r="J749" s="55" t="str">
        <f t="shared" si="91"/>
        <v/>
      </c>
      <c r="K749" s="4" t="str">
        <f t="shared" si="92"/>
        <v/>
      </c>
      <c r="L749" s="19" t="str">
        <f t="shared" si="93"/>
        <v/>
      </c>
      <c r="M749" s="12" t="str">
        <f>IF(A749="","",IFERROR(INDEX(المدخلات!$M$4:$M$15,MATCH(A749,المدخلات!$L$4:$L$15,0)),""))</f>
        <v/>
      </c>
      <c r="N749" s="4" t="str">
        <f t="shared" si="94"/>
        <v/>
      </c>
      <c r="O749" s="4" t="str">
        <f t="shared" si="95"/>
        <v/>
      </c>
    </row>
    <row r="750" spans="1:15">
      <c r="A750" s="11"/>
      <c r="B750" s="19"/>
      <c r="C750" s="19"/>
      <c r="D750" s="55"/>
      <c r="E750" s="56"/>
      <c r="F750" s="19"/>
      <c r="G750" s="4" t="str">
        <f t="shared" si="88"/>
        <v/>
      </c>
      <c r="H750" s="11" t="str">
        <f t="shared" si="89"/>
        <v/>
      </c>
      <c r="I750" s="55" t="str">
        <f t="shared" si="90"/>
        <v/>
      </c>
      <c r="J750" s="55" t="str">
        <f t="shared" si="91"/>
        <v/>
      </c>
      <c r="K750" s="4" t="str">
        <f t="shared" si="92"/>
        <v/>
      </c>
      <c r="L750" s="19" t="str">
        <f t="shared" si="93"/>
        <v/>
      </c>
      <c r="M750" s="12" t="str">
        <f>IF(A750="","",IFERROR(INDEX(المدخلات!$M$4:$M$15,MATCH(A750,المدخلات!$L$4:$L$15,0)),""))</f>
        <v/>
      </c>
      <c r="N750" s="4" t="str">
        <f t="shared" si="94"/>
        <v/>
      </c>
      <c r="O750" s="4" t="str">
        <f t="shared" si="95"/>
        <v/>
      </c>
    </row>
    <row r="751" spans="1:15">
      <c r="A751" s="11"/>
      <c r="B751" s="19"/>
      <c r="C751" s="19"/>
      <c r="D751" s="55"/>
      <c r="E751" s="56"/>
      <c r="F751" s="19"/>
      <c r="G751" s="4" t="str">
        <f t="shared" si="88"/>
        <v/>
      </c>
      <c r="H751" s="11" t="str">
        <f t="shared" si="89"/>
        <v/>
      </c>
      <c r="I751" s="55" t="str">
        <f t="shared" si="90"/>
        <v/>
      </c>
      <c r="J751" s="55" t="str">
        <f t="shared" si="91"/>
        <v/>
      </c>
      <c r="K751" s="4" t="str">
        <f t="shared" si="92"/>
        <v/>
      </c>
      <c r="L751" s="19" t="str">
        <f t="shared" si="93"/>
        <v/>
      </c>
      <c r="M751" s="12" t="str">
        <f>IF(A751="","",IFERROR(INDEX(المدخلات!$M$4:$M$15,MATCH(A751,المدخلات!$L$4:$L$15,0)),""))</f>
        <v/>
      </c>
      <c r="N751" s="4" t="str">
        <f t="shared" si="94"/>
        <v/>
      </c>
      <c r="O751" s="4" t="str">
        <f t="shared" si="95"/>
        <v/>
      </c>
    </row>
    <row r="752" spans="1:15">
      <c r="A752" s="11"/>
      <c r="B752" s="19"/>
      <c r="C752" s="19"/>
      <c r="D752" s="55"/>
      <c r="E752" s="56"/>
      <c r="F752" s="19"/>
      <c r="G752" s="4" t="str">
        <f t="shared" si="88"/>
        <v/>
      </c>
      <c r="H752" s="11" t="str">
        <f t="shared" si="89"/>
        <v/>
      </c>
      <c r="I752" s="55" t="str">
        <f t="shared" si="90"/>
        <v/>
      </c>
      <c r="J752" s="55" t="str">
        <f t="shared" si="91"/>
        <v/>
      </c>
      <c r="K752" s="4" t="str">
        <f t="shared" si="92"/>
        <v/>
      </c>
      <c r="L752" s="19" t="str">
        <f t="shared" si="93"/>
        <v/>
      </c>
      <c r="M752" s="12" t="str">
        <f>IF(A752="","",IFERROR(INDEX(المدخلات!$M$4:$M$15,MATCH(A752,المدخلات!$L$4:$L$15,0)),""))</f>
        <v/>
      </c>
      <c r="N752" s="4" t="str">
        <f t="shared" si="94"/>
        <v/>
      </c>
      <c r="O752" s="4" t="str">
        <f t="shared" si="95"/>
        <v/>
      </c>
    </row>
    <row r="753" spans="1:15">
      <c r="A753" s="11"/>
      <c r="B753" s="19"/>
      <c r="C753" s="19"/>
      <c r="D753" s="55"/>
      <c r="E753" s="56"/>
      <c r="F753" s="19"/>
      <c r="G753" s="4" t="str">
        <f t="shared" si="88"/>
        <v/>
      </c>
      <c r="H753" s="11" t="str">
        <f t="shared" si="89"/>
        <v/>
      </c>
      <c r="I753" s="55" t="str">
        <f t="shared" si="90"/>
        <v/>
      </c>
      <c r="J753" s="55" t="str">
        <f t="shared" si="91"/>
        <v/>
      </c>
      <c r="K753" s="4" t="str">
        <f t="shared" si="92"/>
        <v/>
      </c>
      <c r="L753" s="19" t="str">
        <f t="shared" si="93"/>
        <v/>
      </c>
      <c r="M753" s="12" t="str">
        <f>IF(A753="","",IFERROR(INDEX(المدخلات!$M$4:$M$15,MATCH(A753,المدخلات!$L$4:$L$15,0)),""))</f>
        <v/>
      </c>
      <c r="N753" s="4" t="str">
        <f t="shared" si="94"/>
        <v/>
      </c>
      <c r="O753" s="4" t="str">
        <f t="shared" si="95"/>
        <v/>
      </c>
    </row>
    <row r="754" spans="1:15">
      <c r="A754" s="11"/>
      <c r="B754" s="19"/>
      <c r="C754" s="19"/>
      <c r="D754" s="55"/>
      <c r="E754" s="56"/>
      <c r="F754" s="19"/>
      <c r="G754" s="4" t="str">
        <f t="shared" si="88"/>
        <v/>
      </c>
      <c r="H754" s="11" t="str">
        <f t="shared" si="89"/>
        <v/>
      </c>
      <c r="I754" s="55" t="str">
        <f t="shared" si="90"/>
        <v/>
      </c>
      <c r="J754" s="55" t="str">
        <f t="shared" si="91"/>
        <v/>
      </c>
      <c r="K754" s="4" t="str">
        <f t="shared" si="92"/>
        <v/>
      </c>
      <c r="L754" s="19" t="str">
        <f t="shared" si="93"/>
        <v/>
      </c>
      <c r="M754" s="12" t="str">
        <f>IF(A754="","",IFERROR(INDEX(المدخلات!$M$4:$M$15,MATCH(A754,المدخلات!$L$4:$L$15,0)),""))</f>
        <v/>
      </c>
      <c r="N754" s="4" t="str">
        <f t="shared" si="94"/>
        <v/>
      </c>
      <c r="O754" s="4" t="str">
        <f t="shared" si="95"/>
        <v/>
      </c>
    </row>
    <row r="755" spans="1:15">
      <c r="A755" s="11"/>
      <c r="B755" s="19"/>
      <c r="C755" s="19"/>
      <c r="D755" s="55"/>
      <c r="E755" s="56"/>
      <c r="F755" s="19"/>
      <c r="G755" s="4" t="str">
        <f t="shared" si="88"/>
        <v/>
      </c>
      <c r="H755" s="11" t="str">
        <f t="shared" si="89"/>
        <v/>
      </c>
      <c r="I755" s="55" t="str">
        <f t="shared" si="90"/>
        <v/>
      </c>
      <c r="J755" s="55" t="str">
        <f t="shared" si="91"/>
        <v/>
      </c>
      <c r="K755" s="4" t="str">
        <f t="shared" si="92"/>
        <v/>
      </c>
      <c r="L755" s="19" t="str">
        <f t="shared" si="93"/>
        <v/>
      </c>
      <c r="M755" s="12" t="str">
        <f>IF(A755="","",IFERROR(INDEX(المدخلات!$M$4:$M$15,MATCH(A755,المدخلات!$L$4:$L$15,0)),""))</f>
        <v/>
      </c>
      <c r="N755" s="4" t="str">
        <f t="shared" si="94"/>
        <v/>
      </c>
      <c r="O755" s="4" t="str">
        <f t="shared" si="95"/>
        <v/>
      </c>
    </row>
    <row r="756" spans="1:15">
      <c r="A756" s="11"/>
      <c r="B756" s="19"/>
      <c r="C756" s="19"/>
      <c r="D756" s="55"/>
      <c r="E756" s="56"/>
      <c r="F756" s="19"/>
      <c r="G756" s="4" t="str">
        <f t="shared" si="88"/>
        <v/>
      </c>
      <c r="H756" s="11" t="str">
        <f t="shared" si="89"/>
        <v/>
      </c>
      <c r="I756" s="55" t="str">
        <f t="shared" si="90"/>
        <v/>
      </c>
      <c r="J756" s="55" t="str">
        <f t="shared" si="91"/>
        <v/>
      </c>
      <c r="K756" s="4" t="str">
        <f t="shared" si="92"/>
        <v/>
      </c>
      <c r="L756" s="19" t="str">
        <f t="shared" si="93"/>
        <v/>
      </c>
      <c r="M756" s="12" t="str">
        <f>IF(A756="","",IFERROR(INDEX(المدخلات!$M$4:$M$15,MATCH(A756,المدخلات!$L$4:$L$15,0)),""))</f>
        <v/>
      </c>
      <c r="N756" s="4" t="str">
        <f t="shared" si="94"/>
        <v/>
      </c>
      <c r="O756" s="4" t="str">
        <f t="shared" si="95"/>
        <v/>
      </c>
    </row>
    <row r="757" spans="1:15">
      <c r="A757" s="11"/>
      <c r="B757" s="19"/>
      <c r="C757" s="19"/>
      <c r="D757" s="55"/>
      <c r="E757" s="56"/>
      <c r="F757" s="19"/>
      <c r="G757" s="4" t="str">
        <f t="shared" si="88"/>
        <v/>
      </c>
      <c r="H757" s="11" t="str">
        <f t="shared" si="89"/>
        <v/>
      </c>
      <c r="I757" s="55" t="str">
        <f t="shared" si="90"/>
        <v/>
      </c>
      <c r="J757" s="55" t="str">
        <f t="shared" si="91"/>
        <v/>
      </c>
      <c r="K757" s="4" t="str">
        <f t="shared" si="92"/>
        <v/>
      </c>
      <c r="L757" s="19" t="str">
        <f t="shared" si="93"/>
        <v/>
      </c>
      <c r="M757" s="12" t="str">
        <f>IF(A757="","",IFERROR(INDEX(المدخلات!$M$4:$M$15,MATCH(A757,المدخلات!$L$4:$L$15,0)),""))</f>
        <v/>
      </c>
      <c r="N757" s="4" t="str">
        <f t="shared" si="94"/>
        <v/>
      </c>
      <c r="O757" s="4" t="str">
        <f t="shared" si="95"/>
        <v/>
      </c>
    </row>
    <row r="758" spans="1:15">
      <c r="A758" s="11"/>
      <c r="B758" s="19"/>
      <c r="C758" s="19"/>
      <c r="D758" s="55"/>
      <c r="E758" s="56"/>
      <c r="F758" s="19"/>
      <c r="G758" s="4" t="str">
        <f t="shared" si="88"/>
        <v/>
      </c>
      <c r="H758" s="11" t="str">
        <f t="shared" si="89"/>
        <v/>
      </c>
      <c r="I758" s="55" t="str">
        <f t="shared" si="90"/>
        <v/>
      </c>
      <c r="J758" s="55" t="str">
        <f t="shared" si="91"/>
        <v/>
      </c>
      <c r="K758" s="4" t="str">
        <f t="shared" si="92"/>
        <v/>
      </c>
      <c r="L758" s="19" t="str">
        <f t="shared" si="93"/>
        <v/>
      </c>
      <c r="M758" s="12" t="str">
        <f>IF(A758="","",IFERROR(INDEX(المدخلات!$M$4:$M$15,MATCH(A758,المدخلات!$L$4:$L$15,0)),""))</f>
        <v/>
      </c>
      <c r="N758" s="4" t="str">
        <f t="shared" si="94"/>
        <v/>
      </c>
      <c r="O758" s="4" t="str">
        <f t="shared" si="95"/>
        <v/>
      </c>
    </row>
    <row r="759" spans="1:15">
      <c r="A759" s="11"/>
      <c r="B759" s="19"/>
      <c r="C759" s="19"/>
      <c r="D759" s="55"/>
      <c r="E759" s="56"/>
      <c r="F759" s="19"/>
      <c r="G759" s="4" t="str">
        <f t="shared" si="88"/>
        <v/>
      </c>
      <c r="H759" s="11" t="str">
        <f t="shared" si="89"/>
        <v/>
      </c>
      <c r="I759" s="55" t="str">
        <f t="shared" si="90"/>
        <v/>
      </c>
      <c r="J759" s="55" t="str">
        <f t="shared" si="91"/>
        <v/>
      </c>
      <c r="K759" s="4" t="str">
        <f t="shared" si="92"/>
        <v/>
      </c>
      <c r="L759" s="19" t="str">
        <f t="shared" si="93"/>
        <v/>
      </c>
      <c r="M759" s="12" t="str">
        <f>IF(A759="","",IFERROR(INDEX(المدخلات!$M$4:$M$15,MATCH(A759,المدخلات!$L$4:$L$15,0)),""))</f>
        <v/>
      </c>
      <c r="N759" s="4" t="str">
        <f t="shared" si="94"/>
        <v/>
      </c>
      <c r="O759" s="4" t="str">
        <f t="shared" si="95"/>
        <v/>
      </c>
    </row>
    <row r="760" spans="1:15">
      <c r="A760" s="11"/>
      <c r="B760" s="19"/>
      <c r="C760" s="19"/>
      <c r="D760" s="55"/>
      <c r="E760" s="56"/>
      <c r="F760" s="19"/>
      <c r="G760" s="4" t="str">
        <f t="shared" si="88"/>
        <v/>
      </c>
      <c r="H760" s="11" t="str">
        <f t="shared" si="89"/>
        <v/>
      </c>
      <c r="I760" s="55" t="str">
        <f t="shared" si="90"/>
        <v/>
      </c>
      <c r="J760" s="55" t="str">
        <f t="shared" si="91"/>
        <v/>
      </c>
      <c r="K760" s="4" t="str">
        <f t="shared" si="92"/>
        <v/>
      </c>
      <c r="L760" s="19" t="str">
        <f t="shared" si="93"/>
        <v/>
      </c>
      <c r="M760" s="12" t="str">
        <f>IF(A760="","",IFERROR(INDEX(المدخلات!$M$4:$M$15,MATCH(A760,المدخلات!$L$4:$L$15,0)),""))</f>
        <v/>
      </c>
      <c r="N760" s="4" t="str">
        <f t="shared" si="94"/>
        <v/>
      </c>
      <c r="O760" s="4" t="str">
        <f t="shared" si="95"/>
        <v/>
      </c>
    </row>
    <row r="761" spans="1:15">
      <c r="A761" s="11"/>
      <c r="B761" s="19"/>
      <c r="C761" s="19"/>
      <c r="D761" s="55"/>
      <c r="E761" s="56"/>
      <c r="F761" s="19"/>
      <c r="G761" s="4" t="str">
        <f t="shared" si="88"/>
        <v/>
      </c>
      <c r="H761" s="11" t="str">
        <f t="shared" si="89"/>
        <v/>
      </c>
      <c r="I761" s="55" t="str">
        <f t="shared" si="90"/>
        <v/>
      </c>
      <c r="J761" s="55" t="str">
        <f t="shared" si="91"/>
        <v/>
      </c>
      <c r="K761" s="4" t="str">
        <f t="shared" si="92"/>
        <v/>
      </c>
      <c r="L761" s="19" t="str">
        <f t="shared" si="93"/>
        <v/>
      </c>
      <c r="M761" s="12" t="str">
        <f>IF(A761="","",IFERROR(INDEX(المدخلات!$M$4:$M$15,MATCH(A761,المدخلات!$L$4:$L$15,0)),""))</f>
        <v/>
      </c>
      <c r="N761" s="4" t="str">
        <f t="shared" si="94"/>
        <v/>
      </c>
      <c r="O761" s="4" t="str">
        <f t="shared" si="95"/>
        <v/>
      </c>
    </row>
    <row r="762" spans="1:15">
      <c r="A762" s="11"/>
      <c r="B762" s="19"/>
      <c r="C762" s="19"/>
      <c r="D762" s="55"/>
      <c r="E762" s="56"/>
      <c r="F762" s="19"/>
      <c r="G762" s="4" t="str">
        <f t="shared" si="88"/>
        <v/>
      </c>
      <c r="H762" s="11" t="str">
        <f t="shared" si="89"/>
        <v/>
      </c>
      <c r="I762" s="55" t="str">
        <f t="shared" si="90"/>
        <v/>
      </c>
      <c r="J762" s="55" t="str">
        <f t="shared" si="91"/>
        <v/>
      </c>
      <c r="K762" s="4" t="str">
        <f t="shared" si="92"/>
        <v/>
      </c>
      <c r="L762" s="19" t="str">
        <f t="shared" si="93"/>
        <v/>
      </c>
      <c r="M762" s="12" t="str">
        <f>IF(A762="","",IFERROR(INDEX(المدخلات!$M$4:$M$15,MATCH(A762,المدخلات!$L$4:$L$15,0)),""))</f>
        <v/>
      </c>
      <c r="N762" s="4" t="str">
        <f t="shared" si="94"/>
        <v/>
      </c>
      <c r="O762" s="4" t="str">
        <f t="shared" si="95"/>
        <v/>
      </c>
    </row>
    <row r="763" spans="1:15">
      <c r="A763" s="11"/>
      <c r="B763" s="19"/>
      <c r="C763" s="19"/>
      <c r="D763" s="55"/>
      <c r="E763" s="56"/>
      <c r="F763" s="19"/>
      <c r="G763" s="4" t="str">
        <f t="shared" si="88"/>
        <v/>
      </c>
      <c r="H763" s="11" t="str">
        <f t="shared" si="89"/>
        <v/>
      </c>
      <c r="I763" s="55" t="str">
        <f t="shared" si="90"/>
        <v/>
      </c>
      <c r="J763" s="55" t="str">
        <f t="shared" si="91"/>
        <v/>
      </c>
      <c r="K763" s="4" t="str">
        <f t="shared" si="92"/>
        <v/>
      </c>
      <c r="L763" s="19" t="str">
        <f t="shared" si="93"/>
        <v/>
      </c>
      <c r="M763" s="12" t="str">
        <f>IF(A763="","",IFERROR(INDEX(المدخلات!$M$4:$M$15,MATCH(A763,المدخلات!$L$4:$L$15,0)),""))</f>
        <v/>
      </c>
      <c r="N763" s="4" t="str">
        <f t="shared" si="94"/>
        <v/>
      </c>
      <c r="O763" s="4" t="str">
        <f t="shared" si="95"/>
        <v/>
      </c>
    </row>
    <row r="764" spans="1:15">
      <c r="A764" s="11"/>
      <c r="B764" s="19"/>
      <c r="C764" s="19"/>
      <c r="D764" s="55"/>
      <c r="E764" s="56"/>
      <c r="F764" s="19"/>
      <c r="G764" s="4" t="str">
        <f t="shared" si="88"/>
        <v/>
      </c>
      <c r="H764" s="11" t="str">
        <f t="shared" si="89"/>
        <v/>
      </c>
      <c r="I764" s="55" t="str">
        <f t="shared" si="90"/>
        <v/>
      </c>
      <c r="J764" s="55" t="str">
        <f t="shared" si="91"/>
        <v/>
      </c>
      <c r="K764" s="4" t="str">
        <f t="shared" si="92"/>
        <v/>
      </c>
      <c r="L764" s="19" t="str">
        <f t="shared" si="93"/>
        <v/>
      </c>
      <c r="M764" s="12" t="str">
        <f>IF(A764="","",IFERROR(INDEX(المدخلات!$M$4:$M$15,MATCH(A764,المدخلات!$L$4:$L$15,0)),""))</f>
        <v/>
      </c>
      <c r="N764" s="4" t="str">
        <f t="shared" si="94"/>
        <v/>
      </c>
      <c r="O764" s="4" t="str">
        <f t="shared" si="95"/>
        <v/>
      </c>
    </row>
    <row r="765" spans="1:15">
      <c r="A765" s="11"/>
      <c r="B765" s="19"/>
      <c r="C765" s="19"/>
      <c r="D765" s="55"/>
      <c r="E765" s="56"/>
      <c r="F765" s="19"/>
      <c r="G765" s="4" t="str">
        <f t="shared" si="88"/>
        <v/>
      </c>
      <c r="H765" s="11" t="str">
        <f t="shared" si="89"/>
        <v/>
      </c>
      <c r="I765" s="55" t="str">
        <f t="shared" si="90"/>
        <v/>
      </c>
      <c r="J765" s="55" t="str">
        <f t="shared" si="91"/>
        <v/>
      </c>
      <c r="K765" s="4" t="str">
        <f t="shared" si="92"/>
        <v/>
      </c>
      <c r="L765" s="19" t="str">
        <f t="shared" si="93"/>
        <v/>
      </c>
      <c r="M765" s="12" t="str">
        <f>IF(A765="","",IFERROR(INDEX(المدخلات!$M$4:$M$15,MATCH(A765,المدخلات!$L$4:$L$15,0)),""))</f>
        <v/>
      </c>
      <c r="N765" s="4" t="str">
        <f t="shared" si="94"/>
        <v/>
      </c>
      <c r="O765" s="4" t="str">
        <f t="shared" si="95"/>
        <v/>
      </c>
    </row>
    <row r="766" spans="1:15">
      <c r="A766" s="11"/>
      <c r="B766" s="19"/>
      <c r="C766" s="19"/>
      <c r="D766" s="55"/>
      <c r="E766" s="56"/>
      <c r="F766" s="19"/>
      <c r="G766" s="4" t="str">
        <f t="shared" si="88"/>
        <v/>
      </c>
      <c r="H766" s="11" t="str">
        <f t="shared" si="89"/>
        <v/>
      </c>
      <c r="I766" s="55" t="str">
        <f t="shared" si="90"/>
        <v/>
      </c>
      <c r="J766" s="55" t="str">
        <f t="shared" si="91"/>
        <v/>
      </c>
      <c r="K766" s="4" t="str">
        <f t="shared" si="92"/>
        <v/>
      </c>
      <c r="L766" s="19" t="str">
        <f t="shared" si="93"/>
        <v/>
      </c>
      <c r="M766" s="12" t="str">
        <f>IF(A766="","",IFERROR(INDEX(المدخلات!$M$4:$M$15,MATCH(A766,المدخلات!$L$4:$L$15,0)),""))</f>
        <v/>
      </c>
      <c r="N766" s="4" t="str">
        <f t="shared" si="94"/>
        <v/>
      </c>
      <c r="O766" s="4" t="str">
        <f t="shared" si="95"/>
        <v/>
      </c>
    </row>
    <row r="767" spans="1:15">
      <c r="A767" s="11"/>
      <c r="B767" s="19"/>
      <c r="C767" s="19"/>
      <c r="D767" s="55"/>
      <c r="E767" s="56"/>
      <c r="F767" s="19"/>
      <c r="G767" s="4" t="str">
        <f t="shared" si="88"/>
        <v/>
      </c>
      <c r="H767" s="11" t="str">
        <f t="shared" si="89"/>
        <v/>
      </c>
      <c r="I767" s="55" t="str">
        <f t="shared" si="90"/>
        <v/>
      </c>
      <c r="J767" s="55" t="str">
        <f t="shared" si="91"/>
        <v/>
      </c>
      <c r="K767" s="4" t="str">
        <f t="shared" si="92"/>
        <v/>
      </c>
      <c r="L767" s="19" t="str">
        <f t="shared" si="93"/>
        <v/>
      </c>
      <c r="M767" s="12" t="str">
        <f>IF(A767="","",IFERROR(INDEX(المدخلات!$M$4:$M$15,MATCH(A767,المدخلات!$L$4:$L$15,0)),""))</f>
        <v/>
      </c>
      <c r="N767" s="4" t="str">
        <f t="shared" si="94"/>
        <v/>
      </c>
      <c r="O767" s="4" t="str">
        <f t="shared" si="95"/>
        <v/>
      </c>
    </row>
    <row r="768" spans="1:15">
      <c r="A768" s="11"/>
      <c r="B768" s="19"/>
      <c r="C768" s="19"/>
      <c r="D768" s="55"/>
      <c r="E768" s="56"/>
      <c r="F768" s="19"/>
      <c r="G768" s="4" t="str">
        <f t="shared" si="88"/>
        <v/>
      </c>
      <c r="H768" s="11" t="str">
        <f t="shared" si="89"/>
        <v/>
      </c>
      <c r="I768" s="55" t="str">
        <f t="shared" si="90"/>
        <v/>
      </c>
      <c r="J768" s="55" t="str">
        <f t="shared" si="91"/>
        <v/>
      </c>
      <c r="K768" s="4" t="str">
        <f t="shared" si="92"/>
        <v/>
      </c>
      <c r="L768" s="19" t="str">
        <f t="shared" si="93"/>
        <v/>
      </c>
      <c r="M768" s="12" t="str">
        <f>IF(A768="","",IFERROR(INDEX(المدخلات!$M$4:$M$15,MATCH(A768,المدخلات!$L$4:$L$15,0)),""))</f>
        <v/>
      </c>
      <c r="N768" s="4" t="str">
        <f t="shared" si="94"/>
        <v/>
      </c>
      <c r="O768" s="4" t="str">
        <f t="shared" si="95"/>
        <v/>
      </c>
    </row>
    <row r="769" spans="1:15">
      <c r="A769" s="11"/>
      <c r="B769" s="19"/>
      <c r="C769" s="19"/>
      <c r="D769" s="55"/>
      <c r="E769" s="56"/>
      <c r="F769" s="19"/>
      <c r="G769" s="4" t="str">
        <f t="shared" si="88"/>
        <v/>
      </c>
      <c r="H769" s="11" t="str">
        <f t="shared" si="89"/>
        <v/>
      </c>
      <c r="I769" s="55" t="str">
        <f t="shared" si="90"/>
        <v/>
      </c>
      <c r="J769" s="55" t="str">
        <f t="shared" si="91"/>
        <v/>
      </c>
      <c r="K769" s="4" t="str">
        <f t="shared" si="92"/>
        <v/>
      </c>
      <c r="L769" s="19" t="str">
        <f t="shared" si="93"/>
        <v/>
      </c>
      <c r="M769" s="12" t="str">
        <f>IF(A769="","",IFERROR(INDEX(المدخلات!$M$4:$M$15,MATCH(A769,المدخلات!$L$4:$L$15,0)),""))</f>
        <v/>
      </c>
      <c r="N769" s="4" t="str">
        <f t="shared" si="94"/>
        <v/>
      </c>
      <c r="O769" s="4" t="str">
        <f t="shared" si="95"/>
        <v/>
      </c>
    </row>
    <row r="770" spans="1:15">
      <c r="A770" s="11"/>
      <c r="B770" s="19"/>
      <c r="C770" s="19"/>
      <c r="D770" s="55"/>
      <c r="E770" s="56"/>
      <c r="F770" s="19"/>
      <c r="G770" s="4" t="str">
        <f t="shared" si="88"/>
        <v/>
      </c>
      <c r="H770" s="11" t="str">
        <f t="shared" si="89"/>
        <v/>
      </c>
      <c r="I770" s="55" t="str">
        <f t="shared" si="90"/>
        <v/>
      </c>
      <c r="J770" s="55" t="str">
        <f t="shared" si="91"/>
        <v/>
      </c>
      <c r="K770" s="4" t="str">
        <f t="shared" si="92"/>
        <v/>
      </c>
      <c r="L770" s="19" t="str">
        <f t="shared" si="93"/>
        <v/>
      </c>
      <c r="M770" s="12" t="str">
        <f>IF(A770="","",IFERROR(INDEX(المدخلات!$M$4:$M$15,MATCH(A770,المدخلات!$L$4:$L$15,0)),""))</f>
        <v/>
      </c>
      <c r="N770" s="4" t="str">
        <f t="shared" si="94"/>
        <v/>
      </c>
      <c r="O770" s="4" t="str">
        <f t="shared" si="95"/>
        <v/>
      </c>
    </row>
    <row r="771" spans="1:15">
      <c r="A771" s="11"/>
      <c r="B771" s="19"/>
      <c r="C771" s="19"/>
      <c r="D771" s="55"/>
      <c r="E771" s="56"/>
      <c r="F771" s="19"/>
      <c r="G771" s="4" t="str">
        <f t="shared" si="88"/>
        <v/>
      </c>
      <c r="H771" s="11" t="str">
        <f t="shared" si="89"/>
        <v/>
      </c>
      <c r="I771" s="55" t="str">
        <f t="shared" si="90"/>
        <v/>
      </c>
      <c r="J771" s="55" t="str">
        <f t="shared" si="91"/>
        <v/>
      </c>
      <c r="K771" s="4" t="str">
        <f t="shared" si="92"/>
        <v/>
      </c>
      <c r="L771" s="19" t="str">
        <f t="shared" si="93"/>
        <v/>
      </c>
      <c r="M771" s="12" t="str">
        <f>IF(A771="","",IFERROR(INDEX(المدخلات!$M$4:$M$15,MATCH(A771,المدخلات!$L$4:$L$15,0)),""))</f>
        <v/>
      </c>
      <c r="N771" s="4" t="str">
        <f t="shared" si="94"/>
        <v/>
      </c>
      <c r="O771" s="4" t="str">
        <f t="shared" si="95"/>
        <v/>
      </c>
    </row>
    <row r="772" spans="1:15">
      <c r="A772" s="11"/>
      <c r="B772" s="19"/>
      <c r="C772" s="19"/>
      <c r="D772" s="55"/>
      <c r="E772" s="56"/>
      <c r="F772" s="19"/>
      <c r="G772" s="4" t="str">
        <f t="shared" si="88"/>
        <v/>
      </c>
      <c r="H772" s="11" t="str">
        <f t="shared" si="89"/>
        <v/>
      </c>
      <c r="I772" s="55" t="str">
        <f t="shared" si="90"/>
        <v/>
      </c>
      <c r="J772" s="55" t="str">
        <f t="shared" si="91"/>
        <v/>
      </c>
      <c r="K772" s="4" t="str">
        <f t="shared" si="92"/>
        <v/>
      </c>
      <c r="L772" s="19" t="str">
        <f t="shared" si="93"/>
        <v/>
      </c>
      <c r="M772" s="12" t="str">
        <f>IF(A772="","",IFERROR(INDEX(المدخلات!$M$4:$M$15,MATCH(A772,المدخلات!$L$4:$L$15,0)),""))</f>
        <v/>
      </c>
      <c r="N772" s="4" t="str">
        <f t="shared" si="94"/>
        <v/>
      </c>
      <c r="O772" s="4" t="str">
        <f t="shared" si="95"/>
        <v/>
      </c>
    </row>
    <row r="773" spans="1:15">
      <c r="A773" s="11"/>
      <c r="B773" s="19"/>
      <c r="C773" s="19"/>
      <c r="D773" s="55"/>
      <c r="E773" s="56"/>
      <c r="F773" s="19"/>
      <c r="G773" s="4" t="str">
        <f t="shared" ref="G773:G836" si="96">IF(OR(D773="",E773=""),"",D773*E773)</f>
        <v/>
      </c>
      <c r="H773" s="11" t="str">
        <f t="shared" ref="H773:H836" si="97">IF(C773="","",IFERROR(_xlfn.MAXIFS($A$5:$A$2003,$C$5:$C$2003,C773,$A$5:$A$2003,"&lt;"&amp;A773),0))</f>
        <v/>
      </c>
      <c r="I773" s="55" t="str">
        <f t="shared" ref="I773:I836" si="98">IF(OR(H773="",H773=0),"",IFERROR(SUMIFS($D$5:$D$2003,$C$5:$C$2003,C773,$A$5:$A$2003,H773),""))</f>
        <v/>
      </c>
      <c r="J773" s="55" t="str">
        <f t="shared" ref="J773:J836" si="99">IF(C773="","",IF(I773="",0,MAX(I773-D773,0)))</f>
        <v/>
      </c>
      <c r="K773" s="4" t="str">
        <f t="shared" ref="K773:K836" si="100">IF(J773="","",J773*E773)</f>
        <v/>
      </c>
      <c r="L773" s="19" t="str">
        <f t="shared" ref="L773:L836" si="101">IF(C773="","",IF(COUNTIFS($A$5:$A$2003,A773,$C$5:$C$2003,C773)&gt;1,"⚠️ مادة مكررة بنفس الشهر",IF(OR(H773="",H773=0),"🆕 أول ظهور لهذه المادة",IF(D773&gt;I773,"ℹ️ زيادة كمية (شراء/تصحيح) - لا تُحتسب استهلاكاً",IF(D773=I773,"➖ لا تغيير","")))))</f>
        <v/>
      </c>
      <c r="M773" s="12" t="str">
        <f>IF(A773="","",IFERROR(INDEX(المدخلات!$M$4:$M$15,MATCH(A773,المدخلات!$L$4:$L$15,0)),""))</f>
        <v/>
      </c>
      <c r="N773" s="4" t="str">
        <f t="shared" ref="N773:N836" si="102">IF(OR(G773="",F773=""),"",IF(F773="دولار أمريكي",IF(M773="","⚠️ لا يوجد سعر صرف",G773*M773),G773))</f>
        <v/>
      </c>
      <c r="O773" s="4" t="str">
        <f t="shared" ref="O773:O836" si="103">IF(OR(K773="",F773=""),"",IF(F773="دولار أمريكي",IF(M773="","⚠️ لا يوجد سعر صرف",K773*M773),K773))</f>
        <v/>
      </c>
    </row>
    <row r="774" spans="1:15">
      <c r="A774" s="11"/>
      <c r="B774" s="19"/>
      <c r="C774" s="19"/>
      <c r="D774" s="55"/>
      <c r="E774" s="56"/>
      <c r="F774" s="19"/>
      <c r="G774" s="4" t="str">
        <f t="shared" si="96"/>
        <v/>
      </c>
      <c r="H774" s="11" t="str">
        <f t="shared" si="97"/>
        <v/>
      </c>
      <c r="I774" s="55" t="str">
        <f t="shared" si="98"/>
        <v/>
      </c>
      <c r="J774" s="55" t="str">
        <f t="shared" si="99"/>
        <v/>
      </c>
      <c r="K774" s="4" t="str">
        <f t="shared" si="100"/>
        <v/>
      </c>
      <c r="L774" s="19" t="str">
        <f t="shared" si="101"/>
        <v/>
      </c>
      <c r="M774" s="12" t="str">
        <f>IF(A774="","",IFERROR(INDEX(المدخلات!$M$4:$M$15,MATCH(A774,المدخلات!$L$4:$L$15,0)),""))</f>
        <v/>
      </c>
      <c r="N774" s="4" t="str">
        <f t="shared" si="102"/>
        <v/>
      </c>
      <c r="O774" s="4" t="str">
        <f t="shared" si="103"/>
        <v/>
      </c>
    </row>
    <row r="775" spans="1:15">
      <c r="A775" s="11"/>
      <c r="B775" s="19"/>
      <c r="C775" s="19"/>
      <c r="D775" s="55"/>
      <c r="E775" s="56"/>
      <c r="F775" s="19"/>
      <c r="G775" s="4" t="str">
        <f t="shared" si="96"/>
        <v/>
      </c>
      <c r="H775" s="11" t="str">
        <f t="shared" si="97"/>
        <v/>
      </c>
      <c r="I775" s="55" t="str">
        <f t="shared" si="98"/>
        <v/>
      </c>
      <c r="J775" s="55" t="str">
        <f t="shared" si="99"/>
        <v/>
      </c>
      <c r="K775" s="4" t="str">
        <f t="shared" si="100"/>
        <v/>
      </c>
      <c r="L775" s="19" t="str">
        <f t="shared" si="101"/>
        <v/>
      </c>
      <c r="M775" s="12" t="str">
        <f>IF(A775="","",IFERROR(INDEX(المدخلات!$M$4:$M$15,MATCH(A775,المدخلات!$L$4:$L$15,0)),""))</f>
        <v/>
      </c>
      <c r="N775" s="4" t="str">
        <f t="shared" si="102"/>
        <v/>
      </c>
      <c r="O775" s="4" t="str">
        <f t="shared" si="103"/>
        <v/>
      </c>
    </row>
    <row r="776" spans="1:15">
      <c r="A776" s="11"/>
      <c r="B776" s="19"/>
      <c r="C776" s="19"/>
      <c r="D776" s="55"/>
      <c r="E776" s="56"/>
      <c r="F776" s="19"/>
      <c r="G776" s="4" t="str">
        <f t="shared" si="96"/>
        <v/>
      </c>
      <c r="H776" s="11" t="str">
        <f t="shared" si="97"/>
        <v/>
      </c>
      <c r="I776" s="55" t="str">
        <f t="shared" si="98"/>
        <v/>
      </c>
      <c r="J776" s="55" t="str">
        <f t="shared" si="99"/>
        <v/>
      </c>
      <c r="K776" s="4" t="str">
        <f t="shared" si="100"/>
        <v/>
      </c>
      <c r="L776" s="19" t="str">
        <f t="shared" si="101"/>
        <v/>
      </c>
      <c r="M776" s="12" t="str">
        <f>IF(A776="","",IFERROR(INDEX(المدخلات!$M$4:$M$15,MATCH(A776,المدخلات!$L$4:$L$15,0)),""))</f>
        <v/>
      </c>
      <c r="N776" s="4" t="str">
        <f t="shared" si="102"/>
        <v/>
      </c>
      <c r="O776" s="4" t="str">
        <f t="shared" si="103"/>
        <v/>
      </c>
    </row>
    <row r="777" spans="1:15">
      <c r="A777" s="11"/>
      <c r="B777" s="19"/>
      <c r="C777" s="19"/>
      <c r="D777" s="55"/>
      <c r="E777" s="56"/>
      <c r="F777" s="19"/>
      <c r="G777" s="4" t="str">
        <f t="shared" si="96"/>
        <v/>
      </c>
      <c r="H777" s="11" t="str">
        <f t="shared" si="97"/>
        <v/>
      </c>
      <c r="I777" s="55" t="str">
        <f t="shared" si="98"/>
        <v/>
      </c>
      <c r="J777" s="55" t="str">
        <f t="shared" si="99"/>
        <v/>
      </c>
      <c r="K777" s="4" t="str">
        <f t="shared" si="100"/>
        <v/>
      </c>
      <c r="L777" s="19" t="str">
        <f t="shared" si="101"/>
        <v/>
      </c>
      <c r="M777" s="12" t="str">
        <f>IF(A777="","",IFERROR(INDEX(المدخلات!$M$4:$M$15,MATCH(A777,المدخلات!$L$4:$L$15,0)),""))</f>
        <v/>
      </c>
      <c r="N777" s="4" t="str">
        <f t="shared" si="102"/>
        <v/>
      </c>
      <c r="O777" s="4" t="str">
        <f t="shared" si="103"/>
        <v/>
      </c>
    </row>
    <row r="778" spans="1:15">
      <c r="A778" s="11"/>
      <c r="B778" s="19"/>
      <c r="C778" s="19"/>
      <c r="D778" s="55"/>
      <c r="E778" s="56"/>
      <c r="F778" s="19"/>
      <c r="G778" s="4" t="str">
        <f t="shared" si="96"/>
        <v/>
      </c>
      <c r="H778" s="11" t="str">
        <f t="shared" si="97"/>
        <v/>
      </c>
      <c r="I778" s="55" t="str">
        <f t="shared" si="98"/>
        <v/>
      </c>
      <c r="J778" s="55" t="str">
        <f t="shared" si="99"/>
        <v/>
      </c>
      <c r="K778" s="4" t="str">
        <f t="shared" si="100"/>
        <v/>
      </c>
      <c r="L778" s="19" t="str">
        <f t="shared" si="101"/>
        <v/>
      </c>
      <c r="M778" s="12" t="str">
        <f>IF(A778="","",IFERROR(INDEX(المدخلات!$M$4:$M$15,MATCH(A778,المدخلات!$L$4:$L$15,0)),""))</f>
        <v/>
      </c>
      <c r="N778" s="4" t="str">
        <f t="shared" si="102"/>
        <v/>
      </c>
      <c r="O778" s="4" t="str">
        <f t="shared" si="103"/>
        <v/>
      </c>
    </row>
    <row r="779" spans="1:15">
      <c r="A779" s="11"/>
      <c r="B779" s="19"/>
      <c r="C779" s="19"/>
      <c r="D779" s="55"/>
      <c r="E779" s="56"/>
      <c r="F779" s="19"/>
      <c r="G779" s="4" t="str">
        <f t="shared" si="96"/>
        <v/>
      </c>
      <c r="H779" s="11" t="str">
        <f t="shared" si="97"/>
        <v/>
      </c>
      <c r="I779" s="55" t="str">
        <f t="shared" si="98"/>
        <v/>
      </c>
      <c r="J779" s="55" t="str">
        <f t="shared" si="99"/>
        <v/>
      </c>
      <c r="K779" s="4" t="str">
        <f t="shared" si="100"/>
        <v/>
      </c>
      <c r="L779" s="19" t="str">
        <f t="shared" si="101"/>
        <v/>
      </c>
      <c r="M779" s="12" t="str">
        <f>IF(A779="","",IFERROR(INDEX(المدخلات!$M$4:$M$15,MATCH(A779,المدخلات!$L$4:$L$15,0)),""))</f>
        <v/>
      </c>
      <c r="N779" s="4" t="str">
        <f t="shared" si="102"/>
        <v/>
      </c>
      <c r="O779" s="4" t="str">
        <f t="shared" si="103"/>
        <v/>
      </c>
    </row>
    <row r="780" spans="1:15">
      <c r="A780" s="11"/>
      <c r="B780" s="19"/>
      <c r="C780" s="19"/>
      <c r="D780" s="55"/>
      <c r="E780" s="56"/>
      <c r="F780" s="19"/>
      <c r="G780" s="4" t="str">
        <f t="shared" si="96"/>
        <v/>
      </c>
      <c r="H780" s="11" t="str">
        <f t="shared" si="97"/>
        <v/>
      </c>
      <c r="I780" s="55" t="str">
        <f t="shared" si="98"/>
        <v/>
      </c>
      <c r="J780" s="55" t="str">
        <f t="shared" si="99"/>
        <v/>
      </c>
      <c r="K780" s="4" t="str">
        <f t="shared" si="100"/>
        <v/>
      </c>
      <c r="L780" s="19" t="str">
        <f t="shared" si="101"/>
        <v/>
      </c>
      <c r="M780" s="12" t="str">
        <f>IF(A780="","",IFERROR(INDEX(المدخلات!$M$4:$M$15,MATCH(A780,المدخلات!$L$4:$L$15,0)),""))</f>
        <v/>
      </c>
      <c r="N780" s="4" t="str">
        <f t="shared" si="102"/>
        <v/>
      </c>
      <c r="O780" s="4" t="str">
        <f t="shared" si="103"/>
        <v/>
      </c>
    </row>
    <row r="781" spans="1:15">
      <c r="A781" s="11"/>
      <c r="B781" s="19"/>
      <c r="C781" s="19"/>
      <c r="D781" s="55"/>
      <c r="E781" s="56"/>
      <c r="F781" s="19"/>
      <c r="G781" s="4" t="str">
        <f t="shared" si="96"/>
        <v/>
      </c>
      <c r="H781" s="11" t="str">
        <f t="shared" si="97"/>
        <v/>
      </c>
      <c r="I781" s="55" t="str">
        <f t="shared" si="98"/>
        <v/>
      </c>
      <c r="J781" s="55" t="str">
        <f t="shared" si="99"/>
        <v/>
      </c>
      <c r="K781" s="4" t="str">
        <f t="shared" si="100"/>
        <v/>
      </c>
      <c r="L781" s="19" t="str">
        <f t="shared" si="101"/>
        <v/>
      </c>
      <c r="M781" s="12" t="str">
        <f>IF(A781="","",IFERROR(INDEX(المدخلات!$M$4:$M$15,MATCH(A781,المدخلات!$L$4:$L$15,0)),""))</f>
        <v/>
      </c>
      <c r="N781" s="4" t="str">
        <f t="shared" si="102"/>
        <v/>
      </c>
      <c r="O781" s="4" t="str">
        <f t="shared" si="103"/>
        <v/>
      </c>
    </row>
    <row r="782" spans="1:15">
      <c r="A782" s="11"/>
      <c r="B782" s="19"/>
      <c r="C782" s="19"/>
      <c r="D782" s="55"/>
      <c r="E782" s="56"/>
      <c r="F782" s="19"/>
      <c r="G782" s="4" t="str">
        <f t="shared" si="96"/>
        <v/>
      </c>
      <c r="H782" s="11" t="str">
        <f t="shared" si="97"/>
        <v/>
      </c>
      <c r="I782" s="55" t="str">
        <f t="shared" si="98"/>
        <v/>
      </c>
      <c r="J782" s="55" t="str">
        <f t="shared" si="99"/>
        <v/>
      </c>
      <c r="K782" s="4" t="str">
        <f t="shared" si="100"/>
        <v/>
      </c>
      <c r="L782" s="19" t="str">
        <f t="shared" si="101"/>
        <v/>
      </c>
      <c r="M782" s="12" t="str">
        <f>IF(A782="","",IFERROR(INDEX(المدخلات!$M$4:$M$15,MATCH(A782,المدخلات!$L$4:$L$15,0)),""))</f>
        <v/>
      </c>
      <c r="N782" s="4" t="str">
        <f t="shared" si="102"/>
        <v/>
      </c>
      <c r="O782" s="4" t="str">
        <f t="shared" si="103"/>
        <v/>
      </c>
    </row>
    <row r="783" spans="1:15">
      <c r="A783" s="11"/>
      <c r="B783" s="19"/>
      <c r="C783" s="19"/>
      <c r="D783" s="55"/>
      <c r="E783" s="56"/>
      <c r="F783" s="19"/>
      <c r="G783" s="4" t="str">
        <f t="shared" si="96"/>
        <v/>
      </c>
      <c r="H783" s="11" t="str">
        <f t="shared" si="97"/>
        <v/>
      </c>
      <c r="I783" s="55" t="str">
        <f t="shared" si="98"/>
        <v/>
      </c>
      <c r="J783" s="55" t="str">
        <f t="shared" si="99"/>
        <v/>
      </c>
      <c r="K783" s="4" t="str">
        <f t="shared" si="100"/>
        <v/>
      </c>
      <c r="L783" s="19" t="str">
        <f t="shared" si="101"/>
        <v/>
      </c>
      <c r="M783" s="12" t="str">
        <f>IF(A783="","",IFERROR(INDEX(المدخلات!$M$4:$M$15,MATCH(A783,المدخلات!$L$4:$L$15,0)),""))</f>
        <v/>
      </c>
      <c r="N783" s="4" t="str">
        <f t="shared" si="102"/>
        <v/>
      </c>
      <c r="O783" s="4" t="str">
        <f t="shared" si="103"/>
        <v/>
      </c>
    </row>
    <row r="784" spans="1:15">
      <c r="A784" s="11"/>
      <c r="B784" s="19"/>
      <c r="C784" s="19"/>
      <c r="D784" s="55"/>
      <c r="E784" s="56"/>
      <c r="F784" s="19"/>
      <c r="G784" s="4" t="str">
        <f t="shared" si="96"/>
        <v/>
      </c>
      <c r="H784" s="11" t="str">
        <f t="shared" si="97"/>
        <v/>
      </c>
      <c r="I784" s="55" t="str">
        <f t="shared" si="98"/>
        <v/>
      </c>
      <c r="J784" s="55" t="str">
        <f t="shared" si="99"/>
        <v/>
      </c>
      <c r="K784" s="4" t="str">
        <f t="shared" si="100"/>
        <v/>
      </c>
      <c r="L784" s="19" t="str">
        <f t="shared" si="101"/>
        <v/>
      </c>
      <c r="M784" s="12" t="str">
        <f>IF(A784="","",IFERROR(INDEX(المدخلات!$M$4:$M$15,MATCH(A784,المدخلات!$L$4:$L$15,0)),""))</f>
        <v/>
      </c>
      <c r="N784" s="4" t="str">
        <f t="shared" si="102"/>
        <v/>
      </c>
      <c r="O784" s="4" t="str">
        <f t="shared" si="103"/>
        <v/>
      </c>
    </row>
    <row r="785" spans="1:15">
      <c r="A785" s="11"/>
      <c r="B785" s="19"/>
      <c r="C785" s="19"/>
      <c r="D785" s="55"/>
      <c r="E785" s="56"/>
      <c r="F785" s="19"/>
      <c r="G785" s="4" t="str">
        <f t="shared" si="96"/>
        <v/>
      </c>
      <c r="H785" s="11" t="str">
        <f t="shared" si="97"/>
        <v/>
      </c>
      <c r="I785" s="55" t="str">
        <f t="shared" si="98"/>
        <v/>
      </c>
      <c r="J785" s="55" t="str">
        <f t="shared" si="99"/>
        <v/>
      </c>
      <c r="K785" s="4" t="str">
        <f t="shared" si="100"/>
        <v/>
      </c>
      <c r="L785" s="19" t="str">
        <f t="shared" si="101"/>
        <v/>
      </c>
      <c r="M785" s="12" t="str">
        <f>IF(A785="","",IFERROR(INDEX(المدخلات!$M$4:$M$15,MATCH(A785,المدخلات!$L$4:$L$15,0)),""))</f>
        <v/>
      </c>
      <c r="N785" s="4" t="str">
        <f t="shared" si="102"/>
        <v/>
      </c>
      <c r="O785" s="4" t="str">
        <f t="shared" si="103"/>
        <v/>
      </c>
    </row>
    <row r="786" spans="1:15">
      <c r="A786" s="11"/>
      <c r="B786" s="19"/>
      <c r="C786" s="19"/>
      <c r="D786" s="55"/>
      <c r="E786" s="56"/>
      <c r="F786" s="19"/>
      <c r="G786" s="4" t="str">
        <f t="shared" si="96"/>
        <v/>
      </c>
      <c r="H786" s="11" t="str">
        <f t="shared" si="97"/>
        <v/>
      </c>
      <c r="I786" s="55" t="str">
        <f t="shared" si="98"/>
        <v/>
      </c>
      <c r="J786" s="55" t="str">
        <f t="shared" si="99"/>
        <v/>
      </c>
      <c r="K786" s="4" t="str">
        <f t="shared" si="100"/>
        <v/>
      </c>
      <c r="L786" s="19" t="str">
        <f t="shared" si="101"/>
        <v/>
      </c>
      <c r="M786" s="12" t="str">
        <f>IF(A786="","",IFERROR(INDEX(المدخلات!$M$4:$M$15,MATCH(A786,المدخلات!$L$4:$L$15,0)),""))</f>
        <v/>
      </c>
      <c r="N786" s="4" t="str">
        <f t="shared" si="102"/>
        <v/>
      </c>
      <c r="O786" s="4" t="str">
        <f t="shared" si="103"/>
        <v/>
      </c>
    </row>
    <row r="787" spans="1:15">
      <c r="A787" s="11"/>
      <c r="B787" s="19"/>
      <c r="C787" s="19"/>
      <c r="D787" s="55"/>
      <c r="E787" s="56"/>
      <c r="F787" s="19"/>
      <c r="G787" s="4" t="str">
        <f t="shared" si="96"/>
        <v/>
      </c>
      <c r="H787" s="11" t="str">
        <f t="shared" si="97"/>
        <v/>
      </c>
      <c r="I787" s="55" t="str">
        <f t="shared" si="98"/>
        <v/>
      </c>
      <c r="J787" s="55" t="str">
        <f t="shared" si="99"/>
        <v/>
      </c>
      <c r="K787" s="4" t="str">
        <f t="shared" si="100"/>
        <v/>
      </c>
      <c r="L787" s="19" t="str">
        <f t="shared" si="101"/>
        <v/>
      </c>
      <c r="M787" s="12" t="str">
        <f>IF(A787="","",IFERROR(INDEX(المدخلات!$M$4:$M$15,MATCH(A787,المدخلات!$L$4:$L$15,0)),""))</f>
        <v/>
      </c>
      <c r="N787" s="4" t="str">
        <f t="shared" si="102"/>
        <v/>
      </c>
      <c r="O787" s="4" t="str">
        <f t="shared" si="103"/>
        <v/>
      </c>
    </row>
    <row r="788" spans="1:15">
      <c r="A788" s="11"/>
      <c r="B788" s="19"/>
      <c r="C788" s="19"/>
      <c r="D788" s="55"/>
      <c r="E788" s="56"/>
      <c r="F788" s="19"/>
      <c r="G788" s="4" t="str">
        <f t="shared" si="96"/>
        <v/>
      </c>
      <c r="H788" s="11" t="str">
        <f t="shared" si="97"/>
        <v/>
      </c>
      <c r="I788" s="55" t="str">
        <f t="shared" si="98"/>
        <v/>
      </c>
      <c r="J788" s="55" t="str">
        <f t="shared" si="99"/>
        <v/>
      </c>
      <c r="K788" s="4" t="str">
        <f t="shared" si="100"/>
        <v/>
      </c>
      <c r="L788" s="19" t="str">
        <f t="shared" si="101"/>
        <v/>
      </c>
      <c r="M788" s="12" t="str">
        <f>IF(A788="","",IFERROR(INDEX(المدخلات!$M$4:$M$15,MATCH(A788,المدخلات!$L$4:$L$15,0)),""))</f>
        <v/>
      </c>
      <c r="N788" s="4" t="str">
        <f t="shared" si="102"/>
        <v/>
      </c>
      <c r="O788" s="4" t="str">
        <f t="shared" si="103"/>
        <v/>
      </c>
    </row>
    <row r="789" spans="1:15">
      <c r="A789" s="11"/>
      <c r="B789" s="19"/>
      <c r="C789" s="19"/>
      <c r="D789" s="55"/>
      <c r="E789" s="56"/>
      <c r="F789" s="19"/>
      <c r="G789" s="4" t="str">
        <f t="shared" si="96"/>
        <v/>
      </c>
      <c r="H789" s="11" t="str">
        <f t="shared" si="97"/>
        <v/>
      </c>
      <c r="I789" s="55" t="str">
        <f t="shared" si="98"/>
        <v/>
      </c>
      <c r="J789" s="55" t="str">
        <f t="shared" si="99"/>
        <v/>
      </c>
      <c r="K789" s="4" t="str">
        <f t="shared" si="100"/>
        <v/>
      </c>
      <c r="L789" s="19" t="str">
        <f t="shared" si="101"/>
        <v/>
      </c>
      <c r="M789" s="12" t="str">
        <f>IF(A789="","",IFERROR(INDEX(المدخلات!$M$4:$M$15,MATCH(A789,المدخلات!$L$4:$L$15,0)),""))</f>
        <v/>
      </c>
      <c r="N789" s="4" t="str">
        <f t="shared" si="102"/>
        <v/>
      </c>
      <c r="O789" s="4" t="str">
        <f t="shared" si="103"/>
        <v/>
      </c>
    </row>
    <row r="790" spans="1:15">
      <c r="A790" s="11"/>
      <c r="B790" s="19"/>
      <c r="C790" s="19"/>
      <c r="D790" s="55"/>
      <c r="E790" s="56"/>
      <c r="F790" s="19"/>
      <c r="G790" s="4" t="str">
        <f t="shared" si="96"/>
        <v/>
      </c>
      <c r="H790" s="11" t="str">
        <f t="shared" si="97"/>
        <v/>
      </c>
      <c r="I790" s="55" t="str">
        <f t="shared" si="98"/>
        <v/>
      </c>
      <c r="J790" s="55" t="str">
        <f t="shared" si="99"/>
        <v/>
      </c>
      <c r="K790" s="4" t="str">
        <f t="shared" si="100"/>
        <v/>
      </c>
      <c r="L790" s="19" t="str">
        <f t="shared" si="101"/>
        <v/>
      </c>
      <c r="M790" s="12" t="str">
        <f>IF(A790="","",IFERROR(INDEX(المدخلات!$M$4:$M$15,MATCH(A790,المدخلات!$L$4:$L$15,0)),""))</f>
        <v/>
      </c>
      <c r="N790" s="4" t="str">
        <f t="shared" si="102"/>
        <v/>
      </c>
      <c r="O790" s="4" t="str">
        <f t="shared" si="103"/>
        <v/>
      </c>
    </row>
    <row r="791" spans="1:15">
      <c r="A791" s="11"/>
      <c r="B791" s="19"/>
      <c r="C791" s="19"/>
      <c r="D791" s="55"/>
      <c r="E791" s="56"/>
      <c r="F791" s="19"/>
      <c r="G791" s="4" t="str">
        <f t="shared" si="96"/>
        <v/>
      </c>
      <c r="H791" s="11" t="str">
        <f t="shared" si="97"/>
        <v/>
      </c>
      <c r="I791" s="55" t="str">
        <f t="shared" si="98"/>
        <v/>
      </c>
      <c r="J791" s="55" t="str">
        <f t="shared" si="99"/>
        <v/>
      </c>
      <c r="K791" s="4" t="str">
        <f t="shared" si="100"/>
        <v/>
      </c>
      <c r="L791" s="19" t="str">
        <f t="shared" si="101"/>
        <v/>
      </c>
      <c r="M791" s="12" t="str">
        <f>IF(A791="","",IFERROR(INDEX(المدخلات!$M$4:$M$15,MATCH(A791,المدخلات!$L$4:$L$15,0)),""))</f>
        <v/>
      </c>
      <c r="N791" s="4" t="str">
        <f t="shared" si="102"/>
        <v/>
      </c>
      <c r="O791" s="4" t="str">
        <f t="shared" si="103"/>
        <v/>
      </c>
    </row>
    <row r="792" spans="1:15">
      <c r="A792" s="11"/>
      <c r="B792" s="19"/>
      <c r="C792" s="19"/>
      <c r="D792" s="55"/>
      <c r="E792" s="56"/>
      <c r="F792" s="19"/>
      <c r="G792" s="4" t="str">
        <f t="shared" si="96"/>
        <v/>
      </c>
      <c r="H792" s="11" t="str">
        <f t="shared" si="97"/>
        <v/>
      </c>
      <c r="I792" s="55" t="str">
        <f t="shared" si="98"/>
        <v/>
      </c>
      <c r="J792" s="55" t="str">
        <f t="shared" si="99"/>
        <v/>
      </c>
      <c r="K792" s="4" t="str">
        <f t="shared" si="100"/>
        <v/>
      </c>
      <c r="L792" s="19" t="str">
        <f t="shared" si="101"/>
        <v/>
      </c>
      <c r="M792" s="12" t="str">
        <f>IF(A792="","",IFERROR(INDEX(المدخلات!$M$4:$M$15,MATCH(A792,المدخلات!$L$4:$L$15,0)),""))</f>
        <v/>
      </c>
      <c r="N792" s="4" t="str">
        <f t="shared" si="102"/>
        <v/>
      </c>
      <c r="O792" s="4" t="str">
        <f t="shared" si="103"/>
        <v/>
      </c>
    </row>
    <row r="793" spans="1:15">
      <c r="A793" s="11"/>
      <c r="B793" s="19"/>
      <c r="C793" s="19"/>
      <c r="D793" s="55"/>
      <c r="E793" s="56"/>
      <c r="F793" s="19"/>
      <c r="G793" s="4" t="str">
        <f t="shared" si="96"/>
        <v/>
      </c>
      <c r="H793" s="11" t="str">
        <f t="shared" si="97"/>
        <v/>
      </c>
      <c r="I793" s="55" t="str">
        <f t="shared" si="98"/>
        <v/>
      </c>
      <c r="J793" s="55" t="str">
        <f t="shared" si="99"/>
        <v/>
      </c>
      <c r="K793" s="4" t="str">
        <f t="shared" si="100"/>
        <v/>
      </c>
      <c r="L793" s="19" t="str">
        <f t="shared" si="101"/>
        <v/>
      </c>
      <c r="M793" s="12" t="str">
        <f>IF(A793="","",IFERROR(INDEX(المدخلات!$M$4:$M$15,MATCH(A793,المدخلات!$L$4:$L$15,0)),""))</f>
        <v/>
      </c>
      <c r="N793" s="4" t="str">
        <f t="shared" si="102"/>
        <v/>
      </c>
      <c r="O793" s="4" t="str">
        <f t="shared" si="103"/>
        <v/>
      </c>
    </row>
    <row r="794" spans="1:15">
      <c r="A794" s="11"/>
      <c r="B794" s="19"/>
      <c r="C794" s="19"/>
      <c r="D794" s="55"/>
      <c r="E794" s="56"/>
      <c r="F794" s="19"/>
      <c r="G794" s="4" t="str">
        <f t="shared" si="96"/>
        <v/>
      </c>
      <c r="H794" s="11" t="str">
        <f t="shared" si="97"/>
        <v/>
      </c>
      <c r="I794" s="55" t="str">
        <f t="shared" si="98"/>
        <v/>
      </c>
      <c r="J794" s="55" t="str">
        <f t="shared" si="99"/>
        <v/>
      </c>
      <c r="K794" s="4" t="str">
        <f t="shared" si="100"/>
        <v/>
      </c>
      <c r="L794" s="19" t="str">
        <f t="shared" si="101"/>
        <v/>
      </c>
      <c r="M794" s="12" t="str">
        <f>IF(A794="","",IFERROR(INDEX(المدخلات!$M$4:$M$15,MATCH(A794,المدخلات!$L$4:$L$15,0)),""))</f>
        <v/>
      </c>
      <c r="N794" s="4" t="str">
        <f t="shared" si="102"/>
        <v/>
      </c>
      <c r="O794" s="4" t="str">
        <f t="shared" si="103"/>
        <v/>
      </c>
    </row>
    <row r="795" spans="1:15">
      <c r="A795" s="11"/>
      <c r="B795" s="19"/>
      <c r="C795" s="19"/>
      <c r="D795" s="55"/>
      <c r="E795" s="56"/>
      <c r="F795" s="19"/>
      <c r="G795" s="4" t="str">
        <f t="shared" si="96"/>
        <v/>
      </c>
      <c r="H795" s="11" t="str">
        <f t="shared" si="97"/>
        <v/>
      </c>
      <c r="I795" s="55" t="str">
        <f t="shared" si="98"/>
        <v/>
      </c>
      <c r="J795" s="55" t="str">
        <f t="shared" si="99"/>
        <v/>
      </c>
      <c r="K795" s="4" t="str">
        <f t="shared" si="100"/>
        <v/>
      </c>
      <c r="L795" s="19" t="str">
        <f t="shared" si="101"/>
        <v/>
      </c>
      <c r="M795" s="12" t="str">
        <f>IF(A795="","",IFERROR(INDEX(المدخلات!$M$4:$M$15,MATCH(A795,المدخلات!$L$4:$L$15,0)),""))</f>
        <v/>
      </c>
      <c r="N795" s="4" t="str">
        <f t="shared" si="102"/>
        <v/>
      </c>
      <c r="O795" s="4" t="str">
        <f t="shared" si="103"/>
        <v/>
      </c>
    </row>
    <row r="796" spans="1:15">
      <c r="A796" s="11"/>
      <c r="B796" s="19"/>
      <c r="C796" s="19"/>
      <c r="D796" s="55"/>
      <c r="E796" s="56"/>
      <c r="F796" s="19"/>
      <c r="G796" s="4" t="str">
        <f t="shared" si="96"/>
        <v/>
      </c>
      <c r="H796" s="11" t="str">
        <f t="shared" si="97"/>
        <v/>
      </c>
      <c r="I796" s="55" t="str">
        <f t="shared" si="98"/>
        <v/>
      </c>
      <c r="J796" s="55" t="str">
        <f t="shared" si="99"/>
        <v/>
      </c>
      <c r="K796" s="4" t="str">
        <f t="shared" si="100"/>
        <v/>
      </c>
      <c r="L796" s="19" t="str">
        <f t="shared" si="101"/>
        <v/>
      </c>
      <c r="M796" s="12" t="str">
        <f>IF(A796="","",IFERROR(INDEX(المدخلات!$M$4:$M$15,MATCH(A796,المدخلات!$L$4:$L$15,0)),""))</f>
        <v/>
      </c>
      <c r="N796" s="4" t="str">
        <f t="shared" si="102"/>
        <v/>
      </c>
      <c r="O796" s="4" t="str">
        <f t="shared" si="103"/>
        <v/>
      </c>
    </row>
    <row r="797" spans="1:15">
      <c r="A797" s="11"/>
      <c r="B797" s="19"/>
      <c r="C797" s="19"/>
      <c r="D797" s="55"/>
      <c r="E797" s="56"/>
      <c r="F797" s="19"/>
      <c r="G797" s="4" t="str">
        <f t="shared" si="96"/>
        <v/>
      </c>
      <c r="H797" s="11" t="str">
        <f t="shared" si="97"/>
        <v/>
      </c>
      <c r="I797" s="55" t="str">
        <f t="shared" si="98"/>
        <v/>
      </c>
      <c r="J797" s="55" t="str">
        <f t="shared" si="99"/>
        <v/>
      </c>
      <c r="K797" s="4" t="str">
        <f t="shared" si="100"/>
        <v/>
      </c>
      <c r="L797" s="19" t="str">
        <f t="shared" si="101"/>
        <v/>
      </c>
      <c r="M797" s="12" t="str">
        <f>IF(A797="","",IFERROR(INDEX(المدخلات!$M$4:$M$15,MATCH(A797,المدخلات!$L$4:$L$15,0)),""))</f>
        <v/>
      </c>
      <c r="N797" s="4" t="str">
        <f t="shared" si="102"/>
        <v/>
      </c>
      <c r="O797" s="4" t="str">
        <f t="shared" si="103"/>
        <v/>
      </c>
    </row>
    <row r="798" spans="1:15">
      <c r="A798" s="11"/>
      <c r="B798" s="19"/>
      <c r="C798" s="19"/>
      <c r="D798" s="55"/>
      <c r="E798" s="56"/>
      <c r="F798" s="19"/>
      <c r="G798" s="4" t="str">
        <f t="shared" si="96"/>
        <v/>
      </c>
      <c r="H798" s="11" t="str">
        <f t="shared" si="97"/>
        <v/>
      </c>
      <c r="I798" s="55" t="str">
        <f t="shared" si="98"/>
        <v/>
      </c>
      <c r="J798" s="55" t="str">
        <f t="shared" si="99"/>
        <v/>
      </c>
      <c r="K798" s="4" t="str">
        <f t="shared" si="100"/>
        <v/>
      </c>
      <c r="L798" s="19" t="str">
        <f t="shared" si="101"/>
        <v/>
      </c>
      <c r="M798" s="12" t="str">
        <f>IF(A798="","",IFERROR(INDEX(المدخلات!$M$4:$M$15,MATCH(A798,المدخلات!$L$4:$L$15,0)),""))</f>
        <v/>
      </c>
      <c r="N798" s="4" t="str">
        <f t="shared" si="102"/>
        <v/>
      </c>
      <c r="O798" s="4" t="str">
        <f t="shared" si="103"/>
        <v/>
      </c>
    </row>
    <row r="799" spans="1:15">
      <c r="A799" s="11"/>
      <c r="B799" s="19"/>
      <c r="C799" s="19"/>
      <c r="D799" s="55"/>
      <c r="E799" s="56"/>
      <c r="F799" s="19"/>
      <c r="G799" s="4" t="str">
        <f t="shared" si="96"/>
        <v/>
      </c>
      <c r="H799" s="11" t="str">
        <f t="shared" si="97"/>
        <v/>
      </c>
      <c r="I799" s="55" t="str">
        <f t="shared" si="98"/>
        <v/>
      </c>
      <c r="J799" s="55" t="str">
        <f t="shared" si="99"/>
        <v/>
      </c>
      <c r="K799" s="4" t="str">
        <f t="shared" si="100"/>
        <v/>
      </c>
      <c r="L799" s="19" t="str">
        <f t="shared" si="101"/>
        <v/>
      </c>
      <c r="M799" s="12" t="str">
        <f>IF(A799="","",IFERROR(INDEX(المدخلات!$M$4:$M$15,MATCH(A799,المدخلات!$L$4:$L$15,0)),""))</f>
        <v/>
      </c>
      <c r="N799" s="4" t="str">
        <f t="shared" si="102"/>
        <v/>
      </c>
      <c r="O799" s="4" t="str">
        <f t="shared" si="103"/>
        <v/>
      </c>
    </row>
    <row r="800" spans="1:15">
      <c r="A800" s="11"/>
      <c r="B800" s="19"/>
      <c r="C800" s="19"/>
      <c r="D800" s="55"/>
      <c r="E800" s="56"/>
      <c r="F800" s="19"/>
      <c r="G800" s="4" t="str">
        <f t="shared" si="96"/>
        <v/>
      </c>
      <c r="H800" s="11" t="str">
        <f t="shared" si="97"/>
        <v/>
      </c>
      <c r="I800" s="55" t="str">
        <f t="shared" si="98"/>
        <v/>
      </c>
      <c r="J800" s="55" t="str">
        <f t="shared" si="99"/>
        <v/>
      </c>
      <c r="K800" s="4" t="str">
        <f t="shared" si="100"/>
        <v/>
      </c>
      <c r="L800" s="19" t="str">
        <f t="shared" si="101"/>
        <v/>
      </c>
      <c r="M800" s="12" t="str">
        <f>IF(A800="","",IFERROR(INDEX(المدخلات!$M$4:$M$15,MATCH(A800,المدخلات!$L$4:$L$15,0)),""))</f>
        <v/>
      </c>
      <c r="N800" s="4" t="str">
        <f t="shared" si="102"/>
        <v/>
      </c>
      <c r="O800" s="4" t="str">
        <f t="shared" si="103"/>
        <v/>
      </c>
    </row>
    <row r="801" spans="1:15">
      <c r="A801" s="11"/>
      <c r="B801" s="19"/>
      <c r="C801" s="19"/>
      <c r="D801" s="55"/>
      <c r="E801" s="56"/>
      <c r="F801" s="19"/>
      <c r="G801" s="4" t="str">
        <f t="shared" si="96"/>
        <v/>
      </c>
      <c r="H801" s="11" t="str">
        <f t="shared" si="97"/>
        <v/>
      </c>
      <c r="I801" s="55" t="str">
        <f t="shared" si="98"/>
        <v/>
      </c>
      <c r="J801" s="55" t="str">
        <f t="shared" si="99"/>
        <v/>
      </c>
      <c r="K801" s="4" t="str">
        <f t="shared" si="100"/>
        <v/>
      </c>
      <c r="L801" s="19" t="str">
        <f t="shared" si="101"/>
        <v/>
      </c>
      <c r="M801" s="12" t="str">
        <f>IF(A801="","",IFERROR(INDEX(المدخلات!$M$4:$M$15,MATCH(A801,المدخلات!$L$4:$L$15,0)),""))</f>
        <v/>
      </c>
      <c r="N801" s="4" t="str">
        <f t="shared" si="102"/>
        <v/>
      </c>
      <c r="O801" s="4" t="str">
        <f t="shared" si="103"/>
        <v/>
      </c>
    </row>
    <row r="802" spans="1:15">
      <c r="A802" s="11"/>
      <c r="B802" s="19"/>
      <c r="C802" s="19"/>
      <c r="D802" s="55"/>
      <c r="E802" s="56"/>
      <c r="F802" s="19"/>
      <c r="G802" s="4" t="str">
        <f t="shared" si="96"/>
        <v/>
      </c>
      <c r="H802" s="11" t="str">
        <f t="shared" si="97"/>
        <v/>
      </c>
      <c r="I802" s="55" t="str">
        <f t="shared" si="98"/>
        <v/>
      </c>
      <c r="J802" s="55" t="str">
        <f t="shared" si="99"/>
        <v/>
      </c>
      <c r="K802" s="4" t="str">
        <f t="shared" si="100"/>
        <v/>
      </c>
      <c r="L802" s="19" t="str">
        <f t="shared" si="101"/>
        <v/>
      </c>
      <c r="M802" s="12" t="str">
        <f>IF(A802="","",IFERROR(INDEX(المدخلات!$M$4:$M$15,MATCH(A802,المدخلات!$L$4:$L$15,0)),""))</f>
        <v/>
      </c>
      <c r="N802" s="4" t="str">
        <f t="shared" si="102"/>
        <v/>
      </c>
      <c r="O802" s="4" t="str">
        <f t="shared" si="103"/>
        <v/>
      </c>
    </row>
    <row r="803" spans="1:15">
      <c r="A803" s="11"/>
      <c r="B803" s="19"/>
      <c r="C803" s="19"/>
      <c r="D803" s="55"/>
      <c r="E803" s="56"/>
      <c r="F803" s="19"/>
      <c r="G803" s="4" t="str">
        <f t="shared" si="96"/>
        <v/>
      </c>
      <c r="H803" s="11" t="str">
        <f t="shared" si="97"/>
        <v/>
      </c>
      <c r="I803" s="55" t="str">
        <f t="shared" si="98"/>
        <v/>
      </c>
      <c r="J803" s="55" t="str">
        <f t="shared" si="99"/>
        <v/>
      </c>
      <c r="K803" s="4" t="str">
        <f t="shared" si="100"/>
        <v/>
      </c>
      <c r="L803" s="19" t="str">
        <f t="shared" si="101"/>
        <v/>
      </c>
      <c r="M803" s="12" t="str">
        <f>IF(A803="","",IFERROR(INDEX(المدخلات!$M$4:$M$15,MATCH(A803,المدخلات!$L$4:$L$15,0)),""))</f>
        <v/>
      </c>
      <c r="N803" s="4" t="str">
        <f t="shared" si="102"/>
        <v/>
      </c>
      <c r="O803" s="4" t="str">
        <f t="shared" si="103"/>
        <v/>
      </c>
    </row>
    <row r="804" spans="1:15">
      <c r="A804" s="11"/>
      <c r="B804" s="19"/>
      <c r="C804" s="19"/>
      <c r="D804" s="55"/>
      <c r="E804" s="56"/>
      <c r="F804" s="19"/>
      <c r="G804" s="4" t="str">
        <f t="shared" si="96"/>
        <v/>
      </c>
      <c r="H804" s="11" t="str">
        <f t="shared" si="97"/>
        <v/>
      </c>
      <c r="I804" s="55" t="str">
        <f t="shared" si="98"/>
        <v/>
      </c>
      <c r="J804" s="55" t="str">
        <f t="shared" si="99"/>
        <v/>
      </c>
      <c r="K804" s="4" t="str">
        <f t="shared" si="100"/>
        <v/>
      </c>
      <c r="L804" s="19" t="str">
        <f t="shared" si="101"/>
        <v/>
      </c>
      <c r="M804" s="12" t="str">
        <f>IF(A804="","",IFERROR(INDEX(المدخلات!$M$4:$M$15,MATCH(A804,المدخلات!$L$4:$L$15,0)),""))</f>
        <v/>
      </c>
      <c r="N804" s="4" t="str">
        <f t="shared" si="102"/>
        <v/>
      </c>
      <c r="O804" s="4" t="str">
        <f t="shared" si="103"/>
        <v/>
      </c>
    </row>
    <row r="805" spans="1:15">
      <c r="A805" s="11"/>
      <c r="B805" s="19"/>
      <c r="C805" s="19"/>
      <c r="D805" s="55"/>
      <c r="E805" s="56"/>
      <c r="F805" s="19"/>
      <c r="G805" s="4" t="str">
        <f t="shared" si="96"/>
        <v/>
      </c>
      <c r="H805" s="11" t="str">
        <f t="shared" si="97"/>
        <v/>
      </c>
      <c r="I805" s="55" t="str">
        <f t="shared" si="98"/>
        <v/>
      </c>
      <c r="J805" s="55" t="str">
        <f t="shared" si="99"/>
        <v/>
      </c>
      <c r="K805" s="4" t="str">
        <f t="shared" si="100"/>
        <v/>
      </c>
      <c r="L805" s="19" t="str">
        <f t="shared" si="101"/>
        <v/>
      </c>
      <c r="M805" s="12" t="str">
        <f>IF(A805="","",IFERROR(INDEX(المدخلات!$M$4:$M$15,MATCH(A805,المدخلات!$L$4:$L$15,0)),""))</f>
        <v/>
      </c>
      <c r="N805" s="4" t="str">
        <f t="shared" si="102"/>
        <v/>
      </c>
      <c r="O805" s="4" t="str">
        <f t="shared" si="103"/>
        <v/>
      </c>
    </row>
    <row r="806" spans="1:15">
      <c r="A806" s="11"/>
      <c r="B806" s="19"/>
      <c r="C806" s="19"/>
      <c r="D806" s="55"/>
      <c r="E806" s="56"/>
      <c r="F806" s="19"/>
      <c r="G806" s="4" t="str">
        <f t="shared" si="96"/>
        <v/>
      </c>
      <c r="H806" s="11" t="str">
        <f t="shared" si="97"/>
        <v/>
      </c>
      <c r="I806" s="55" t="str">
        <f t="shared" si="98"/>
        <v/>
      </c>
      <c r="J806" s="55" t="str">
        <f t="shared" si="99"/>
        <v/>
      </c>
      <c r="K806" s="4" t="str">
        <f t="shared" si="100"/>
        <v/>
      </c>
      <c r="L806" s="19" t="str">
        <f t="shared" si="101"/>
        <v/>
      </c>
      <c r="M806" s="12" t="str">
        <f>IF(A806="","",IFERROR(INDEX(المدخلات!$M$4:$M$15,MATCH(A806,المدخلات!$L$4:$L$15,0)),""))</f>
        <v/>
      </c>
      <c r="N806" s="4" t="str">
        <f t="shared" si="102"/>
        <v/>
      </c>
      <c r="O806" s="4" t="str">
        <f t="shared" si="103"/>
        <v/>
      </c>
    </row>
    <row r="807" spans="1:15">
      <c r="A807" s="11"/>
      <c r="B807" s="19"/>
      <c r="C807" s="19"/>
      <c r="D807" s="55"/>
      <c r="E807" s="56"/>
      <c r="F807" s="19"/>
      <c r="G807" s="4" t="str">
        <f t="shared" si="96"/>
        <v/>
      </c>
      <c r="H807" s="11" t="str">
        <f t="shared" si="97"/>
        <v/>
      </c>
      <c r="I807" s="55" t="str">
        <f t="shared" si="98"/>
        <v/>
      </c>
      <c r="J807" s="55" t="str">
        <f t="shared" si="99"/>
        <v/>
      </c>
      <c r="K807" s="4" t="str">
        <f t="shared" si="100"/>
        <v/>
      </c>
      <c r="L807" s="19" t="str">
        <f t="shared" si="101"/>
        <v/>
      </c>
      <c r="M807" s="12" t="str">
        <f>IF(A807="","",IFERROR(INDEX(المدخلات!$M$4:$M$15,MATCH(A807,المدخلات!$L$4:$L$15,0)),""))</f>
        <v/>
      </c>
      <c r="N807" s="4" t="str">
        <f t="shared" si="102"/>
        <v/>
      </c>
      <c r="O807" s="4" t="str">
        <f t="shared" si="103"/>
        <v/>
      </c>
    </row>
    <row r="808" spans="1:15">
      <c r="A808" s="11"/>
      <c r="B808" s="19"/>
      <c r="C808" s="19"/>
      <c r="D808" s="55"/>
      <c r="E808" s="56"/>
      <c r="F808" s="19"/>
      <c r="G808" s="4" t="str">
        <f t="shared" si="96"/>
        <v/>
      </c>
      <c r="H808" s="11" t="str">
        <f t="shared" si="97"/>
        <v/>
      </c>
      <c r="I808" s="55" t="str">
        <f t="shared" si="98"/>
        <v/>
      </c>
      <c r="J808" s="55" t="str">
        <f t="shared" si="99"/>
        <v/>
      </c>
      <c r="K808" s="4" t="str">
        <f t="shared" si="100"/>
        <v/>
      </c>
      <c r="L808" s="19" t="str">
        <f t="shared" si="101"/>
        <v/>
      </c>
      <c r="M808" s="12" t="str">
        <f>IF(A808="","",IFERROR(INDEX(المدخلات!$M$4:$M$15,MATCH(A808,المدخلات!$L$4:$L$15,0)),""))</f>
        <v/>
      </c>
      <c r="N808" s="4" t="str">
        <f t="shared" si="102"/>
        <v/>
      </c>
      <c r="O808" s="4" t="str">
        <f t="shared" si="103"/>
        <v/>
      </c>
    </row>
    <row r="809" spans="1:15">
      <c r="A809" s="11"/>
      <c r="B809" s="19"/>
      <c r="C809" s="19"/>
      <c r="D809" s="55"/>
      <c r="E809" s="56"/>
      <c r="F809" s="19"/>
      <c r="G809" s="4" t="str">
        <f t="shared" si="96"/>
        <v/>
      </c>
      <c r="H809" s="11" t="str">
        <f t="shared" si="97"/>
        <v/>
      </c>
      <c r="I809" s="55" t="str">
        <f t="shared" si="98"/>
        <v/>
      </c>
      <c r="J809" s="55" t="str">
        <f t="shared" si="99"/>
        <v/>
      </c>
      <c r="K809" s="4" t="str">
        <f t="shared" si="100"/>
        <v/>
      </c>
      <c r="L809" s="19" t="str">
        <f t="shared" si="101"/>
        <v/>
      </c>
      <c r="M809" s="12" t="str">
        <f>IF(A809="","",IFERROR(INDEX(المدخلات!$M$4:$M$15,MATCH(A809,المدخلات!$L$4:$L$15,0)),""))</f>
        <v/>
      </c>
      <c r="N809" s="4" t="str">
        <f t="shared" si="102"/>
        <v/>
      </c>
      <c r="O809" s="4" t="str">
        <f t="shared" si="103"/>
        <v/>
      </c>
    </row>
    <row r="810" spans="1:15">
      <c r="A810" s="11"/>
      <c r="B810" s="19"/>
      <c r="C810" s="19"/>
      <c r="D810" s="55"/>
      <c r="E810" s="56"/>
      <c r="F810" s="19"/>
      <c r="G810" s="4" t="str">
        <f t="shared" si="96"/>
        <v/>
      </c>
      <c r="H810" s="11" t="str">
        <f t="shared" si="97"/>
        <v/>
      </c>
      <c r="I810" s="55" t="str">
        <f t="shared" si="98"/>
        <v/>
      </c>
      <c r="J810" s="55" t="str">
        <f t="shared" si="99"/>
        <v/>
      </c>
      <c r="K810" s="4" t="str">
        <f t="shared" si="100"/>
        <v/>
      </c>
      <c r="L810" s="19" t="str">
        <f t="shared" si="101"/>
        <v/>
      </c>
      <c r="M810" s="12" t="str">
        <f>IF(A810="","",IFERROR(INDEX(المدخلات!$M$4:$M$15,MATCH(A810,المدخلات!$L$4:$L$15,0)),""))</f>
        <v/>
      </c>
      <c r="N810" s="4" t="str">
        <f t="shared" si="102"/>
        <v/>
      </c>
      <c r="O810" s="4" t="str">
        <f t="shared" si="103"/>
        <v/>
      </c>
    </row>
    <row r="811" spans="1:15">
      <c r="A811" s="11"/>
      <c r="B811" s="19"/>
      <c r="C811" s="19"/>
      <c r="D811" s="55"/>
      <c r="E811" s="56"/>
      <c r="F811" s="19"/>
      <c r="G811" s="4" t="str">
        <f t="shared" si="96"/>
        <v/>
      </c>
      <c r="H811" s="11" t="str">
        <f t="shared" si="97"/>
        <v/>
      </c>
      <c r="I811" s="55" t="str">
        <f t="shared" si="98"/>
        <v/>
      </c>
      <c r="J811" s="55" t="str">
        <f t="shared" si="99"/>
        <v/>
      </c>
      <c r="K811" s="4" t="str">
        <f t="shared" si="100"/>
        <v/>
      </c>
      <c r="L811" s="19" t="str">
        <f t="shared" si="101"/>
        <v/>
      </c>
      <c r="M811" s="12" t="str">
        <f>IF(A811="","",IFERROR(INDEX(المدخلات!$M$4:$M$15,MATCH(A811,المدخلات!$L$4:$L$15,0)),""))</f>
        <v/>
      </c>
      <c r="N811" s="4" t="str">
        <f t="shared" si="102"/>
        <v/>
      </c>
      <c r="O811" s="4" t="str">
        <f t="shared" si="103"/>
        <v/>
      </c>
    </row>
    <row r="812" spans="1:15">
      <c r="A812" s="11"/>
      <c r="B812" s="19"/>
      <c r="C812" s="19"/>
      <c r="D812" s="55"/>
      <c r="E812" s="56"/>
      <c r="F812" s="19"/>
      <c r="G812" s="4" t="str">
        <f t="shared" si="96"/>
        <v/>
      </c>
      <c r="H812" s="11" t="str">
        <f t="shared" si="97"/>
        <v/>
      </c>
      <c r="I812" s="55" t="str">
        <f t="shared" si="98"/>
        <v/>
      </c>
      <c r="J812" s="55" t="str">
        <f t="shared" si="99"/>
        <v/>
      </c>
      <c r="K812" s="4" t="str">
        <f t="shared" si="100"/>
        <v/>
      </c>
      <c r="L812" s="19" t="str">
        <f t="shared" si="101"/>
        <v/>
      </c>
      <c r="M812" s="12" t="str">
        <f>IF(A812="","",IFERROR(INDEX(المدخلات!$M$4:$M$15,MATCH(A812,المدخلات!$L$4:$L$15,0)),""))</f>
        <v/>
      </c>
      <c r="N812" s="4" t="str">
        <f t="shared" si="102"/>
        <v/>
      </c>
      <c r="O812" s="4" t="str">
        <f t="shared" si="103"/>
        <v/>
      </c>
    </row>
    <row r="813" spans="1:15">
      <c r="A813" s="11"/>
      <c r="B813" s="19"/>
      <c r="C813" s="19"/>
      <c r="D813" s="55"/>
      <c r="E813" s="56"/>
      <c r="F813" s="19"/>
      <c r="G813" s="4" t="str">
        <f t="shared" si="96"/>
        <v/>
      </c>
      <c r="H813" s="11" t="str">
        <f t="shared" si="97"/>
        <v/>
      </c>
      <c r="I813" s="55" t="str">
        <f t="shared" si="98"/>
        <v/>
      </c>
      <c r="J813" s="55" t="str">
        <f t="shared" si="99"/>
        <v/>
      </c>
      <c r="K813" s="4" t="str">
        <f t="shared" si="100"/>
        <v/>
      </c>
      <c r="L813" s="19" t="str">
        <f t="shared" si="101"/>
        <v/>
      </c>
      <c r="M813" s="12" t="str">
        <f>IF(A813="","",IFERROR(INDEX(المدخلات!$M$4:$M$15,MATCH(A813,المدخلات!$L$4:$L$15,0)),""))</f>
        <v/>
      </c>
      <c r="N813" s="4" t="str">
        <f t="shared" si="102"/>
        <v/>
      </c>
      <c r="O813" s="4" t="str">
        <f t="shared" si="103"/>
        <v/>
      </c>
    </row>
    <row r="814" spans="1:15">
      <c r="A814" s="11"/>
      <c r="B814" s="19"/>
      <c r="C814" s="19"/>
      <c r="D814" s="55"/>
      <c r="E814" s="56"/>
      <c r="F814" s="19"/>
      <c r="G814" s="4" t="str">
        <f t="shared" si="96"/>
        <v/>
      </c>
      <c r="H814" s="11" t="str">
        <f t="shared" si="97"/>
        <v/>
      </c>
      <c r="I814" s="55" t="str">
        <f t="shared" si="98"/>
        <v/>
      </c>
      <c r="J814" s="55" t="str">
        <f t="shared" si="99"/>
        <v/>
      </c>
      <c r="K814" s="4" t="str">
        <f t="shared" si="100"/>
        <v/>
      </c>
      <c r="L814" s="19" t="str">
        <f t="shared" si="101"/>
        <v/>
      </c>
      <c r="M814" s="12" t="str">
        <f>IF(A814="","",IFERROR(INDEX(المدخلات!$M$4:$M$15,MATCH(A814,المدخلات!$L$4:$L$15,0)),""))</f>
        <v/>
      </c>
      <c r="N814" s="4" t="str">
        <f t="shared" si="102"/>
        <v/>
      </c>
      <c r="O814" s="4" t="str">
        <f t="shared" si="103"/>
        <v/>
      </c>
    </row>
    <row r="815" spans="1:15">
      <c r="A815" s="11"/>
      <c r="B815" s="19"/>
      <c r="C815" s="19"/>
      <c r="D815" s="55"/>
      <c r="E815" s="56"/>
      <c r="F815" s="19"/>
      <c r="G815" s="4" t="str">
        <f t="shared" si="96"/>
        <v/>
      </c>
      <c r="H815" s="11" t="str">
        <f t="shared" si="97"/>
        <v/>
      </c>
      <c r="I815" s="55" t="str">
        <f t="shared" si="98"/>
        <v/>
      </c>
      <c r="J815" s="55" t="str">
        <f t="shared" si="99"/>
        <v/>
      </c>
      <c r="K815" s="4" t="str">
        <f t="shared" si="100"/>
        <v/>
      </c>
      <c r="L815" s="19" t="str">
        <f t="shared" si="101"/>
        <v/>
      </c>
      <c r="M815" s="12" t="str">
        <f>IF(A815="","",IFERROR(INDEX(المدخلات!$M$4:$M$15,MATCH(A815,المدخلات!$L$4:$L$15,0)),""))</f>
        <v/>
      </c>
      <c r="N815" s="4" t="str">
        <f t="shared" si="102"/>
        <v/>
      </c>
      <c r="O815" s="4" t="str">
        <f t="shared" si="103"/>
        <v/>
      </c>
    </row>
    <row r="816" spans="1:15">
      <c r="A816" s="11"/>
      <c r="B816" s="19"/>
      <c r="C816" s="19"/>
      <c r="D816" s="55"/>
      <c r="E816" s="56"/>
      <c r="F816" s="19"/>
      <c r="G816" s="4" t="str">
        <f t="shared" si="96"/>
        <v/>
      </c>
      <c r="H816" s="11" t="str">
        <f t="shared" si="97"/>
        <v/>
      </c>
      <c r="I816" s="55" t="str">
        <f t="shared" si="98"/>
        <v/>
      </c>
      <c r="J816" s="55" t="str">
        <f t="shared" si="99"/>
        <v/>
      </c>
      <c r="K816" s="4" t="str">
        <f t="shared" si="100"/>
        <v/>
      </c>
      <c r="L816" s="19" t="str">
        <f t="shared" si="101"/>
        <v/>
      </c>
      <c r="M816" s="12" t="str">
        <f>IF(A816="","",IFERROR(INDEX(المدخلات!$M$4:$M$15,MATCH(A816,المدخلات!$L$4:$L$15,0)),""))</f>
        <v/>
      </c>
      <c r="N816" s="4" t="str">
        <f t="shared" si="102"/>
        <v/>
      </c>
      <c r="O816" s="4" t="str">
        <f t="shared" si="103"/>
        <v/>
      </c>
    </row>
    <row r="817" spans="1:15">
      <c r="A817" s="11"/>
      <c r="B817" s="19"/>
      <c r="C817" s="19"/>
      <c r="D817" s="55"/>
      <c r="E817" s="56"/>
      <c r="F817" s="19"/>
      <c r="G817" s="4" t="str">
        <f t="shared" si="96"/>
        <v/>
      </c>
      <c r="H817" s="11" t="str">
        <f t="shared" si="97"/>
        <v/>
      </c>
      <c r="I817" s="55" t="str">
        <f t="shared" si="98"/>
        <v/>
      </c>
      <c r="J817" s="55" t="str">
        <f t="shared" si="99"/>
        <v/>
      </c>
      <c r="K817" s="4" t="str">
        <f t="shared" si="100"/>
        <v/>
      </c>
      <c r="L817" s="19" t="str">
        <f t="shared" si="101"/>
        <v/>
      </c>
      <c r="M817" s="12" t="str">
        <f>IF(A817="","",IFERROR(INDEX(المدخلات!$M$4:$M$15,MATCH(A817,المدخلات!$L$4:$L$15,0)),""))</f>
        <v/>
      </c>
      <c r="N817" s="4" t="str">
        <f t="shared" si="102"/>
        <v/>
      </c>
      <c r="O817" s="4" t="str">
        <f t="shared" si="103"/>
        <v/>
      </c>
    </row>
    <row r="818" spans="1:15">
      <c r="A818" s="11"/>
      <c r="B818" s="19"/>
      <c r="C818" s="19"/>
      <c r="D818" s="55"/>
      <c r="E818" s="56"/>
      <c r="F818" s="19"/>
      <c r="G818" s="4" t="str">
        <f t="shared" si="96"/>
        <v/>
      </c>
      <c r="H818" s="11" t="str">
        <f t="shared" si="97"/>
        <v/>
      </c>
      <c r="I818" s="55" t="str">
        <f t="shared" si="98"/>
        <v/>
      </c>
      <c r="J818" s="55" t="str">
        <f t="shared" si="99"/>
        <v/>
      </c>
      <c r="K818" s="4" t="str">
        <f t="shared" si="100"/>
        <v/>
      </c>
      <c r="L818" s="19" t="str">
        <f t="shared" si="101"/>
        <v/>
      </c>
      <c r="M818" s="12" t="str">
        <f>IF(A818="","",IFERROR(INDEX(المدخلات!$M$4:$M$15,MATCH(A818,المدخلات!$L$4:$L$15,0)),""))</f>
        <v/>
      </c>
      <c r="N818" s="4" t="str">
        <f t="shared" si="102"/>
        <v/>
      </c>
      <c r="O818" s="4" t="str">
        <f t="shared" si="103"/>
        <v/>
      </c>
    </row>
    <row r="819" spans="1:15">
      <c r="A819" s="11"/>
      <c r="B819" s="19"/>
      <c r="C819" s="19"/>
      <c r="D819" s="55"/>
      <c r="E819" s="56"/>
      <c r="F819" s="19"/>
      <c r="G819" s="4" t="str">
        <f t="shared" si="96"/>
        <v/>
      </c>
      <c r="H819" s="11" t="str">
        <f t="shared" si="97"/>
        <v/>
      </c>
      <c r="I819" s="55" t="str">
        <f t="shared" si="98"/>
        <v/>
      </c>
      <c r="J819" s="55" t="str">
        <f t="shared" si="99"/>
        <v/>
      </c>
      <c r="K819" s="4" t="str">
        <f t="shared" si="100"/>
        <v/>
      </c>
      <c r="L819" s="19" t="str">
        <f t="shared" si="101"/>
        <v/>
      </c>
      <c r="M819" s="12" t="str">
        <f>IF(A819="","",IFERROR(INDEX(المدخلات!$M$4:$M$15,MATCH(A819,المدخلات!$L$4:$L$15,0)),""))</f>
        <v/>
      </c>
      <c r="N819" s="4" t="str">
        <f t="shared" si="102"/>
        <v/>
      </c>
      <c r="O819" s="4" t="str">
        <f t="shared" si="103"/>
        <v/>
      </c>
    </row>
    <row r="820" spans="1:15">
      <c r="A820" s="11"/>
      <c r="B820" s="19"/>
      <c r="C820" s="19"/>
      <c r="D820" s="55"/>
      <c r="E820" s="56"/>
      <c r="F820" s="19"/>
      <c r="G820" s="4" t="str">
        <f t="shared" si="96"/>
        <v/>
      </c>
      <c r="H820" s="11" t="str">
        <f t="shared" si="97"/>
        <v/>
      </c>
      <c r="I820" s="55" t="str">
        <f t="shared" si="98"/>
        <v/>
      </c>
      <c r="J820" s="55" t="str">
        <f t="shared" si="99"/>
        <v/>
      </c>
      <c r="K820" s="4" t="str">
        <f t="shared" si="100"/>
        <v/>
      </c>
      <c r="L820" s="19" t="str">
        <f t="shared" si="101"/>
        <v/>
      </c>
      <c r="M820" s="12" t="str">
        <f>IF(A820="","",IFERROR(INDEX(المدخلات!$M$4:$M$15,MATCH(A820,المدخلات!$L$4:$L$15,0)),""))</f>
        <v/>
      </c>
      <c r="N820" s="4" t="str">
        <f t="shared" si="102"/>
        <v/>
      </c>
      <c r="O820" s="4" t="str">
        <f t="shared" si="103"/>
        <v/>
      </c>
    </row>
    <row r="821" spans="1:15">
      <c r="A821" s="11"/>
      <c r="B821" s="19"/>
      <c r="C821" s="19"/>
      <c r="D821" s="55"/>
      <c r="E821" s="56"/>
      <c r="F821" s="19"/>
      <c r="G821" s="4" t="str">
        <f t="shared" si="96"/>
        <v/>
      </c>
      <c r="H821" s="11" t="str">
        <f t="shared" si="97"/>
        <v/>
      </c>
      <c r="I821" s="55" t="str">
        <f t="shared" si="98"/>
        <v/>
      </c>
      <c r="J821" s="55" t="str">
        <f t="shared" si="99"/>
        <v/>
      </c>
      <c r="K821" s="4" t="str">
        <f t="shared" si="100"/>
        <v/>
      </c>
      <c r="L821" s="19" t="str">
        <f t="shared" si="101"/>
        <v/>
      </c>
      <c r="M821" s="12" t="str">
        <f>IF(A821="","",IFERROR(INDEX(المدخلات!$M$4:$M$15,MATCH(A821,المدخلات!$L$4:$L$15,0)),""))</f>
        <v/>
      </c>
      <c r="N821" s="4" t="str">
        <f t="shared" si="102"/>
        <v/>
      </c>
      <c r="O821" s="4" t="str">
        <f t="shared" si="103"/>
        <v/>
      </c>
    </row>
    <row r="822" spans="1:15">
      <c r="A822" s="11"/>
      <c r="B822" s="19"/>
      <c r="C822" s="19"/>
      <c r="D822" s="55"/>
      <c r="E822" s="56"/>
      <c r="F822" s="19"/>
      <c r="G822" s="4" t="str">
        <f t="shared" si="96"/>
        <v/>
      </c>
      <c r="H822" s="11" t="str">
        <f t="shared" si="97"/>
        <v/>
      </c>
      <c r="I822" s="55" t="str">
        <f t="shared" si="98"/>
        <v/>
      </c>
      <c r="J822" s="55" t="str">
        <f t="shared" si="99"/>
        <v/>
      </c>
      <c r="K822" s="4" t="str">
        <f t="shared" si="100"/>
        <v/>
      </c>
      <c r="L822" s="19" t="str">
        <f t="shared" si="101"/>
        <v/>
      </c>
      <c r="M822" s="12" t="str">
        <f>IF(A822="","",IFERROR(INDEX(المدخلات!$M$4:$M$15,MATCH(A822,المدخلات!$L$4:$L$15,0)),""))</f>
        <v/>
      </c>
      <c r="N822" s="4" t="str">
        <f t="shared" si="102"/>
        <v/>
      </c>
      <c r="O822" s="4" t="str">
        <f t="shared" si="103"/>
        <v/>
      </c>
    </row>
    <row r="823" spans="1:15">
      <c r="A823" s="11"/>
      <c r="B823" s="19"/>
      <c r="C823" s="19"/>
      <c r="D823" s="55"/>
      <c r="E823" s="56"/>
      <c r="F823" s="19"/>
      <c r="G823" s="4" t="str">
        <f t="shared" si="96"/>
        <v/>
      </c>
      <c r="H823" s="11" t="str">
        <f t="shared" si="97"/>
        <v/>
      </c>
      <c r="I823" s="55" t="str">
        <f t="shared" si="98"/>
        <v/>
      </c>
      <c r="J823" s="55" t="str">
        <f t="shared" si="99"/>
        <v/>
      </c>
      <c r="K823" s="4" t="str">
        <f t="shared" si="100"/>
        <v/>
      </c>
      <c r="L823" s="19" t="str">
        <f t="shared" si="101"/>
        <v/>
      </c>
      <c r="M823" s="12" t="str">
        <f>IF(A823="","",IFERROR(INDEX(المدخلات!$M$4:$M$15,MATCH(A823,المدخلات!$L$4:$L$15,0)),""))</f>
        <v/>
      </c>
      <c r="N823" s="4" t="str">
        <f t="shared" si="102"/>
        <v/>
      </c>
      <c r="O823" s="4" t="str">
        <f t="shared" si="103"/>
        <v/>
      </c>
    </row>
    <row r="824" spans="1:15">
      <c r="A824" s="11"/>
      <c r="B824" s="19"/>
      <c r="C824" s="19"/>
      <c r="D824" s="55"/>
      <c r="E824" s="56"/>
      <c r="F824" s="19"/>
      <c r="G824" s="4" t="str">
        <f t="shared" si="96"/>
        <v/>
      </c>
      <c r="H824" s="11" t="str">
        <f t="shared" si="97"/>
        <v/>
      </c>
      <c r="I824" s="55" t="str">
        <f t="shared" si="98"/>
        <v/>
      </c>
      <c r="J824" s="55" t="str">
        <f t="shared" si="99"/>
        <v/>
      </c>
      <c r="K824" s="4" t="str">
        <f t="shared" si="100"/>
        <v/>
      </c>
      <c r="L824" s="19" t="str">
        <f t="shared" si="101"/>
        <v/>
      </c>
      <c r="M824" s="12" t="str">
        <f>IF(A824="","",IFERROR(INDEX(المدخلات!$M$4:$M$15,MATCH(A824,المدخلات!$L$4:$L$15,0)),""))</f>
        <v/>
      </c>
      <c r="N824" s="4" t="str">
        <f t="shared" si="102"/>
        <v/>
      </c>
      <c r="O824" s="4" t="str">
        <f t="shared" si="103"/>
        <v/>
      </c>
    </row>
    <row r="825" spans="1:15">
      <c r="A825" s="11"/>
      <c r="B825" s="19"/>
      <c r="C825" s="19"/>
      <c r="D825" s="55"/>
      <c r="E825" s="56"/>
      <c r="F825" s="19"/>
      <c r="G825" s="4" t="str">
        <f t="shared" si="96"/>
        <v/>
      </c>
      <c r="H825" s="11" t="str">
        <f t="shared" si="97"/>
        <v/>
      </c>
      <c r="I825" s="55" t="str">
        <f t="shared" si="98"/>
        <v/>
      </c>
      <c r="J825" s="55" t="str">
        <f t="shared" si="99"/>
        <v/>
      </c>
      <c r="K825" s="4" t="str">
        <f t="shared" si="100"/>
        <v/>
      </c>
      <c r="L825" s="19" t="str">
        <f t="shared" si="101"/>
        <v/>
      </c>
      <c r="M825" s="12" t="str">
        <f>IF(A825="","",IFERROR(INDEX(المدخلات!$M$4:$M$15,MATCH(A825,المدخلات!$L$4:$L$15,0)),""))</f>
        <v/>
      </c>
      <c r="N825" s="4" t="str">
        <f t="shared" si="102"/>
        <v/>
      </c>
      <c r="O825" s="4" t="str">
        <f t="shared" si="103"/>
        <v/>
      </c>
    </row>
    <row r="826" spans="1:15">
      <c r="A826" s="11"/>
      <c r="B826" s="19"/>
      <c r="C826" s="19"/>
      <c r="D826" s="55"/>
      <c r="E826" s="56"/>
      <c r="F826" s="19"/>
      <c r="G826" s="4" t="str">
        <f t="shared" si="96"/>
        <v/>
      </c>
      <c r="H826" s="11" t="str">
        <f t="shared" si="97"/>
        <v/>
      </c>
      <c r="I826" s="55" t="str">
        <f t="shared" si="98"/>
        <v/>
      </c>
      <c r="J826" s="55" t="str">
        <f t="shared" si="99"/>
        <v/>
      </c>
      <c r="K826" s="4" t="str">
        <f t="shared" si="100"/>
        <v/>
      </c>
      <c r="L826" s="19" t="str">
        <f t="shared" si="101"/>
        <v/>
      </c>
      <c r="M826" s="12" t="str">
        <f>IF(A826="","",IFERROR(INDEX(المدخلات!$M$4:$M$15,MATCH(A826,المدخلات!$L$4:$L$15,0)),""))</f>
        <v/>
      </c>
      <c r="N826" s="4" t="str">
        <f t="shared" si="102"/>
        <v/>
      </c>
      <c r="O826" s="4" t="str">
        <f t="shared" si="103"/>
        <v/>
      </c>
    </row>
    <row r="827" spans="1:15">
      <c r="A827" s="11"/>
      <c r="B827" s="19"/>
      <c r="C827" s="19"/>
      <c r="D827" s="55"/>
      <c r="E827" s="56"/>
      <c r="F827" s="19"/>
      <c r="G827" s="4" t="str">
        <f t="shared" si="96"/>
        <v/>
      </c>
      <c r="H827" s="11" t="str">
        <f t="shared" si="97"/>
        <v/>
      </c>
      <c r="I827" s="55" t="str">
        <f t="shared" si="98"/>
        <v/>
      </c>
      <c r="J827" s="55" t="str">
        <f t="shared" si="99"/>
        <v/>
      </c>
      <c r="K827" s="4" t="str">
        <f t="shared" si="100"/>
        <v/>
      </c>
      <c r="L827" s="19" t="str">
        <f t="shared" si="101"/>
        <v/>
      </c>
      <c r="M827" s="12" t="str">
        <f>IF(A827="","",IFERROR(INDEX(المدخلات!$M$4:$M$15,MATCH(A827,المدخلات!$L$4:$L$15,0)),""))</f>
        <v/>
      </c>
      <c r="N827" s="4" t="str">
        <f t="shared" si="102"/>
        <v/>
      </c>
      <c r="O827" s="4" t="str">
        <f t="shared" si="103"/>
        <v/>
      </c>
    </row>
    <row r="828" spans="1:15">
      <c r="A828" s="11"/>
      <c r="B828" s="19"/>
      <c r="C828" s="19"/>
      <c r="D828" s="55"/>
      <c r="E828" s="56"/>
      <c r="F828" s="19"/>
      <c r="G828" s="4" t="str">
        <f t="shared" si="96"/>
        <v/>
      </c>
      <c r="H828" s="11" t="str">
        <f t="shared" si="97"/>
        <v/>
      </c>
      <c r="I828" s="55" t="str">
        <f t="shared" si="98"/>
        <v/>
      </c>
      <c r="J828" s="55" t="str">
        <f t="shared" si="99"/>
        <v/>
      </c>
      <c r="K828" s="4" t="str">
        <f t="shared" si="100"/>
        <v/>
      </c>
      <c r="L828" s="19" t="str">
        <f t="shared" si="101"/>
        <v/>
      </c>
      <c r="M828" s="12" t="str">
        <f>IF(A828="","",IFERROR(INDEX(المدخلات!$M$4:$M$15,MATCH(A828,المدخلات!$L$4:$L$15,0)),""))</f>
        <v/>
      </c>
      <c r="N828" s="4" t="str">
        <f t="shared" si="102"/>
        <v/>
      </c>
      <c r="O828" s="4" t="str">
        <f t="shared" si="103"/>
        <v/>
      </c>
    </row>
    <row r="829" spans="1:15">
      <c r="A829" s="11"/>
      <c r="B829" s="19"/>
      <c r="C829" s="19"/>
      <c r="D829" s="55"/>
      <c r="E829" s="56"/>
      <c r="F829" s="19"/>
      <c r="G829" s="4" t="str">
        <f t="shared" si="96"/>
        <v/>
      </c>
      <c r="H829" s="11" t="str">
        <f t="shared" si="97"/>
        <v/>
      </c>
      <c r="I829" s="55" t="str">
        <f t="shared" si="98"/>
        <v/>
      </c>
      <c r="J829" s="55" t="str">
        <f t="shared" si="99"/>
        <v/>
      </c>
      <c r="K829" s="4" t="str">
        <f t="shared" si="100"/>
        <v/>
      </c>
      <c r="L829" s="19" t="str">
        <f t="shared" si="101"/>
        <v/>
      </c>
      <c r="M829" s="12" t="str">
        <f>IF(A829="","",IFERROR(INDEX(المدخلات!$M$4:$M$15,MATCH(A829,المدخلات!$L$4:$L$15,0)),""))</f>
        <v/>
      </c>
      <c r="N829" s="4" t="str">
        <f t="shared" si="102"/>
        <v/>
      </c>
      <c r="O829" s="4" t="str">
        <f t="shared" si="103"/>
        <v/>
      </c>
    </row>
    <row r="830" spans="1:15">
      <c r="A830" s="11"/>
      <c r="B830" s="19"/>
      <c r="C830" s="19"/>
      <c r="D830" s="55"/>
      <c r="E830" s="56"/>
      <c r="F830" s="19"/>
      <c r="G830" s="4" t="str">
        <f t="shared" si="96"/>
        <v/>
      </c>
      <c r="H830" s="11" t="str">
        <f t="shared" si="97"/>
        <v/>
      </c>
      <c r="I830" s="55" t="str">
        <f t="shared" si="98"/>
        <v/>
      </c>
      <c r="J830" s="55" t="str">
        <f t="shared" si="99"/>
        <v/>
      </c>
      <c r="K830" s="4" t="str">
        <f t="shared" si="100"/>
        <v/>
      </c>
      <c r="L830" s="19" t="str">
        <f t="shared" si="101"/>
        <v/>
      </c>
      <c r="M830" s="12" t="str">
        <f>IF(A830="","",IFERROR(INDEX(المدخلات!$M$4:$M$15,MATCH(A830,المدخلات!$L$4:$L$15,0)),""))</f>
        <v/>
      </c>
      <c r="N830" s="4" t="str">
        <f t="shared" si="102"/>
        <v/>
      </c>
      <c r="O830" s="4" t="str">
        <f t="shared" si="103"/>
        <v/>
      </c>
    </row>
    <row r="831" spans="1:15">
      <c r="A831" s="11"/>
      <c r="B831" s="19"/>
      <c r="C831" s="19"/>
      <c r="D831" s="55"/>
      <c r="E831" s="56"/>
      <c r="F831" s="19"/>
      <c r="G831" s="4" t="str">
        <f t="shared" si="96"/>
        <v/>
      </c>
      <c r="H831" s="11" t="str">
        <f t="shared" si="97"/>
        <v/>
      </c>
      <c r="I831" s="55" t="str">
        <f t="shared" si="98"/>
        <v/>
      </c>
      <c r="J831" s="55" t="str">
        <f t="shared" si="99"/>
        <v/>
      </c>
      <c r="K831" s="4" t="str">
        <f t="shared" si="100"/>
        <v/>
      </c>
      <c r="L831" s="19" t="str">
        <f t="shared" si="101"/>
        <v/>
      </c>
      <c r="M831" s="12" t="str">
        <f>IF(A831="","",IFERROR(INDEX(المدخلات!$M$4:$M$15,MATCH(A831,المدخلات!$L$4:$L$15,0)),""))</f>
        <v/>
      </c>
      <c r="N831" s="4" t="str">
        <f t="shared" si="102"/>
        <v/>
      </c>
      <c r="O831" s="4" t="str">
        <f t="shared" si="103"/>
        <v/>
      </c>
    </row>
    <row r="832" spans="1:15">
      <c r="A832" s="11"/>
      <c r="B832" s="19"/>
      <c r="C832" s="19"/>
      <c r="D832" s="55"/>
      <c r="E832" s="56"/>
      <c r="F832" s="19"/>
      <c r="G832" s="4" t="str">
        <f t="shared" si="96"/>
        <v/>
      </c>
      <c r="H832" s="11" t="str">
        <f t="shared" si="97"/>
        <v/>
      </c>
      <c r="I832" s="55" t="str">
        <f t="shared" si="98"/>
        <v/>
      </c>
      <c r="J832" s="55" t="str">
        <f t="shared" si="99"/>
        <v/>
      </c>
      <c r="K832" s="4" t="str">
        <f t="shared" si="100"/>
        <v/>
      </c>
      <c r="L832" s="19" t="str">
        <f t="shared" si="101"/>
        <v/>
      </c>
      <c r="M832" s="12" t="str">
        <f>IF(A832="","",IFERROR(INDEX(المدخلات!$M$4:$M$15,MATCH(A832,المدخلات!$L$4:$L$15,0)),""))</f>
        <v/>
      </c>
      <c r="N832" s="4" t="str">
        <f t="shared" si="102"/>
        <v/>
      </c>
      <c r="O832" s="4" t="str">
        <f t="shared" si="103"/>
        <v/>
      </c>
    </row>
    <row r="833" spans="1:15">
      <c r="A833" s="11"/>
      <c r="B833" s="19"/>
      <c r="C833" s="19"/>
      <c r="D833" s="55"/>
      <c r="E833" s="56"/>
      <c r="F833" s="19"/>
      <c r="G833" s="4" t="str">
        <f t="shared" si="96"/>
        <v/>
      </c>
      <c r="H833" s="11" t="str">
        <f t="shared" si="97"/>
        <v/>
      </c>
      <c r="I833" s="55" t="str">
        <f t="shared" si="98"/>
        <v/>
      </c>
      <c r="J833" s="55" t="str">
        <f t="shared" si="99"/>
        <v/>
      </c>
      <c r="K833" s="4" t="str">
        <f t="shared" si="100"/>
        <v/>
      </c>
      <c r="L833" s="19" t="str">
        <f t="shared" si="101"/>
        <v/>
      </c>
      <c r="M833" s="12" t="str">
        <f>IF(A833="","",IFERROR(INDEX(المدخلات!$M$4:$M$15,MATCH(A833,المدخلات!$L$4:$L$15,0)),""))</f>
        <v/>
      </c>
      <c r="N833" s="4" t="str">
        <f t="shared" si="102"/>
        <v/>
      </c>
      <c r="O833" s="4" t="str">
        <f t="shared" si="103"/>
        <v/>
      </c>
    </row>
    <row r="834" spans="1:15">
      <c r="A834" s="11"/>
      <c r="B834" s="19"/>
      <c r="C834" s="19"/>
      <c r="D834" s="55"/>
      <c r="E834" s="56"/>
      <c r="F834" s="19"/>
      <c r="G834" s="4" t="str">
        <f t="shared" si="96"/>
        <v/>
      </c>
      <c r="H834" s="11" t="str">
        <f t="shared" si="97"/>
        <v/>
      </c>
      <c r="I834" s="55" t="str">
        <f t="shared" si="98"/>
        <v/>
      </c>
      <c r="J834" s="55" t="str">
        <f t="shared" si="99"/>
        <v/>
      </c>
      <c r="K834" s="4" t="str">
        <f t="shared" si="100"/>
        <v/>
      </c>
      <c r="L834" s="19" t="str">
        <f t="shared" si="101"/>
        <v/>
      </c>
      <c r="M834" s="12" t="str">
        <f>IF(A834="","",IFERROR(INDEX(المدخلات!$M$4:$M$15,MATCH(A834,المدخلات!$L$4:$L$15,0)),""))</f>
        <v/>
      </c>
      <c r="N834" s="4" t="str">
        <f t="shared" si="102"/>
        <v/>
      </c>
      <c r="O834" s="4" t="str">
        <f t="shared" si="103"/>
        <v/>
      </c>
    </row>
    <row r="835" spans="1:15">
      <c r="A835" s="11"/>
      <c r="B835" s="19"/>
      <c r="C835" s="19"/>
      <c r="D835" s="55"/>
      <c r="E835" s="56"/>
      <c r="F835" s="19"/>
      <c r="G835" s="4" t="str">
        <f t="shared" si="96"/>
        <v/>
      </c>
      <c r="H835" s="11" t="str">
        <f t="shared" si="97"/>
        <v/>
      </c>
      <c r="I835" s="55" t="str">
        <f t="shared" si="98"/>
        <v/>
      </c>
      <c r="J835" s="55" t="str">
        <f t="shared" si="99"/>
        <v/>
      </c>
      <c r="K835" s="4" t="str">
        <f t="shared" si="100"/>
        <v/>
      </c>
      <c r="L835" s="19" t="str">
        <f t="shared" si="101"/>
        <v/>
      </c>
      <c r="M835" s="12" t="str">
        <f>IF(A835="","",IFERROR(INDEX(المدخلات!$M$4:$M$15,MATCH(A835,المدخلات!$L$4:$L$15,0)),""))</f>
        <v/>
      </c>
      <c r="N835" s="4" t="str">
        <f t="shared" si="102"/>
        <v/>
      </c>
      <c r="O835" s="4" t="str">
        <f t="shared" si="103"/>
        <v/>
      </c>
    </row>
    <row r="836" spans="1:15">
      <c r="A836" s="11"/>
      <c r="B836" s="19"/>
      <c r="C836" s="19"/>
      <c r="D836" s="55"/>
      <c r="E836" s="56"/>
      <c r="F836" s="19"/>
      <c r="G836" s="4" t="str">
        <f t="shared" si="96"/>
        <v/>
      </c>
      <c r="H836" s="11" t="str">
        <f t="shared" si="97"/>
        <v/>
      </c>
      <c r="I836" s="55" t="str">
        <f t="shared" si="98"/>
        <v/>
      </c>
      <c r="J836" s="55" t="str">
        <f t="shared" si="99"/>
        <v/>
      </c>
      <c r="K836" s="4" t="str">
        <f t="shared" si="100"/>
        <v/>
      </c>
      <c r="L836" s="19" t="str">
        <f t="shared" si="101"/>
        <v/>
      </c>
      <c r="M836" s="12" t="str">
        <f>IF(A836="","",IFERROR(INDEX(المدخلات!$M$4:$M$15,MATCH(A836,المدخلات!$L$4:$L$15,0)),""))</f>
        <v/>
      </c>
      <c r="N836" s="4" t="str">
        <f t="shared" si="102"/>
        <v/>
      </c>
      <c r="O836" s="4" t="str">
        <f t="shared" si="103"/>
        <v/>
      </c>
    </row>
    <row r="837" spans="1:15">
      <c r="A837" s="11"/>
      <c r="B837" s="19"/>
      <c r="C837" s="19"/>
      <c r="D837" s="55"/>
      <c r="E837" s="56"/>
      <c r="F837" s="19"/>
      <c r="G837" s="4" t="str">
        <f t="shared" ref="G837:G900" si="104">IF(OR(D837="",E837=""),"",D837*E837)</f>
        <v/>
      </c>
      <c r="H837" s="11" t="str">
        <f t="shared" ref="H837:H900" si="105">IF(C837="","",IFERROR(_xlfn.MAXIFS($A$5:$A$2003,$C$5:$C$2003,C837,$A$5:$A$2003,"&lt;"&amp;A837),0))</f>
        <v/>
      </c>
      <c r="I837" s="55" t="str">
        <f t="shared" ref="I837:I900" si="106">IF(OR(H837="",H837=0),"",IFERROR(SUMIFS($D$5:$D$2003,$C$5:$C$2003,C837,$A$5:$A$2003,H837),""))</f>
        <v/>
      </c>
      <c r="J837" s="55" t="str">
        <f t="shared" ref="J837:J900" si="107">IF(C837="","",IF(I837="",0,MAX(I837-D837,0)))</f>
        <v/>
      </c>
      <c r="K837" s="4" t="str">
        <f t="shared" ref="K837:K900" si="108">IF(J837="","",J837*E837)</f>
        <v/>
      </c>
      <c r="L837" s="19" t="str">
        <f t="shared" ref="L837:L900" si="109">IF(C837="","",IF(COUNTIFS($A$5:$A$2003,A837,$C$5:$C$2003,C837)&gt;1,"⚠️ مادة مكررة بنفس الشهر",IF(OR(H837="",H837=0),"🆕 أول ظهور لهذه المادة",IF(D837&gt;I837,"ℹ️ زيادة كمية (شراء/تصحيح) - لا تُحتسب استهلاكاً",IF(D837=I837,"➖ لا تغيير","")))))</f>
        <v/>
      </c>
      <c r="M837" s="12" t="str">
        <f>IF(A837="","",IFERROR(INDEX(المدخلات!$M$4:$M$15,MATCH(A837,المدخلات!$L$4:$L$15,0)),""))</f>
        <v/>
      </c>
      <c r="N837" s="4" t="str">
        <f t="shared" ref="N837:N900" si="110">IF(OR(G837="",F837=""),"",IF(F837="دولار أمريكي",IF(M837="","⚠️ لا يوجد سعر صرف",G837*M837),G837))</f>
        <v/>
      </c>
      <c r="O837" s="4" t="str">
        <f t="shared" ref="O837:O900" si="111">IF(OR(K837="",F837=""),"",IF(F837="دولار أمريكي",IF(M837="","⚠️ لا يوجد سعر صرف",K837*M837),K837))</f>
        <v/>
      </c>
    </row>
    <row r="838" spans="1:15">
      <c r="A838" s="11"/>
      <c r="B838" s="19"/>
      <c r="C838" s="19"/>
      <c r="D838" s="55"/>
      <c r="E838" s="56"/>
      <c r="F838" s="19"/>
      <c r="G838" s="4" t="str">
        <f t="shared" si="104"/>
        <v/>
      </c>
      <c r="H838" s="11" t="str">
        <f t="shared" si="105"/>
        <v/>
      </c>
      <c r="I838" s="55" t="str">
        <f t="shared" si="106"/>
        <v/>
      </c>
      <c r="J838" s="55" t="str">
        <f t="shared" si="107"/>
        <v/>
      </c>
      <c r="K838" s="4" t="str">
        <f t="shared" si="108"/>
        <v/>
      </c>
      <c r="L838" s="19" t="str">
        <f t="shared" si="109"/>
        <v/>
      </c>
      <c r="M838" s="12" t="str">
        <f>IF(A838="","",IFERROR(INDEX(المدخلات!$M$4:$M$15,MATCH(A838,المدخلات!$L$4:$L$15,0)),""))</f>
        <v/>
      </c>
      <c r="N838" s="4" t="str">
        <f t="shared" si="110"/>
        <v/>
      </c>
      <c r="O838" s="4" t="str">
        <f t="shared" si="111"/>
        <v/>
      </c>
    </row>
    <row r="839" spans="1:15">
      <c r="A839" s="11"/>
      <c r="B839" s="19"/>
      <c r="C839" s="19"/>
      <c r="D839" s="55"/>
      <c r="E839" s="56"/>
      <c r="F839" s="19"/>
      <c r="G839" s="4" t="str">
        <f t="shared" si="104"/>
        <v/>
      </c>
      <c r="H839" s="11" t="str">
        <f t="shared" si="105"/>
        <v/>
      </c>
      <c r="I839" s="55" t="str">
        <f t="shared" si="106"/>
        <v/>
      </c>
      <c r="J839" s="55" t="str">
        <f t="shared" si="107"/>
        <v/>
      </c>
      <c r="K839" s="4" t="str">
        <f t="shared" si="108"/>
        <v/>
      </c>
      <c r="L839" s="19" t="str">
        <f t="shared" si="109"/>
        <v/>
      </c>
      <c r="M839" s="12" t="str">
        <f>IF(A839="","",IFERROR(INDEX(المدخلات!$M$4:$M$15,MATCH(A839,المدخلات!$L$4:$L$15,0)),""))</f>
        <v/>
      </c>
      <c r="N839" s="4" t="str">
        <f t="shared" si="110"/>
        <v/>
      </c>
      <c r="O839" s="4" t="str">
        <f t="shared" si="111"/>
        <v/>
      </c>
    </row>
    <row r="840" spans="1:15">
      <c r="A840" s="11"/>
      <c r="B840" s="19"/>
      <c r="C840" s="19"/>
      <c r="D840" s="55"/>
      <c r="E840" s="56"/>
      <c r="F840" s="19"/>
      <c r="G840" s="4" t="str">
        <f t="shared" si="104"/>
        <v/>
      </c>
      <c r="H840" s="11" t="str">
        <f t="shared" si="105"/>
        <v/>
      </c>
      <c r="I840" s="55" t="str">
        <f t="shared" si="106"/>
        <v/>
      </c>
      <c r="J840" s="55" t="str">
        <f t="shared" si="107"/>
        <v/>
      </c>
      <c r="K840" s="4" t="str">
        <f t="shared" si="108"/>
        <v/>
      </c>
      <c r="L840" s="19" t="str">
        <f t="shared" si="109"/>
        <v/>
      </c>
      <c r="M840" s="12" t="str">
        <f>IF(A840="","",IFERROR(INDEX(المدخلات!$M$4:$M$15,MATCH(A840,المدخلات!$L$4:$L$15,0)),""))</f>
        <v/>
      </c>
      <c r="N840" s="4" t="str">
        <f t="shared" si="110"/>
        <v/>
      </c>
      <c r="O840" s="4" t="str">
        <f t="shared" si="111"/>
        <v/>
      </c>
    </row>
    <row r="841" spans="1:15">
      <c r="A841" s="11"/>
      <c r="B841" s="19"/>
      <c r="C841" s="19"/>
      <c r="D841" s="55"/>
      <c r="E841" s="56"/>
      <c r="F841" s="19"/>
      <c r="G841" s="4" t="str">
        <f t="shared" si="104"/>
        <v/>
      </c>
      <c r="H841" s="11" t="str">
        <f t="shared" si="105"/>
        <v/>
      </c>
      <c r="I841" s="55" t="str">
        <f t="shared" si="106"/>
        <v/>
      </c>
      <c r="J841" s="55" t="str">
        <f t="shared" si="107"/>
        <v/>
      </c>
      <c r="K841" s="4" t="str">
        <f t="shared" si="108"/>
        <v/>
      </c>
      <c r="L841" s="19" t="str">
        <f t="shared" si="109"/>
        <v/>
      </c>
      <c r="M841" s="12" t="str">
        <f>IF(A841="","",IFERROR(INDEX(المدخلات!$M$4:$M$15,MATCH(A841,المدخلات!$L$4:$L$15,0)),""))</f>
        <v/>
      </c>
      <c r="N841" s="4" t="str">
        <f t="shared" si="110"/>
        <v/>
      </c>
      <c r="O841" s="4" t="str">
        <f t="shared" si="111"/>
        <v/>
      </c>
    </row>
    <row r="842" spans="1:15">
      <c r="A842" s="11"/>
      <c r="B842" s="19"/>
      <c r="C842" s="19"/>
      <c r="D842" s="55"/>
      <c r="E842" s="56"/>
      <c r="F842" s="19"/>
      <c r="G842" s="4" t="str">
        <f t="shared" si="104"/>
        <v/>
      </c>
      <c r="H842" s="11" t="str">
        <f t="shared" si="105"/>
        <v/>
      </c>
      <c r="I842" s="55" t="str">
        <f t="shared" si="106"/>
        <v/>
      </c>
      <c r="J842" s="55" t="str">
        <f t="shared" si="107"/>
        <v/>
      </c>
      <c r="K842" s="4" t="str">
        <f t="shared" si="108"/>
        <v/>
      </c>
      <c r="L842" s="19" t="str">
        <f t="shared" si="109"/>
        <v/>
      </c>
      <c r="M842" s="12" t="str">
        <f>IF(A842="","",IFERROR(INDEX(المدخلات!$M$4:$M$15,MATCH(A842,المدخلات!$L$4:$L$15,0)),""))</f>
        <v/>
      </c>
      <c r="N842" s="4" t="str">
        <f t="shared" si="110"/>
        <v/>
      </c>
      <c r="O842" s="4" t="str">
        <f t="shared" si="111"/>
        <v/>
      </c>
    </row>
    <row r="843" spans="1:15">
      <c r="A843" s="11"/>
      <c r="B843" s="19"/>
      <c r="C843" s="19"/>
      <c r="D843" s="55"/>
      <c r="E843" s="56"/>
      <c r="F843" s="19"/>
      <c r="G843" s="4" t="str">
        <f t="shared" si="104"/>
        <v/>
      </c>
      <c r="H843" s="11" t="str">
        <f t="shared" si="105"/>
        <v/>
      </c>
      <c r="I843" s="55" t="str">
        <f t="shared" si="106"/>
        <v/>
      </c>
      <c r="J843" s="55" t="str">
        <f t="shared" si="107"/>
        <v/>
      </c>
      <c r="K843" s="4" t="str">
        <f t="shared" si="108"/>
        <v/>
      </c>
      <c r="L843" s="19" t="str">
        <f t="shared" si="109"/>
        <v/>
      </c>
      <c r="M843" s="12" t="str">
        <f>IF(A843="","",IFERROR(INDEX(المدخلات!$M$4:$M$15,MATCH(A843,المدخلات!$L$4:$L$15,0)),""))</f>
        <v/>
      </c>
      <c r="N843" s="4" t="str">
        <f t="shared" si="110"/>
        <v/>
      </c>
      <c r="O843" s="4" t="str">
        <f t="shared" si="111"/>
        <v/>
      </c>
    </row>
    <row r="844" spans="1:15">
      <c r="A844" s="11"/>
      <c r="B844" s="19"/>
      <c r="C844" s="19"/>
      <c r="D844" s="55"/>
      <c r="E844" s="56"/>
      <c r="F844" s="19"/>
      <c r="G844" s="4" t="str">
        <f t="shared" si="104"/>
        <v/>
      </c>
      <c r="H844" s="11" t="str">
        <f t="shared" si="105"/>
        <v/>
      </c>
      <c r="I844" s="55" t="str">
        <f t="shared" si="106"/>
        <v/>
      </c>
      <c r="J844" s="55" t="str">
        <f t="shared" si="107"/>
        <v/>
      </c>
      <c r="K844" s="4" t="str">
        <f t="shared" si="108"/>
        <v/>
      </c>
      <c r="L844" s="19" t="str">
        <f t="shared" si="109"/>
        <v/>
      </c>
      <c r="M844" s="12" t="str">
        <f>IF(A844="","",IFERROR(INDEX(المدخلات!$M$4:$M$15,MATCH(A844,المدخلات!$L$4:$L$15,0)),""))</f>
        <v/>
      </c>
      <c r="N844" s="4" t="str">
        <f t="shared" si="110"/>
        <v/>
      </c>
      <c r="O844" s="4" t="str">
        <f t="shared" si="111"/>
        <v/>
      </c>
    </row>
    <row r="845" spans="1:15">
      <c r="A845" s="11"/>
      <c r="B845" s="19"/>
      <c r="C845" s="19"/>
      <c r="D845" s="55"/>
      <c r="E845" s="56"/>
      <c r="F845" s="19"/>
      <c r="G845" s="4" t="str">
        <f t="shared" si="104"/>
        <v/>
      </c>
      <c r="H845" s="11" t="str">
        <f t="shared" si="105"/>
        <v/>
      </c>
      <c r="I845" s="55" t="str">
        <f t="shared" si="106"/>
        <v/>
      </c>
      <c r="J845" s="55" t="str">
        <f t="shared" si="107"/>
        <v/>
      </c>
      <c r="K845" s="4" t="str">
        <f t="shared" si="108"/>
        <v/>
      </c>
      <c r="L845" s="19" t="str">
        <f t="shared" si="109"/>
        <v/>
      </c>
      <c r="M845" s="12" t="str">
        <f>IF(A845="","",IFERROR(INDEX(المدخلات!$M$4:$M$15,MATCH(A845,المدخلات!$L$4:$L$15,0)),""))</f>
        <v/>
      </c>
      <c r="N845" s="4" t="str">
        <f t="shared" si="110"/>
        <v/>
      </c>
      <c r="O845" s="4" t="str">
        <f t="shared" si="111"/>
        <v/>
      </c>
    </row>
    <row r="846" spans="1:15">
      <c r="A846" s="11"/>
      <c r="B846" s="19"/>
      <c r="C846" s="19"/>
      <c r="D846" s="55"/>
      <c r="E846" s="56"/>
      <c r="F846" s="19"/>
      <c r="G846" s="4" t="str">
        <f t="shared" si="104"/>
        <v/>
      </c>
      <c r="H846" s="11" t="str">
        <f t="shared" si="105"/>
        <v/>
      </c>
      <c r="I846" s="55" t="str">
        <f t="shared" si="106"/>
        <v/>
      </c>
      <c r="J846" s="55" t="str">
        <f t="shared" si="107"/>
        <v/>
      </c>
      <c r="K846" s="4" t="str">
        <f t="shared" si="108"/>
        <v/>
      </c>
      <c r="L846" s="19" t="str">
        <f t="shared" si="109"/>
        <v/>
      </c>
      <c r="M846" s="12" t="str">
        <f>IF(A846="","",IFERROR(INDEX(المدخلات!$M$4:$M$15,MATCH(A846,المدخلات!$L$4:$L$15,0)),""))</f>
        <v/>
      </c>
      <c r="N846" s="4" t="str">
        <f t="shared" si="110"/>
        <v/>
      </c>
      <c r="O846" s="4" t="str">
        <f t="shared" si="111"/>
        <v/>
      </c>
    </row>
    <row r="847" spans="1:15">
      <c r="A847" s="11"/>
      <c r="B847" s="19"/>
      <c r="C847" s="19"/>
      <c r="D847" s="55"/>
      <c r="E847" s="56"/>
      <c r="F847" s="19"/>
      <c r="G847" s="4" t="str">
        <f t="shared" si="104"/>
        <v/>
      </c>
      <c r="H847" s="11" t="str">
        <f t="shared" si="105"/>
        <v/>
      </c>
      <c r="I847" s="55" t="str">
        <f t="shared" si="106"/>
        <v/>
      </c>
      <c r="J847" s="55" t="str">
        <f t="shared" si="107"/>
        <v/>
      </c>
      <c r="K847" s="4" t="str">
        <f t="shared" si="108"/>
        <v/>
      </c>
      <c r="L847" s="19" t="str">
        <f t="shared" si="109"/>
        <v/>
      </c>
      <c r="M847" s="12" t="str">
        <f>IF(A847="","",IFERROR(INDEX(المدخلات!$M$4:$M$15,MATCH(A847,المدخلات!$L$4:$L$15,0)),""))</f>
        <v/>
      </c>
      <c r="N847" s="4" t="str">
        <f t="shared" si="110"/>
        <v/>
      </c>
      <c r="O847" s="4" t="str">
        <f t="shared" si="111"/>
        <v/>
      </c>
    </row>
    <row r="848" spans="1:15">
      <c r="A848" s="11"/>
      <c r="B848" s="19"/>
      <c r="C848" s="19"/>
      <c r="D848" s="55"/>
      <c r="E848" s="56"/>
      <c r="F848" s="19"/>
      <c r="G848" s="4" t="str">
        <f t="shared" si="104"/>
        <v/>
      </c>
      <c r="H848" s="11" t="str">
        <f t="shared" si="105"/>
        <v/>
      </c>
      <c r="I848" s="55" t="str">
        <f t="shared" si="106"/>
        <v/>
      </c>
      <c r="J848" s="55" t="str">
        <f t="shared" si="107"/>
        <v/>
      </c>
      <c r="K848" s="4" t="str">
        <f t="shared" si="108"/>
        <v/>
      </c>
      <c r="L848" s="19" t="str">
        <f t="shared" si="109"/>
        <v/>
      </c>
      <c r="M848" s="12" t="str">
        <f>IF(A848="","",IFERROR(INDEX(المدخلات!$M$4:$M$15,MATCH(A848,المدخلات!$L$4:$L$15,0)),""))</f>
        <v/>
      </c>
      <c r="N848" s="4" t="str">
        <f t="shared" si="110"/>
        <v/>
      </c>
      <c r="O848" s="4" t="str">
        <f t="shared" si="111"/>
        <v/>
      </c>
    </row>
    <row r="849" spans="1:15">
      <c r="A849" s="11"/>
      <c r="B849" s="19"/>
      <c r="C849" s="19"/>
      <c r="D849" s="55"/>
      <c r="E849" s="56"/>
      <c r="F849" s="19"/>
      <c r="G849" s="4" t="str">
        <f t="shared" si="104"/>
        <v/>
      </c>
      <c r="H849" s="11" t="str">
        <f t="shared" si="105"/>
        <v/>
      </c>
      <c r="I849" s="55" t="str">
        <f t="shared" si="106"/>
        <v/>
      </c>
      <c r="J849" s="55" t="str">
        <f t="shared" si="107"/>
        <v/>
      </c>
      <c r="K849" s="4" t="str">
        <f t="shared" si="108"/>
        <v/>
      </c>
      <c r="L849" s="19" t="str">
        <f t="shared" si="109"/>
        <v/>
      </c>
      <c r="M849" s="12" t="str">
        <f>IF(A849="","",IFERROR(INDEX(المدخلات!$M$4:$M$15,MATCH(A849,المدخلات!$L$4:$L$15,0)),""))</f>
        <v/>
      </c>
      <c r="N849" s="4" t="str">
        <f t="shared" si="110"/>
        <v/>
      </c>
      <c r="O849" s="4" t="str">
        <f t="shared" si="111"/>
        <v/>
      </c>
    </row>
    <row r="850" spans="1:15">
      <c r="A850" s="11"/>
      <c r="B850" s="19"/>
      <c r="C850" s="19"/>
      <c r="D850" s="55"/>
      <c r="E850" s="56"/>
      <c r="F850" s="19"/>
      <c r="G850" s="4" t="str">
        <f t="shared" si="104"/>
        <v/>
      </c>
      <c r="H850" s="11" t="str">
        <f t="shared" si="105"/>
        <v/>
      </c>
      <c r="I850" s="55" t="str">
        <f t="shared" si="106"/>
        <v/>
      </c>
      <c r="J850" s="55" t="str">
        <f t="shared" si="107"/>
        <v/>
      </c>
      <c r="K850" s="4" t="str">
        <f t="shared" si="108"/>
        <v/>
      </c>
      <c r="L850" s="19" t="str">
        <f t="shared" si="109"/>
        <v/>
      </c>
      <c r="M850" s="12" t="str">
        <f>IF(A850="","",IFERROR(INDEX(المدخلات!$M$4:$M$15,MATCH(A850,المدخلات!$L$4:$L$15,0)),""))</f>
        <v/>
      </c>
      <c r="N850" s="4" t="str">
        <f t="shared" si="110"/>
        <v/>
      </c>
      <c r="O850" s="4" t="str">
        <f t="shared" si="111"/>
        <v/>
      </c>
    </row>
    <row r="851" spans="1:15">
      <c r="A851" s="11"/>
      <c r="B851" s="19"/>
      <c r="C851" s="19"/>
      <c r="D851" s="55"/>
      <c r="E851" s="56"/>
      <c r="F851" s="19"/>
      <c r="G851" s="4" t="str">
        <f t="shared" si="104"/>
        <v/>
      </c>
      <c r="H851" s="11" t="str">
        <f t="shared" si="105"/>
        <v/>
      </c>
      <c r="I851" s="55" t="str">
        <f t="shared" si="106"/>
        <v/>
      </c>
      <c r="J851" s="55" t="str">
        <f t="shared" si="107"/>
        <v/>
      </c>
      <c r="K851" s="4" t="str">
        <f t="shared" si="108"/>
        <v/>
      </c>
      <c r="L851" s="19" t="str">
        <f t="shared" si="109"/>
        <v/>
      </c>
      <c r="M851" s="12" t="str">
        <f>IF(A851="","",IFERROR(INDEX(المدخلات!$M$4:$M$15,MATCH(A851,المدخلات!$L$4:$L$15,0)),""))</f>
        <v/>
      </c>
      <c r="N851" s="4" t="str">
        <f t="shared" si="110"/>
        <v/>
      </c>
      <c r="O851" s="4" t="str">
        <f t="shared" si="111"/>
        <v/>
      </c>
    </row>
    <row r="852" spans="1:15">
      <c r="A852" s="11"/>
      <c r="B852" s="19"/>
      <c r="C852" s="19"/>
      <c r="D852" s="55"/>
      <c r="E852" s="56"/>
      <c r="F852" s="19"/>
      <c r="G852" s="4" t="str">
        <f t="shared" si="104"/>
        <v/>
      </c>
      <c r="H852" s="11" t="str">
        <f t="shared" si="105"/>
        <v/>
      </c>
      <c r="I852" s="55" t="str">
        <f t="shared" si="106"/>
        <v/>
      </c>
      <c r="J852" s="55" t="str">
        <f t="shared" si="107"/>
        <v/>
      </c>
      <c r="K852" s="4" t="str">
        <f t="shared" si="108"/>
        <v/>
      </c>
      <c r="L852" s="19" t="str">
        <f t="shared" si="109"/>
        <v/>
      </c>
      <c r="M852" s="12" t="str">
        <f>IF(A852="","",IFERROR(INDEX(المدخلات!$M$4:$M$15,MATCH(A852,المدخلات!$L$4:$L$15,0)),""))</f>
        <v/>
      </c>
      <c r="N852" s="4" t="str">
        <f t="shared" si="110"/>
        <v/>
      </c>
      <c r="O852" s="4" t="str">
        <f t="shared" si="111"/>
        <v/>
      </c>
    </row>
    <row r="853" spans="1:15">
      <c r="A853" s="11"/>
      <c r="B853" s="19"/>
      <c r="C853" s="19"/>
      <c r="D853" s="55"/>
      <c r="E853" s="56"/>
      <c r="F853" s="19"/>
      <c r="G853" s="4" t="str">
        <f t="shared" si="104"/>
        <v/>
      </c>
      <c r="H853" s="11" t="str">
        <f t="shared" si="105"/>
        <v/>
      </c>
      <c r="I853" s="55" t="str">
        <f t="shared" si="106"/>
        <v/>
      </c>
      <c r="J853" s="55" t="str">
        <f t="shared" si="107"/>
        <v/>
      </c>
      <c r="K853" s="4" t="str">
        <f t="shared" si="108"/>
        <v/>
      </c>
      <c r="L853" s="19" t="str">
        <f t="shared" si="109"/>
        <v/>
      </c>
      <c r="M853" s="12" t="str">
        <f>IF(A853="","",IFERROR(INDEX(المدخلات!$M$4:$M$15,MATCH(A853,المدخلات!$L$4:$L$15,0)),""))</f>
        <v/>
      </c>
      <c r="N853" s="4" t="str">
        <f t="shared" si="110"/>
        <v/>
      </c>
      <c r="O853" s="4" t="str">
        <f t="shared" si="111"/>
        <v/>
      </c>
    </row>
    <row r="854" spans="1:15">
      <c r="A854" s="11"/>
      <c r="B854" s="19"/>
      <c r="C854" s="19"/>
      <c r="D854" s="55"/>
      <c r="E854" s="56"/>
      <c r="F854" s="19"/>
      <c r="G854" s="4" t="str">
        <f t="shared" si="104"/>
        <v/>
      </c>
      <c r="H854" s="11" t="str">
        <f t="shared" si="105"/>
        <v/>
      </c>
      <c r="I854" s="55" t="str">
        <f t="shared" si="106"/>
        <v/>
      </c>
      <c r="J854" s="55" t="str">
        <f t="shared" si="107"/>
        <v/>
      </c>
      <c r="K854" s="4" t="str">
        <f t="shared" si="108"/>
        <v/>
      </c>
      <c r="L854" s="19" t="str">
        <f t="shared" si="109"/>
        <v/>
      </c>
      <c r="M854" s="12" t="str">
        <f>IF(A854="","",IFERROR(INDEX(المدخلات!$M$4:$M$15,MATCH(A854,المدخلات!$L$4:$L$15,0)),""))</f>
        <v/>
      </c>
      <c r="N854" s="4" t="str">
        <f t="shared" si="110"/>
        <v/>
      </c>
      <c r="O854" s="4" t="str">
        <f t="shared" si="111"/>
        <v/>
      </c>
    </row>
    <row r="855" spans="1:15">
      <c r="A855" s="11"/>
      <c r="B855" s="19"/>
      <c r="C855" s="19"/>
      <c r="D855" s="55"/>
      <c r="E855" s="56"/>
      <c r="F855" s="19"/>
      <c r="G855" s="4" t="str">
        <f t="shared" si="104"/>
        <v/>
      </c>
      <c r="H855" s="11" t="str">
        <f t="shared" si="105"/>
        <v/>
      </c>
      <c r="I855" s="55" t="str">
        <f t="shared" si="106"/>
        <v/>
      </c>
      <c r="J855" s="55" t="str">
        <f t="shared" si="107"/>
        <v/>
      </c>
      <c r="K855" s="4" t="str">
        <f t="shared" si="108"/>
        <v/>
      </c>
      <c r="L855" s="19" t="str">
        <f t="shared" si="109"/>
        <v/>
      </c>
      <c r="M855" s="12" t="str">
        <f>IF(A855="","",IFERROR(INDEX(المدخلات!$M$4:$M$15,MATCH(A855,المدخلات!$L$4:$L$15,0)),""))</f>
        <v/>
      </c>
      <c r="N855" s="4" t="str">
        <f t="shared" si="110"/>
        <v/>
      </c>
      <c r="O855" s="4" t="str">
        <f t="shared" si="111"/>
        <v/>
      </c>
    </row>
    <row r="856" spans="1:15">
      <c r="A856" s="11"/>
      <c r="B856" s="19"/>
      <c r="C856" s="19"/>
      <c r="D856" s="55"/>
      <c r="E856" s="56"/>
      <c r="F856" s="19"/>
      <c r="G856" s="4" t="str">
        <f t="shared" si="104"/>
        <v/>
      </c>
      <c r="H856" s="11" t="str">
        <f t="shared" si="105"/>
        <v/>
      </c>
      <c r="I856" s="55" t="str">
        <f t="shared" si="106"/>
        <v/>
      </c>
      <c r="J856" s="55" t="str">
        <f t="shared" si="107"/>
        <v/>
      </c>
      <c r="K856" s="4" t="str">
        <f t="shared" si="108"/>
        <v/>
      </c>
      <c r="L856" s="19" t="str">
        <f t="shared" si="109"/>
        <v/>
      </c>
      <c r="M856" s="12" t="str">
        <f>IF(A856="","",IFERROR(INDEX(المدخلات!$M$4:$M$15,MATCH(A856,المدخلات!$L$4:$L$15,0)),""))</f>
        <v/>
      </c>
      <c r="N856" s="4" t="str">
        <f t="shared" si="110"/>
        <v/>
      </c>
      <c r="O856" s="4" t="str">
        <f t="shared" si="111"/>
        <v/>
      </c>
    </row>
    <row r="857" spans="1:15">
      <c r="A857" s="11"/>
      <c r="B857" s="19"/>
      <c r="C857" s="19"/>
      <c r="D857" s="55"/>
      <c r="E857" s="56"/>
      <c r="F857" s="19"/>
      <c r="G857" s="4" t="str">
        <f t="shared" si="104"/>
        <v/>
      </c>
      <c r="H857" s="11" t="str">
        <f t="shared" si="105"/>
        <v/>
      </c>
      <c r="I857" s="55" t="str">
        <f t="shared" si="106"/>
        <v/>
      </c>
      <c r="J857" s="55" t="str">
        <f t="shared" si="107"/>
        <v/>
      </c>
      <c r="K857" s="4" t="str">
        <f t="shared" si="108"/>
        <v/>
      </c>
      <c r="L857" s="19" t="str">
        <f t="shared" si="109"/>
        <v/>
      </c>
      <c r="M857" s="12" t="str">
        <f>IF(A857="","",IFERROR(INDEX(المدخلات!$M$4:$M$15,MATCH(A857,المدخلات!$L$4:$L$15,0)),""))</f>
        <v/>
      </c>
      <c r="N857" s="4" t="str">
        <f t="shared" si="110"/>
        <v/>
      </c>
      <c r="O857" s="4" t="str">
        <f t="shared" si="111"/>
        <v/>
      </c>
    </row>
    <row r="858" spans="1:15">
      <c r="A858" s="11"/>
      <c r="B858" s="19"/>
      <c r="C858" s="19"/>
      <c r="D858" s="55"/>
      <c r="E858" s="56"/>
      <c r="F858" s="19"/>
      <c r="G858" s="4" t="str">
        <f t="shared" si="104"/>
        <v/>
      </c>
      <c r="H858" s="11" t="str">
        <f t="shared" si="105"/>
        <v/>
      </c>
      <c r="I858" s="55" t="str">
        <f t="shared" si="106"/>
        <v/>
      </c>
      <c r="J858" s="55" t="str">
        <f t="shared" si="107"/>
        <v/>
      </c>
      <c r="K858" s="4" t="str">
        <f t="shared" si="108"/>
        <v/>
      </c>
      <c r="L858" s="19" t="str">
        <f t="shared" si="109"/>
        <v/>
      </c>
      <c r="M858" s="12" t="str">
        <f>IF(A858="","",IFERROR(INDEX(المدخلات!$M$4:$M$15,MATCH(A858,المدخلات!$L$4:$L$15,0)),""))</f>
        <v/>
      </c>
      <c r="N858" s="4" t="str">
        <f t="shared" si="110"/>
        <v/>
      </c>
      <c r="O858" s="4" t="str">
        <f t="shared" si="111"/>
        <v/>
      </c>
    </row>
    <row r="859" spans="1:15">
      <c r="A859" s="11"/>
      <c r="B859" s="19"/>
      <c r="C859" s="19"/>
      <c r="D859" s="55"/>
      <c r="E859" s="56"/>
      <c r="F859" s="19"/>
      <c r="G859" s="4" t="str">
        <f t="shared" si="104"/>
        <v/>
      </c>
      <c r="H859" s="11" t="str">
        <f t="shared" si="105"/>
        <v/>
      </c>
      <c r="I859" s="55" t="str">
        <f t="shared" si="106"/>
        <v/>
      </c>
      <c r="J859" s="55" t="str">
        <f t="shared" si="107"/>
        <v/>
      </c>
      <c r="K859" s="4" t="str">
        <f t="shared" si="108"/>
        <v/>
      </c>
      <c r="L859" s="19" t="str">
        <f t="shared" si="109"/>
        <v/>
      </c>
      <c r="M859" s="12" t="str">
        <f>IF(A859="","",IFERROR(INDEX(المدخلات!$M$4:$M$15,MATCH(A859,المدخلات!$L$4:$L$15,0)),""))</f>
        <v/>
      </c>
      <c r="N859" s="4" t="str">
        <f t="shared" si="110"/>
        <v/>
      </c>
      <c r="O859" s="4" t="str">
        <f t="shared" si="111"/>
        <v/>
      </c>
    </row>
    <row r="860" spans="1:15">
      <c r="A860" s="11"/>
      <c r="B860" s="19"/>
      <c r="C860" s="19"/>
      <c r="D860" s="55"/>
      <c r="E860" s="56"/>
      <c r="F860" s="19"/>
      <c r="G860" s="4" t="str">
        <f t="shared" si="104"/>
        <v/>
      </c>
      <c r="H860" s="11" t="str">
        <f t="shared" si="105"/>
        <v/>
      </c>
      <c r="I860" s="55" t="str">
        <f t="shared" si="106"/>
        <v/>
      </c>
      <c r="J860" s="55" t="str">
        <f t="shared" si="107"/>
        <v/>
      </c>
      <c r="K860" s="4" t="str">
        <f t="shared" si="108"/>
        <v/>
      </c>
      <c r="L860" s="19" t="str">
        <f t="shared" si="109"/>
        <v/>
      </c>
      <c r="M860" s="12" t="str">
        <f>IF(A860="","",IFERROR(INDEX(المدخلات!$M$4:$M$15,MATCH(A860,المدخلات!$L$4:$L$15,0)),""))</f>
        <v/>
      </c>
      <c r="N860" s="4" t="str">
        <f t="shared" si="110"/>
        <v/>
      </c>
      <c r="O860" s="4" t="str">
        <f t="shared" si="111"/>
        <v/>
      </c>
    </row>
    <row r="861" spans="1:15">
      <c r="A861" s="11"/>
      <c r="B861" s="19"/>
      <c r="C861" s="19"/>
      <c r="D861" s="55"/>
      <c r="E861" s="56"/>
      <c r="F861" s="19"/>
      <c r="G861" s="4" t="str">
        <f t="shared" si="104"/>
        <v/>
      </c>
      <c r="H861" s="11" t="str">
        <f t="shared" si="105"/>
        <v/>
      </c>
      <c r="I861" s="55" t="str">
        <f t="shared" si="106"/>
        <v/>
      </c>
      <c r="J861" s="55" t="str">
        <f t="shared" si="107"/>
        <v/>
      </c>
      <c r="K861" s="4" t="str">
        <f t="shared" si="108"/>
        <v/>
      </c>
      <c r="L861" s="19" t="str">
        <f t="shared" si="109"/>
        <v/>
      </c>
      <c r="M861" s="12" t="str">
        <f>IF(A861="","",IFERROR(INDEX(المدخلات!$M$4:$M$15,MATCH(A861,المدخلات!$L$4:$L$15,0)),""))</f>
        <v/>
      </c>
      <c r="N861" s="4" t="str">
        <f t="shared" si="110"/>
        <v/>
      </c>
      <c r="O861" s="4" t="str">
        <f t="shared" si="111"/>
        <v/>
      </c>
    </row>
    <row r="862" spans="1:15">
      <c r="A862" s="11"/>
      <c r="B862" s="19"/>
      <c r="C862" s="19"/>
      <c r="D862" s="55"/>
      <c r="E862" s="56"/>
      <c r="F862" s="19"/>
      <c r="G862" s="4" t="str">
        <f t="shared" si="104"/>
        <v/>
      </c>
      <c r="H862" s="11" t="str">
        <f t="shared" si="105"/>
        <v/>
      </c>
      <c r="I862" s="55" t="str">
        <f t="shared" si="106"/>
        <v/>
      </c>
      <c r="J862" s="55" t="str">
        <f t="shared" si="107"/>
        <v/>
      </c>
      <c r="K862" s="4" t="str">
        <f t="shared" si="108"/>
        <v/>
      </c>
      <c r="L862" s="19" t="str">
        <f t="shared" si="109"/>
        <v/>
      </c>
      <c r="M862" s="12" t="str">
        <f>IF(A862="","",IFERROR(INDEX(المدخلات!$M$4:$M$15,MATCH(A862,المدخلات!$L$4:$L$15,0)),""))</f>
        <v/>
      </c>
      <c r="N862" s="4" t="str">
        <f t="shared" si="110"/>
        <v/>
      </c>
      <c r="O862" s="4" t="str">
        <f t="shared" si="111"/>
        <v/>
      </c>
    </row>
    <row r="863" spans="1:15">
      <c r="A863" s="11"/>
      <c r="B863" s="19"/>
      <c r="C863" s="19"/>
      <c r="D863" s="55"/>
      <c r="E863" s="56"/>
      <c r="F863" s="19"/>
      <c r="G863" s="4" t="str">
        <f t="shared" si="104"/>
        <v/>
      </c>
      <c r="H863" s="11" t="str">
        <f t="shared" si="105"/>
        <v/>
      </c>
      <c r="I863" s="55" t="str">
        <f t="shared" si="106"/>
        <v/>
      </c>
      <c r="J863" s="55" t="str">
        <f t="shared" si="107"/>
        <v/>
      </c>
      <c r="K863" s="4" t="str">
        <f t="shared" si="108"/>
        <v/>
      </c>
      <c r="L863" s="19" t="str">
        <f t="shared" si="109"/>
        <v/>
      </c>
      <c r="M863" s="12" t="str">
        <f>IF(A863="","",IFERROR(INDEX(المدخلات!$M$4:$M$15,MATCH(A863,المدخلات!$L$4:$L$15,0)),""))</f>
        <v/>
      </c>
      <c r="N863" s="4" t="str">
        <f t="shared" si="110"/>
        <v/>
      </c>
      <c r="O863" s="4" t="str">
        <f t="shared" si="111"/>
        <v/>
      </c>
    </row>
    <row r="864" spans="1:15">
      <c r="A864" s="11"/>
      <c r="B864" s="19"/>
      <c r="C864" s="19"/>
      <c r="D864" s="55"/>
      <c r="E864" s="56"/>
      <c r="F864" s="19"/>
      <c r="G864" s="4" t="str">
        <f t="shared" si="104"/>
        <v/>
      </c>
      <c r="H864" s="11" t="str">
        <f t="shared" si="105"/>
        <v/>
      </c>
      <c r="I864" s="55" t="str">
        <f t="shared" si="106"/>
        <v/>
      </c>
      <c r="J864" s="55" t="str">
        <f t="shared" si="107"/>
        <v/>
      </c>
      <c r="K864" s="4" t="str">
        <f t="shared" si="108"/>
        <v/>
      </c>
      <c r="L864" s="19" t="str">
        <f t="shared" si="109"/>
        <v/>
      </c>
      <c r="M864" s="12" t="str">
        <f>IF(A864="","",IFERROR(INDEX(المدخلات!$M$4:$M$15,MATCH(A864,المدخلات!$L$4:$L$15,0)),""))</f>
        <v/>
      </c>
      <c r="N864" s="4" t="str">
        <f t="shared" si="110"/>
        <v/>
      </c>
      <c r="O864" s="4" t="str">
        <f t="shared" si="111"/>
        <v/>
      </c>
    </row>
    <row r="865" spans="1:15">
      <c r="A865" s="11"/>
      <c r="B865" s="19"/>
      <c r="C865" s="19"/>
      <c r="D865" s="55"/>
      <c r="E865" s="56"/>
      <c r="F865" s="19"/>
      <c r="G865" s="4" t="str">
        <f t="shared" si="104"/>
        <v/>
      </c>
      <c r="H865" s="11" t="str">
        <f t="shared" si="105"/>
        <v/>
      </c>
      <c r="I865" s="55" t="str">
        <f t="shared" si="106"/>
        <v/>
      </c>
      <c r="J865" s="55" t="str">
        <f t="shared" si="107"/>
        <v/>
      </c>
      <c r="K865" s="4" t="str">
        <f t="shared" si="108"/>
        <v/>
      </c>
      <c r="L865" s="19" t="str">
        <f t="shared" si="109"/>
        <v/>
      </c>
      <c r="M865" s="12" t="str">
        <f>IF(A865="","",IFERROR(INDEX(المدخلات!$M$4:$M$15,MATCH(A865,المدخلات!$L$4:$L$15,0)),""))</f>
        <v/>
      </c>
      <c r="N865" s="4" t="str">
        <f t="shared" si="110"/>
        <v/>
      </c>
      <c r="O865" s="4" t="str">
        <f t="shared" si="111"/>
        <v/>
      </c>
    </row>
    <row r="866" spans="1:15">
      <c r="A866" s="11"/>
      <c r="B866" s="19"/>
      <c r="C866" s="19"/>
      <c r="D866" s="55"/>
      <c r="E866" s="56"/>
      <c r="F866" s="19"/>
      <c r="G866" s="4" t="str">
        <f t="shared" si="104"/>
        <v/>
      </c>
      <c r="H866" s="11" t="str">
        <f t="shared" si="105"/>
        <v/>
      </c>
      <c r="I866" s="55" t="str">
        <f t="shared" si="106"/>
        <v/>
      </c>
      <c r="J866" s="55" t="str">
        <f t="shared" si="107"/>
        <v/>
      </c>
      <c r="K866" s="4" t="str">
        <f t="shared" si="108"/>
        <v/>
      </c>
      <c r="L866" s="19" t="str">
        <f t="shared" si="109"/>
        <v/>
      </c>
      <c r="M866" s="12" t="str">
        <f>IF(A866="","",IFERROR(INDEX(المدخلات!$M$4:$M$15,MATCH(A866,المدخلات!$L$4:$L$15,0)),""))</f>
        <v/>
      </c>
      <c r="N866" s="4" t="str">
        <f t="shared" si="110"/>
        <v/>
      </c>
      <c r="O866" s="4" t="str">
        <f t="shared" si="111"/>
        <v/>
      </c>
    </row>
    <row r="867" spans="1:15">
      <c r="A867" s="11"/>
      <c r="B867" s="19"/>
      <c r="C867" s="19"/>
      <c r="D867" s="55"/>
      <c r="E867" s="56"/>
      <c r="F867" s="19"/>
      <c r="G867" s="4" t="str">
        <f t="shared" si="104"/>
        <v/>
      </c>
      <c r="H867" s="11" t="str">
        <f t="shared" si="105"/>
        <v/>
      </c>
      <c r="I867" s="55" t="str">
        <f t="shared" si="106"/>
        <v/>
      </c>
      <c r="J867" s="55" t="str">
        <f t="shared" si="107"/>
        <v/>
      </c>
      <c r="K867" s="4" t="str">
        <f t="shared" si="108"/>
        <v/>
      </c>
      <c r="L867" s="19" t="str">
        <f t="shared" si="109"/>
        <v/>
      </c>
      <c r="M867" s="12" t="str">
        <f>IF(A867="","",IFERROR(INDEX(المدخلات!$M$4:$M$15,MATCH(A867,المدخلات!$L$4:$L$15,0)),""))</f>
        <v/>
      </c>
      <c r="N867" s="4" t="str">
        <f t="shared" si="110"/>
        <v/>
      </c>
      <c r="O867" s="4" t="str">
        <f t="shared" si="111"/>
        <v/>
      </c>
    </row>
    <row r="868" spans="1:15">
      <c r="A868" s="11"/>
      <c r="B868" s="19"/>
      <c r="C868" s="19"/>
      <c r="D868" s="55"/>
      <c r="E868" s="56"/>
      <c r="F868" s="19"/>
      <c r="G868" s="4" t="str">
        <f t="shared" si="104"/>
        <v/>
      </c>
      <c r="H868" s="11" t="str">
        <f t="shared" si="105"/>
        <v/>
      </c>
      <c r="I868" s="55" t="str">
        <f t="shared" si="106"/>
        <v/>
      </c>
      <c r="J868" s="55" t="str">
        <f t="shared" si="107"/>
        <v/>
      </c>
      <c r="K868" s="4" t="str">
        <f t="shared" si="108"/>
        <v/>
      </c>
      <c r="L868" s="19" t="str">
        <f t="shared" si="109"/>
        <v/>
      </c>
      <c r="M868" s="12" t="str">
        <f>IF(A868="","",IFERROR(INDEX(المدخلات!$M$4:$M$15,MATCH(A868,المدخلات!$L$4:$L$15,0)),""))</f>
        <v/>
      </c>
      <c r="N868" s="4" t="str">
        <f t="shared" si="110"/>
        <v/>
      </c>
      <c r="O868" s="4" t="str">
        <f t="shared" si="111"/>
        <v/>
      </c>
    </row>
    <row r="869" spans="1:15">
      <c r="A869" s="11"/>
      <c r="B869" s="19"/>
      <c r="C869" s="19"/>
      <c r="D869" s="55"/>
      <c r="E869" s="56"/>
      <c r="F869" s="19"/>
      <c r="G869" s="4" t="str">
        <f t="shared" si="104"/>
        <v/>
      </c>
      <c r="H869" s="11" t="str">
        <f t="shared" si="105"/>
        <v/>
      </c>
      <c r="I869" s="55" t="str">
        <f t="shared" si="106"/>
        <v/>
      </c>
      <c r="J869" s="55" t="str">
        <f t="shared" si="107"/>
        <v/>
      </c>
      <c r="K869" s="4" t="str">
        <f t="shared" si="108"/>
        <v/>
      </c>
      <c r="L869" s="19" t="str">
        <f t="shared" si="109"/>
        <v/>
      </c>
      <c r="M869" s="12" t="str">
        <f>IF(A869="","",IFERROR(INDEX(المدخلات!$M$4:$M$15,MATCH(A869,المدخلات!$L$4:$L$15,0)),""))</f>
        <v/>
      </c>
      <c r="N869" s="4" t="str">
        <f t="shared" si="110"/>
        <v/>
      </c>
      <c r="O869" s="4" t="str">
        <f t="shared" si="111"/>
        <v/>
      </c>
    </row>
    <row r="870" spans="1:15">
      <c r="A870" s="11"/>
      <c r="B870" s="19"/>
      <c r="C870" s="19"/>
      <c r="D870" s="55"/>
      <c r="E870" s="56"/>
      <c r="F870" s="19"/>
      <c r="G870" s="4" t="str">
        <f t="shared" si="104"/>
        <v/>
      </c>
      <c r="H870" s="11" t="str">
        <f t="shared" si="105"/>
        <v/>
      </c>
      <c r="I870" s="55" t="str">
        <f t="shared" si="106"/>
        <v/>
      </c>
      <c r="J870" s="55" t="str">
        <f t="shared" si="107"/>
        <v/>
      </c>
      <c r="K870" s="4" t="str">
        <f t="shared" si="108"/>
        <v/>
      </c>
      <c r="L870" s="19" t="str">
        <f t="shared" si="109"/>
        <v/>
      </c>
      <c r="M870" s="12" t="str">
        <f>IF(A870="","",IFERROR(INDEX(المدخلات!$M$4:$M$15,MATCH(A870,المدخلات!$L$4:$L$15,0)),""))</f>
        <v/>
      </c>
      <c r="N870" s="4" t="str">
        <f t="shared" si="110"/>
        <v/>
      </c>
      <c r="O870" s="4" t="str">
        <f t="shared" si="111"/>
        <v/>
      </c>
    </row>
    <row r="871" spans="1:15">
      <c r="A871" s="11"/>
      <c r="B871" s="19"/>
      <c r="C871" s="19"/>
      <c r="D871" s="55"/>
      <c r="E871" s="56"/>
      <c r="F871" s="19"/>
      <c r="G871" s="4" t="str">
        <f t="shared" si="104"/>
        <v/>
      </c>
      <c r="H871" s="11" t="str">
        <f t="shared" si="105"/>
        <v/>
      </c>
      <c r="I871" s="55" t="str">
        <f t="shared" si="106"/>
        <v/>
      </c>
      <c r="J871" s="55" t="str">
        <f t="shared" si="107"/>
        <v/>
      </c>
      <c r="K871" s="4" t="str">
        <f t="shared" si="108"/>
        <v/>
      </c>
      <c r="L871" s="19" t="str">
        <f t="shared" si="109"/>
        <v/>
      </c>
      <c r="M871" s="12" t="str">
        <f>IF(A871="","",IFERROR(INDEX(المدخلات!$M$4:$M$15,MATCH(A871,المدخلات!$L$4:$L$15,0)),""))</f>
        <v/>
      </c>
      <c r="N871" s="4" t="str">
        <f t="shared" si="110"/>
        <v/>
      </c>
      <c r="O871" s="4" t="str">
        <f t="shared" si="111"/>
        <v/>
      </c>
    </row>
    <row r="872" spans="1:15">
      <c r="A872" s="11"/>
      <c r="B872" s="19"/>
      <c r="C872" s="19"/>
      <c r="D872" s="55"/>
      <c r="E872" s="56"/>
      <c r="F872" s="19"/>
      <c r="G872" s="4" t="str">
        <f t="shared" si="104"/>
        <v/>
      </c>
      <c r="H872" s="11" t="str">
        <f t="shared" si="105"/>
        <v/>
      </c>
      <c r="I872" s="55" t="str">
        <f t="shared" si="106"/>
        <v/>
      </c>
      <c r="J872" s="55" t="str">
        <f t="shared" si="107"/>
        <v/>
      </c>
      <c r="K872" s="4" t="str">
        <f t="shared" si="108"/>
        <v/>
      </c>
      <c r="L872" s="19" t="str">
        <f t="shared" si="109"/>
        <v/>
      </c>
      <c r="M872" s="12" t="str">
        <f>IF(A872="","",IFERROR(INDEX(المدخلات!$M$4:$M$15,MATCH(A872,المدخلات!$L$4:$L$15,0)),""))</f>
        <v/>
      </c>
      <c r="N872" s="4" t="str">
        <f t="shared" si="110"/>
        <v/>
      </c>
      <c r="O872" s="4" t="str">
        <f t="shared" si="111"/>
        <v/>
      </c>
    </row>
    <row r="873" spans="1:15">
      <c r="A873" s="11"/>
      <c r="B873" s="19"/>
      <c r="C873" s="19"/>
      <c r="D873" s="55"/>
      <c r="E873" s="56"/>
      <c r="F873" s="19"/>
      <c r="G873" s="4" t="str">
        <f t="shared" si="104"/>
        <v/>
      </c>
      <c r="H873" s="11" t="str">
        <f t="shared" si="105"/>
        <v/>
      </c>
      <c r="I873" s="55" t="str">
        <f t="shared" si="106"/>
        <v/>
      </c>
      <c r="J873" s="55" t="str">
        <f t="shared" si="107"/>
        <v/>
      </c>
      <c r="K873" s="4" t="str">
        <f t="shared" si="108"/>
        <v/>
      </c>
      <c r="L873" s="19" t="str">
        <f t="shared" si="109"/>
        <v/>
      </c>
      <c r="M873" s="12" t="str">
        <f>IF(A873="","",IFERROR(INDEX(المدخلات!$M$4:$M$15,MATCH(A873,المدخلات!$L$4:$L$15,0)),""))</f>
        <v/>
      </c>
      <c r="N873" s="4" t="str">
        <f t="shared" si="110"/>
        <v/>
      </c>
      <c r="O873" s="4" t="str">
        <f t="shared" si="111"/>
        <v/>
      </c>
    </row>
    <row r="874" spans="1:15">
      <c r="A874" s="11"/>
      <c r="B874" s="19"/>
      <c r="C874" s="19"/>
      <c r="D874" s="55"/>
      <c r="E874" s="56"/>
      <c r="F874" s="19"/>
      <c r="G874" s="4" t="str">
        <f t="shared" si="104"/>
        <v/>
      </c>
      <c r="H874" s="11" t="str">
        <f t="shared" si="105"/>
        <v/>
      </c>
      <c r="I874" s="55" t="str">
        <f t="shared" si="106"/>
        <v/>
      </c>
      <c r="J874" s="55" t="str">
        <f t="shared" si="107"/>
        <v/>
      </c>
      <c r="K874" s="4" t="str">
        <f t="shared" si="108"/>
        <v/>
      </c>
      <c r="L874" s="19" t="str">
        <f t="shared" si="109"/>
        <v/>
      </c>
      <c r="M874" s="12" t="str">
        <f>IF(A874="","",IFERROR(INDEX(المدخلات!$M$4:$M$15,MATCH(A874,المدخلات!$L$4:$L$15,0)),""))</f>
        <v/>
      </c>
      <c r="N874" s="4" t="str">
        <f t="shared" si="110"/>
        <v/>
      </c>
      <c r="O874" s="4" t="str">
        <f t="shared" si="111"/>
        <v/>
      </c>
    </row>
    <row r="875" spans="1:15">
      <c r="A875" s="11"/>
      <c r="B875" s="19"/>
      <c r="C875" s="19"/>
      <c r="D875" s="55"/>
      <c r="E875" s="56"/>
      <c r="F875" s="19"/>
      <c r="G875" s="4" t="str">
        <f t="shared" si="104"/>
        <v/>
      </c>
      <c r="H875" s="11" t="str">
        <f t="shared" si="105"/>
        <v/>
      </c>
      <c r="I875" s="55" t="str">
        <f t="shared" si="106"/>
        <v/>
      </c>
      <c r="J875" s="55" t="str">
        <f t="shared" si="107"/>
        <v/>
      </c>
      <c r="K875" s="4" t="str">
        <f t="shared" si="108"/>
        <v/>
      </c>
      <c r="L875" s="19" t="str">
        <f t="shared" si="109"/>
        <v/>
      </c>
      <c r="M875" s="12" t="str">
        <f>IF(A875="","",IFERROR(INDEX(المدخلات!$M$4:$M$15,MATCH(A875,المدخلات!$L$4:$L$15,0)),""))</f>
        <v/>
      </c>
      <c r="N875" s="4" t="str">
        <f t="shared" si="110"/>
        <v/>
      </c>
      <c r="O875" s="4" t="str">
        <f t="shared" si="111"/>
        <v/>
      </c>
    </row>
    <row r="876" spans="1:15">
      <c r="A876" s="11"/>
      <c r="B876" s="19"/>
      <c r="C876" s="19"/>
      <c r="D876" s="55"/>
      <c r="E876" s="56"/>
      <c r="F876" s="19"/>
      <c r="G876" s="4" t="str">
        <f t="shared" si="104"/>
        <v/>
      </c>
      <c r="H876" s="11" t="str">
        <f t="shared" si="105"/>
        <v/>
      </c>
      <c r="I876" s="55" t="str">
        <f t="shared" si="106"/>
        <v/>
      </c>
      <c r="J876" s="55" t="str">
        <f t="shared" si="107"/>
        <v/>
      </c>
      <c r="K876" s="4" t="str">
        <f t="shared" si="108"/>
        <v/>
      </c>
      <c r="L876" s="19" t="str">
        <f t="shared" si="109"/>
        <v/>
      </c>
      <c r="M876" s="12" t="str">
        <f>IF(A876="","",IFERROR(INDEX(المدخلات!$M$4:$M$15,MATCH(A876,المدخلات!$L$4:$L$15,0)),""))</f>
        <v/>
      </c>
      <c r="N876" s="4" t="str">
        <f t="shared" si="110"/>
        <v/>
      </c>
      <c r="O876" s="4" t="str">
        <f t="shared" si="111"/>
        <v/>
      </c>
    </row>
    <row r="877" spans="1:15">
      <c r="A877" s="11"/>
      <c r="B877" s="19"/>
      <c r="C877" s="19"/>
      <c r="D877" s="55"/>
      <c r="E877" s="56"/>
      <c r="F877" s="19"/>
      <c r="G877" s="4" t="str">
        <f t="shared" si="104"/>
        <v/>
      </c>
      <c r="H877" s="11" t="str">
        <f t="shared" si="105"/>
        <v/>
      </c>
      <c r="I877" s="55" t="str">
        <f t="shared" si="106"/>
        <v/>
      </c>
      <c r="J877" s="55" t="str">
        <f t="shared" si="107"/>
        <v/>
      </c>
      <c r="K877" s="4" t="str">
        <f t="shared" si="108"/>
        <v/>
      </c>
      <c r="L877" s="19" t="str">
        <f t="shared" si="109"/>
        <v/>
      </c>
      <c r="M877" s="12" t="str">
        <f>IF(A877="","",IFERROR(INDEX(المدخلات!$M$4:$M$15,MATCH(A877,المدخلات!$L$4:$L$15,0)),""))</f>
        <v/>
      </c>
      <c r="N877" s="4" t="str">
        <f t="shared" si="110"/>
        <v/>
      </c>
      <c r="O877" s="4" t="str">
        <f t="shared" si="111"/>
        <v/>
      </c>
    </row>
    <row r="878" spans="1:15">
      <c r="A878" s="11"/>
      <c r="B878" s="19"/>
      <c r="C878" s="19"/>
      <c r="D878" s="55"/>
      <c r="E878" s="56"/>
      <c r="F878" s="19"/>
      <c r="G878" s="4" t="str">
        <f t="shared" si="104"/>
        <v/>
      </c>
      <c r="H878" s="11" t="str">
        <f t="shared" si="105"/>
        <v/>
      </c>
      <c r="I878" s="55" t="str">
        <f t="shared" si="106"/>
        <v/>
      </c>
      <c r="J878" s="55" t="str">
        <f t="shared" si="107"/>
        <v/>
      </c>
      <c r="K878" s="4" t="str">
        <f t="shared" si="108"/>
        <v/>
      </c>
      <c r="L878" s="19" t="str">
        <f t="shared" si="109"/>
        <v/>
      </c>
      <c r="M878" s="12" t="str">
        <f>IF(A878="","",IFERROR(INDEX(المدخلات!$M$4:$M$15,MATCH(A878,المدخلات!$L$4:$L$15,0)),""))</f>
        <v/>
      </c>
      <c r="N878" s="4" t="str">
        <f t="shared" si="110"/>
        <v/>
      </c>
      <c r="O878" s="4" t="str">
        <f t="shared" si="111"/>
        <v/>
      </c>
    </row>
    <row r="879" spans="1:15">
      <c r="A879" s="11"/>
      <c r="B879" s="19"/>
      <c r="C879" s="19"/>
      <c r="D879" s="55"/>
      <c r="E879" s="56"/>
      <c r="F879" s="19"/>
      <c r="G879" s="4" t="str">
        <f t="shared" si="104"/>
        <v/>
      </c>
      <c r="H879" s="11" t="str">
        <f t="shared" si="105"/>
        <v/>
      </c>
      <c r="I879" s="55" t="str">
        <f t="shared" si="106"/>
        <v/>
      </c>
      <c r="J879" s="55" t="str">
        <f t="shared" si="107"/>
        <v/>
      </c>
      <c r="K879" s="4" t="str">
        <f t="shared" si="108"/>
        <v/>
      </c>
      <c r="L879" s="19" t="str">
        <f t="shared" si="109"/>
        <v/>
      </c>
      <c r="M879" s="12" t="str">
        <f>IF(A879="","",IFERROR(INDEX(المدخلات!$M$4:$M$15,MATCH(A879,المدخلات!$L$4:$L$15,0)),""))</f>
        <v/>
      </c>
      <c r="N879" s="4" t="str">
        <f t="shared" si="110"/>
        <v/>
      </c>
      <c r="O879" s="4" t="str">
        <f t="shared" si="111"/>
        <v/>
      </c>
    </row>
    <row r="880" spans="1:15">
      <c r="A880" s="11"/>
      <c r="B880" s="19"/>
      <c r="C880" s="19"/>
      <c r="D880" s="55"/>
      <c r="E880" s="56"/>
      <c r="F880" s="19"/>
      <c r="G880" s="4" t="str">
        <f t="shared" si="104"/>
        <v/>
      </c>
      <c r="H880" s="11" t="str">
        <f t="shared" si="105"/>
        <v/>
      </c>
      <c r="I880" s="55" t="str">
        <f t="shared" si="106"/>
        <v/>
      </c>
      <c r="J880" s="55" t="str">
        <f t="shared" si="107"/>
        <v/>
      </c>
      <c r="K880" s="4" t="str">
        <f t="shared" si="108"/>
        <v/>
      </c>
      <c r="L880" s="19" t="str">
        <f t="shared" si="109"/>
        <v/>
      </c>
      <c r="M880" s="12" t="str">
        <f>IF(A880="","",IFERROR(INDEX(المدخلات!$M$4:$M$15,MATCH(A880,المدخلات!$L$4:$L$15,0)),""))</f>
        <v/>
      </c>
      <c r="N880" s="4" t="str">
        <f t="shared" si="110"/>
        <v/>
      </c>
      <c r="O880" s="4" t="str">
        <f t="shared" si="111"/>
        <v/>
      </c>
    </row>
    <row r="881" spans="1:15">
      <c r="A881" s="11"/>
      <c r="B881" s="19"/>
      <c r="C881" s="19"/>
      <c r="D881" s="55"/>
      <c r="E881" s="56"/>
      <c r="F881" s="19"/>
      <c r="G881" s="4" t="str">
        <f t="shared" si="104"/>
        <v/>
      </c>
      <c r="H881" s="11" t="str">
        <f t="shared" si="105"/>
        <v/>
      </c>
      <c r="I881" s="55" t="str">
        <f t="shared" si="106"/>
        <v/>
      </c>
      <c r="J881" s="55" t="str">
        <f t="shared" si="107"/>
        <v/>
      </c>
      <c r="K881" s="4" t="str">
        <f t="shared" si="108"/>
        <v/>
      </c>
      <c r="L881" s="19" t="str">
        <f t="shared" si="109"/>
        <v/>
      </c>
      <c r="M881" s="12" t="str">
        <f>IF(A881="","",IFERROR(INDEX(المدخلات!$M$4:$M$15,MATCH(A881,المدخلات!$L$4:$L$15,0)),""))</f>
        <v/>
      </c>
      <c r="N881" s="4" t="str">
        <f t="shared" si="110"/>
        <v/>
      </c>
      <c r="O881" s="4" t="str">
        <f t="shared" si="111"/>
        <v/>
      </c>
    </row>
    <row r="882" spans="1:15">
      <c r="A882" s="11"/>
      <c r="B882" s="19"/>
      <c r="C882" s="19"/>
      <c r="D882" s="55"/>
      <c r="E882" s="56"/>
      <c r="F882" s="19"/>
      <c r="G882" s="4" t="str">
        <f t="shared" si="104"/>
        <v/>
      </c>
      <c r="H882" s="11" t="str">
        <f t="shared" si="105"/>
        <v/>
      </c>
      <c r="I882" s="55" t="str">
        <f t="shared" si="106"/>
        <v/>
      </c>
      <c r="J882" s="55" t="str">
        <f t="shared" si="107"/>
        <v/>
      </c>
      <c r="K882" s="4" t="str">
        <f t="shared" si="108"/>
        <v/>
      </c>
      <c r="L882" s="19" t="str">
        <f t="shared" si="109"/>
        <v/>
      </c>
      <c r="M882" s="12" t="str">
        <f>IF(A882="","",IFERROR(INDEX(المدخلات!$M$4:$M$15,MATCH(A882,المدخلات!$L$4:$L$15,0)),""))</f>
        <v/>
      </c>
      <c r="N882" s="4" t="str">
        <f t="shared" si="110"/>
        <v/>
      </c>
      <c r="O882" s="4" t="str">
        <f t="shared" si="111"/>
        <v/>
      </c>
    </row>
    <row r="883" spans="1:15">
      <c r="A883" s="11"/>
      <c r="B883" s="19"/>
      <c r="C883" s="19"/>
      <c r="D883" s="55"/>
      <c r="E883" s="56"/>
      <c r="F883" s="19"/>
      <c r="G883" s="4" t="str">
        <f t="shared" si="104"/>
        <v/>
      </c>
      <c r="H883" s="11" t="str">
        <f t="shared" si="105"/>
        <v/>
      </c>
      <c r="I883" s="55" t="str">
        <f t="shared" si="106"/>
        <v/>
      </c>
      <c r="J883" s="55" t="str">
        <f t="shared" si="107"/>
        <v/>
      </c>
      <c r="K883" s="4" t="str">
        <f t="shared" si="108"/>
        <v/>
      </c>
      <c r="L883" s="19" t="str">
        <f t="shared" si="109"/>
        <v/>
      </c>
      <c r="M883" s="12" t="str">
        <f>IF(A883="","",IFERROR(INDEX(المدخلات!$M$4:$M$15,MATCH(A883,المدخلات!$L$4:$L$15,0)),""))</f>
        <v/>
      </c>
      <c r="N883" s="4" t="str">
        <f t="shared" si="110"/>
        <v/>
      </c>
      <c r="O883" s="4" t="str">
        <f t="shared" si="111"/>
        <v/>
      </c>
    </row>
    <row r="884" spans="1:15">
      <c r="A884" s="11"/>
      <c r="B884" s="19"/>
      <c r="C884" s="19"/>
      <c r="D884" s="55"/>
      <c r="E884" s="56"/>
      <c r="F884" s="19"/>
      <c r="G884" s="4" t="str">
        <f t="shared" si="104"/>
        <v/>
      </c>
      <c r="H884" s="11" t="str">
        <f t="shared" si="105"/>
        <v/>
      </c>
      <c r="I884" s="55" t="str">
        <f t="shared" si="106"/>
        <v/>
      </c>
      <c r="J884" s="55" t="str">
        <f t="shared" si="107"/>
        <v/>
      </c>
      <c r="K884" s="4" t="str">
        <f t="shared" si="108"/>
        <v/>
      </c>
      <c r="L884" s="19" t="str">
        <f t="shared" si="109"/>
        <v/>
      </c>
      <c r="M884" s="12" t="str">
        <f>IF(A884="","",IFERROR(INDEX(المدخلات!$M$4:$M$15,MATCH(A884,المدخلات!$L$4:$L$15,0)),""))</f>
        <v/>
      </c>
      <c r="N884" s="4" t="str">
        <f t="shared" si="110"/>
        <v/>
      </c>
      <c r="O884" s="4" t="str">
        <f t="shared" si="111"/>
        <v/>
      </c>
    </row>
    <row r="885" spans="1:15">
      <c r="A885" s="11"/>
      <c r="B885" s="19"/>
      <c r="C885" s="19"/>
      <c r="D885" s="55"/>
      <c r="E885" s="56"/>
      <c r="F885" s="19"/>
      <c r="G885" s="4" t="str">
        <f t="shared" si="104"/>
        <v/>
      </c>
      <c r="H885" s="11" t="str">
        <f t="shared" si="105"/>
        <v/>
      </c>
      <c r="I885" s="55" t="str">
        <f t="shared" si="106"/>
        <v/>
      </c>
      <c r="J885" s="55" t="str">
        <f t="shared" si="107"/>
        <v/>
      </c>
      <c r="K885" s="4" t="str">
        <f t="shared" si="108"/>
        <v/>
      </c>
      <c r="L885" s="19" t="str">
        <f t="shared" si="109"/>
        <v/>
      </c>
      <c r="M885" s="12" t="str">
        <f>IF(A885="","",IFERROR(INDEX(المدخلات!$M$4:$M$15,MATCH(A885,المدخلات!$L$4:$L$15,0)),""))</f>
        <v/>
      </c>
      <c r="N885" s="4" t="str">
        <f t="shared" si="110"/>
        <v/>
      </c>
      <c r="O885" s="4" t="str">
        <f t="shared" si="111"/>
        <v/>
      </c>
    </row>
    <row r="886" spans="1:15">
      <c r="A886" s="11"/>
      <c r="B886" s="19"/>
      <c r="C886" s="19"/>
      <c r="D886" s="55"/>
      <c r="E886" s="56"/>
      <c r="F886" s="19"/>
      <c r="G886" s="4" t="str">
        <f t="shared" si="104"/>
        <v/>
      </c>
      <c r="H886" s="11" t="str">
        <f t="shared" si="105"/>
        <v/>
      </c>
      <c r="I886" s="55" t="str">
        <f t="shared" si="106"/>
        <v/>
      </c>
      <c r="J886" s="55" t="str">
        <f t="shared" si="107"/>
        <v/>
      </c>
      <c r="K886" s="4" t="str">
        <f t="shared" si="108"/>
        <v/>
      </c>
      <c r="L886" s="19" t="str">
        <f t="shared" si="109"/>
        <v/>
      </c>
      <c r="M886" s="12" t="str">
        <f>IF(A886="","",IFERROR(INDEX(المدخلات!$M$4:$M$15,MATCH(A886,المدخلات!$L$4:$L$15,0)),""))</f>
        <v/>
      </c>
      <c r="N886" s="4" t="str">
        <f t="shared" si="110"/>
        <v/>
      </c>
      <c r="O886" s="4" t="str">
        <f t="shared" si="111"/>
        <v/>
      </c>
    </row>
    <row r="887" spans="1:15">
      <c r="A887" s="11"/>
      <c r="B887" s="19"/>
      <c r="C887" s="19"/>
      <c r="D887" s="55"/>
      <c r="E887" s="56"/>
      <c r="F887" s="19"/>
      <c r="G887" s="4" t="str">
        <f t="shared" si="104"/>
        <v/>
      </c>
      <c r="H887" s="11" t="str">
        <f t="shared" si="105"/>
        <v/>
      </c>
      <c r="I887" s="55" t="str">
        <f t="shared" si="106"/>
        <v/>
      </c>
      <c r="J887" s="55" t="str">
        <f t="shared" si="107"/>
        <v/>
      </c>
      <c r="K887" s="4" t="str">
        <f t="shared" si="108"/>
        <v/>
      </c>
      <c r="L887" s="19" t="str">
        <f t="shared" si="109"/>
        <v/>
      </c>
      <c r="M887" s="12" t="str">
        <f>IF(A887="","",IFERROR(INDEX(المدخلات!$M$4:$M$15,MATCH(A887,المدخلات!$L$4:$L$15,0)),""))</f>
        <v/>
      </c>
      <c r="N887" s="4" t="str">
        <f t="shared" si="110"/>
        <v/>
      </c>
      <c r="O887" s="4" t="str">
        <f t="shared" si="111"/>
        <v/>
      </c>
    </row>
    <row r="888" spans="1:15">
      <c r="A888" s="11"/>
      <c r="B888" s="19"/>
      <c r="C888" s="19"/>
      <c r="D888" s="55"/>
      <c r="E888" s="56"/>
      <c r="F888" s="19"/>
      <c r="G888" s="4" t="str">
        <f t="shared" si="104"/>
        <v/>
      </c>
      <c r="H888" s="11" t="str">
        <f t="shared" si="105"/>
        <v/>
      </c>
      <c r="I888" s="55" t="str">
        <f t="shared" si="106"/>
        <v/>
      </c>
      <c r="J888" s="55" t="str">
        <f t="shared" si="107"/>
        <v/>
      </c>
      <c r="K888" s="4" t="str">
        <f t="shared" si="108"/>
        <v/>
      </c>
      <c r="L888" s="19" t="str">
        <f t="shared" si="109"/>
        <v/>
      </c>
      <c r="M888" s="12" t="str">
        <f>IF(A888="","",IFERROR(INDEX(المدخلات!$M$4:$M$15,MATCH(A888,المدخلات!$L$4:$L$15,0)),""))</f>
        <v/>
      </c>
      <c r="N888" s="4" t="str">
        <f t="shared" si="110"/>
        <v/>
      </c>
      <c r="O888" s="4" t="str">
        <f t="shared" si="111"/>
        <v/>
      </c>
    </row>
    <row r="889" spans="1:15">
      <c r="A889" s="11"/>
      <c r="B889" s="19"/>
      <c r="C889" s="19"/>
      <c r="D889" s="55"/>
      <c r="E889" s="56"/>
      <c r="F889" s="19"/>
      <c r="G889" s="4" t="str">
        <f t="shared" si="104"/>
        <v/>
      </c>
      <c r="H889" s="11" t="str">
        <f t="shared" si="105"/>
        <v/>
      </c>
      <c r="I889" s="55" t="str">
        <f t="shared" si="106"/>
        <v/>
      </c>
      <c r="J889" s="55" t="str">
        <f t="shared" si="107"/>
        <v/>
      </c>
      <c r="K889" s="4" t="str">
        <f t="shared" si="108"/>
        <v/>
      </c>
      <c r="L889" s="19" t="str">
        <f t="shared" si="109"/>
        <v/>
      </c>
      <c r="M889" s="12" t="str">
        <f>IF(A889="","",IFERROR(INDEX(المدخلات!$M$4:$M$15,MATCH(A889,المدخلات!$L$4:$L$15,0)),""))</f>
        <v/>
      </c>
      <c r="N889" s="4" t="str">
        <f t="shared" si="110"/>
        <v/>
      </c>
      <c r="O889" s="4" t="str">
        <f t="shared" si="111"/>
        <v/>
      </c>
    </row>
    <row r="890" spans="1:15">
      <c r="A890" s="11"/>
      <c r="B890" s="19"/>
      <c r="C890" s="19"/>
      <c r="D890" s="55"/>
      <c r="E890" s="56"/>
      <c r="F890" s="19"/>
      <c r="G890" s="4" t="str">
        <f t="shared" si="104"/>
        <v/>
      </c>
      <c r="H890" s="11" t="str">
        <f t="shared" si="105"/>
        <v/>
      </c>
      <c r="I890" s="55" t="str">
        <f t="shared" si="106"/>
        <v/>
      </c>
      <c r="J890" s="55" t="str">
        <f t="shared" si="107"/>
        <v/>
      </c>
      <c r="K890" s="4" t="str">
        <f t="shared" si="108"/>
        <v/>
      </c>
      <c r="L890" s="19" t="str">
        <f t="shared" si="109"/>
        <v/>
      </c>
      <c r="M890" s="12" t="str">
        <f>IF(A890="","",IFERROR(INDEX(المدخلات!$M$4:$M$15,MATCH(A890,المدخلات!$L$4:$L$15,0)),""))</f>
        <v/>
      </c>
      <c r="N890" s="4" t="str">
        <f t="shared" si="110"/>
        <v/>
      </c>
      <c r="O890" s="4" t="str">
        <f t="shared" si="111"/>
        <v/>
      </c>
    </row>
    <row r="891" spans="1:15">
      <c r="A891" s="11"/>
      <c r="B891" s="19"/>
      <c r="C891" s="19"/>
      <c r="D891" s="55"/>
      <c r="E891" s="56"/>
      <c r="F891" s="19"/>
      <c r="G891" s="4" t="str">
        <f t="shared" si="104"/>
        <v/>
      </c>
      <c r="H891" s="11" t="str">
        <f t="shared" si="105"/>
        <v/>
      </c>
      <c r="I891" s="55" t="str">
        <f t="shared" si="106"/>
        <v/>
      </c>
      <c r="J891" s="55" t="str">
        <f t="shared" si="107"/>
        <v/>
      </c>
      <c r="K891" s="4" t="str">
        <f t="shared" si="108"/>
        <v/>
      </c>
      <c r="L891" s="19" t="str">
        <f t="shared" si="109"/>
        <v/>
      </c>
      <c r="M891" s="12" t="str">
        <f>IF(A891="","",IFERROR(INDEX(المدخلات!$M$4:$M$15,MATCH(A891,المدخلات!$L$4:$L$15,0)),""))</f>
        <v/>
      </c>
      <c r="N891" s="4" t="str">
        <f t="shared" si="110"/>
        <v/>
      </c>
      <c r="O891" s="4" t="str">
        <f t="shared" si="111"/>
        <v/>
      </c>
    </row>
    <row r="892" spans="1:15">
      <c r="A892" s="11"/>
      <c r="B892" s="19"/>
      <c r="C892" s="19"/>
      <c r="D892" s="55"/>
      <c r="E892" s="56"/>
      <c r="F892" s="19"/>
      <c r="G892" s="4" t="str">
        <f t="shared" si="104"/>
        <v/>
      </c>
      <c r="H892" s="11" t="str">
        <f t="shared" si="105"/>
        <v/>
      </c>
      <c r="I892" s="55" t="str">
        <f t="shared" si="106"/>
        <v/>
      </c>
      <c r="J892" s="55" t="str">
        <f t="shared" si="107"/>
        <v/>
      </c>
      <c r="K892" s="4" t="str">
        <f t="shared" si="108"/>
        <v/>
      </c>
      <c r="L892" s="19" t="str">
        <f t="shared" si="109"/>
        <v/>
      </c>
      <c r="M892" s="12" t="str">
        <f>IF(A892="","",IFERROR(INDEX(المدخلات!$M$4:$M$15,MATCH(A892,المدخلات!$L$4:$L$15,0)),""))</f>
        <v/>
      </c>
      <c r="N892" s="4" t="str">
        <f t="shared" si="110"/>
        <v/>
      </c>
      <c r="O892" s="4" t="str">
        <f t="shared" si="111"/>
        <v/>
      </c>
    </row>
    <row r="893" spans="1:15">
      <c r="A893" s="11"/>
      <c r="B893" s="19"/>
      <c r="C893" s="19"/>
      <c r="D893" s="55"/>
      <c r="E893" s="56"/>
      <c r="F893" s="19"/>
      <c r="G893" s="4" t="str">
        <f t="shared" si="104"/>
        <v/>
      </c>
      <c r="H893" s="11" t="str">
        <f t="shared" si="105"/>
        <v/>
      </c>
      <c r="I893" s="55" t="str">
        <f t="shared" si="106"/>
        <v/>
      </c>
      <c r="J893" s="55" t="str">
        <f t="shared" si="107"/>
        <v/>
      </c>
      <c r="K893" s="4" t="str">
        <f t="shared" si="108"/>
        <v/>
      </c>
      <c r="L893" s="19" t="str">
        <f t="shared" si="109"/>
        <v/>
      </c>
      <c r="M893" s="12" t="str">
        <f>IF(A893="","",IFERROR(INDEX(المدخلات!$M$4:$M$15,MATCH(A893,المدخلات!$L$4:$L$15,0)),""))</f>
        <v/>
      </c>
      <c r="N893" s="4" t="str">
        <f t="shared" si="110"/>
        <v/>
      </c>
      <c r="O893" s="4" t="str">
        <f t="shared" si="111"/>
        <v/>
      </c>
    </row>
    <row r="894" spans="1:15">
      <c r="A894" s="11"/>
      <c r="B894" s="19"/>
      <c r="C894" s="19"/>
      <c r="D894" s="55"/>
      <c r="E894" s="56"/>
      <c r="F894" s="19"/>
      <c r="G894" s="4" t="str">
        <f t="shared" si="104"/>
        <v/>
      </c>
      <c r="H894" s="11" t="str">
        <f t="shared" si="105"/>
        <v/>
      </c>
      <c r="I894" s="55" t="str">
        <f t="shared" si="106"/>
        <v/>
      </c>
      <c r="J894" s="55" t="str">
        <f t="shared" si="107"/>
        <v/>
      </c>
      <c r="K894" s="4" t="str">
        <f t="shared" si="108"/>
        <v/>
      </c>
      <c r="L894" s="19" t="str">
        <f t="shared" si="109"/>
        <v/>
      </c>
      <c r="M894" s="12" t="str">
        <f>IF(A894="","",IFERROR(INDEX(المدخلات!$M$4:$M$15,MATCH(A894,المدخلات!$L$4:$L$15,0)),""))</f>
        <v/>
      </c>
      <c r="N894" s="4" t="str">
        <f t="shared" si="110"/>
        <v/>
      </c>
      <c r="O894" s="4" t="str">
        <f t="shared" si="111"/>
        <v/>
      </c>
    </row>
    <row r="895" spans="1:15">
      <c r="A895" s="11"/>
      <c r="B895" s="19"/>
      <c r="C895" s="19"/>
      <c r="D895" s="55"/>
      <c r="E895" s="56"/>
      <c r="F895" s="19"/>
      <c r="G895" s="4" t="str">
        <f t="shared" si="104"/>
        <v/>
      </c>
      <c r="H895" s="11" t="str">
        <f t="shared" si="105"/>
        <v/>
      </c>
      <c r="I895" s="55" t="str">
        <f t="shared" si="106"/>
        <v/>
      </c>
      <c r="J895" s="55" t="str">
        <f t="shared" si="107"/>
        <v/>
      </c>
      <c r="K895" s="4" t="str">
        <f t="shared" si="108"/>
        <v/>
      </c>
      <c r="L895" s="19" t="str">
        <f t="shared" si="109"/>
        <v/>
      </c>
      <c r="M895" s="12" t="str">
        <f>IF(A895="","",IFERROR(INDEX(المدخلات!$M$4:$M$15,MATCH(A895,المدخلات!$L$4:$L$15,0)),""))</f>
        <v/>
      </c>
      <c r="N895" s="4" t="str">
        <f t="shared" si="110"/>
        <v/>
      </c>
      <c r="O895" s="4" t="str">
        <f t="shared" si="111"/>
        <v/>
      </c>
    </row>
    <row r="896" spans="1:15">
      <c r="A896" s="11"/>
      <c r="B896" s="19"/>
      <c r="C896" s="19"/>
      <c r="D896" s="55"/>
      <c r="E896" s="56"/>
      <c r="F896" s="19"/>
      <c r="G896" s="4" t="str">
        <f t="shared" si="104"/>
        <v/>
      </c>
      <c r="H896" s="11" t="str">
        <f t="shared" si="105"/>
        <v/>
      </c>
      <c r="I896" s="55" t="str">
        <f t="shared" si="106"/>
        <v/>
      </c>
      <c r="J896" s="55" t="str">
        <f t="shared" si="107"/>
        <v/>
      </c>
      <c r="K896" s="4" t="str">
        <f t="shared" si="108"/>
        <v/>
      </c>
      <c r="L896" s="19" t="str">
        <f t="shared" si="109"/>
        <v/>
      </c>
      <c r="M896" s="12" t="str">
        <f>IF(A896="","",IFERROR(INDEX(المدخلات!$M$4:$M$15,MATCH(A896,المدخلات!$L$4:$L$15,0)),""))</f>
        <v/>
      </c>
      <c r="N896" s="4" t="str">
        <f t="shared" si="110"/>
        <v/>
      </c>
      <c r="O896" s="4" t="str">
        <f t="shared" si="111"/>
        <v/>
      </c>
    </row>
    <row r="897" spans="1:15">
      <c r="A897" s="11"/>
      <c r="B897" s="19"/>
      <c r="C897" s="19"/>
      <c r="D897" s="55"/>
      <c r="E897" s="56"/>
      <c r="F897" s="19"/>
      <c r="G897" s="4" t="str">
        <f t="shared" si="104"/>
        <v/>
      </c>
      <c r="H897" s="11" t="str">
        <f t="shared" si="105"/>
        <v/>
      </c>
      <c r="I897" s="55" t="str">
        <f t="shared" si="106"/>
        <v/>
      </c>
      <c r="J897" s="55" t="str">
        <f t="shared" si="107"/>
        <v/>
      </c>
      <c r="K897" s="4" t="str">
        <f t="shared" si="108"/>
        <v/>
      </c>
      <c r="L897" s="19" t="str">
        <f t="shared" si="109"/>
        <v/>
      </c>
      <c r="M897" s="12" t="str">
        <f>IF(A897="","",IFERROR(INDEX(المدخلات!$M$4:$M$15,MATCH(A897,المدخلات!$L$4:$L$15,0)),""))</f>
        <v/>
      </c>
      <c r="N897" s="4" t="str">
        <f t="shared" si="110"/>
        <v/>
      </c>
      <c r="O897" s="4" t="str">
        <f t="shared" si="111"/>
        <v/>
      </c>
    </row>
    <row r="898" spans="1:15">
      <c r="A898" s="11"/>
      <c r="B898" s="19"/>
      <c r="C898" s="19"/>
      <c r="D898" s="55"/>
      <c r="E898" s="56"/>
      <c r="F898" s="19"/>
      <c r="G898" s="4" t="str">
        <f t="shared" si="104"/>
        <v/>
      </c>
      <c r="H898" s="11" t="str">
        <f t="shared" si="105"/>
        <v/>
      </c>
      <c r="I898" s="55" t="str">
        <f t="shared" si="106"/>
        <v/>
      </c>
      <c r="J898" s="55" t="str">
        <f t="shared" si="107"/>
        <v/>
      </c>
      <c r="K898" s="4" t="str">
        <f t="shared" si="108"/>
        <v/>
      </c>
      <c r="L898" s="19" t="str">
        <f t="shared" si="109"/>
        <v/>
      </c>
      <c r="M898" s="12" t="str">
        <f>IF(A898="","",IFERROR(INDEX(المدخلات!$M$4:$M$15,MATCH(A898,المدخلات!$L$4:$L$15,0)),""))</f>
        <v/>
      </c>
      <c r="N898" s="4" t="str">
        <f t="shared" si="110"/>
        <v/>
      </c>
      <c r="O898" s="4" t="str">
        <f t="shared" si="111"/>
        <v/>
      </c>
    </row>
    <row r="899" spans="1:15">
      <c r="A899" s="11"/>
      <c r="B899" s="19"/>
      <c r="C899" s="19"/>
      <c r="D899" s="55"/>
      <c r="E899" s="56"/>
      <c r="F899" s="19"/>
      <c r="G899" s="4" t="str">
        <f t="shared" si="104"/>
        <v/>
      </c>
      <c r="H899" s="11" t="str">
        <f t="shared" si="105"/>
        <v/>
      </c>
      <c r="I899" s="55" t="str">
        <f t="shared" si="106"/>
        <v/>
      </c>
      <c r="J899" s="55" t="str">
        <f t="shared" si="107"/>
        <v/>
      </c>
      <c r="K899" s="4" t="str">
        <f t="shared" si="108"/>
        <v/>
      </c>
      <c r="L899" s="19" t="str">
        <f t="shared" si="109"/>
        <v/>
      </c>
      <c r="M899" s="12" t="str">
        <f>IF(A899="","",IFERROR(INDEX(المدخلات!$M$4:$M$15,MATCH(A899,المدخلات!$L$4:$L$15,0)),""))</f>
        <v/>
      </c>
      <c r="N899" s="4" t="str">
        <f t="shared" si="110"/>
        <v/>
      </c>
      <c r="O899" s="4" t="str">
        <f t="shared" si="111"/>
        <v/>
      </c>
    </row>
    <row r="900" spans="1:15">
      <c r="A900" s="11"/>
      <c r="B900" s="19"/>
      <c r="C900" s="19"/>
      <c r="D900" s="55"/>
      <c r="E900" s="56"/>
      <c r="F900" s="19"/>
      <c r="G900" s="4" t="str">
        <f t="shared" si="104"/>
        <v/>
      </c>
      <c r="H900" s="11" t="str">
        <f t="shared" si="105"/>
        <v/>
      </c>
      <c r="I900" s="55" t="str">
        <f t="shared" si="106"/>
        <v/>
      </c>
      <c r="J900" s="55" t="str">
        <f t="shared" si="107"/>
        <v/>
      </c>
      <c r="K900" s="4" t="str">
        <f t="shared" si="108"/>
        <v/>
      </c>
      <c r="L900" s="19" t="str">
        <f t="shared" si="109"/>
        <v/>
      </c>
      <c r="M900" s="12" t="str">
        <f>IF(A900="","",IFERROR(INDEX(المدخلات!$M$4:$M$15,MATCH(A900,المدخلات!$L$4:$L$15,0)),""))</f>
        <v/>
      </c>
      <c r="N900" s="4" t="str">
        <f t="shared" si="110"/>
        <v/>
      </c>
      <c r="O900" s="4" t="str">
        <f t="shared" si="111"/>
        <v/>
      </c>
    </row>
    <row r="901" spans="1:15">
      <c r="A901" s="11"/>
      <c r="B901" s="19"/>
      <c r="C901" s="19"/>
      <c r="D901" s="55"/>
      <c r="E901" s="56"/>
      <c r="F901" s="19"/>
      <c r="G901" s="4" t="str">
        <f t="shared" ref="G901:G964" si="112">IF(OR(D901="",E901=""),"",D901*E901)</f>
        <v/>
      </c>
      <c r="H901" s="11" t="str">
        <f t="shared" ref="H901:H964" si="113">IF(C901="","",IFERROR(_xlfn.MAXIFS($A$5:$A$2003,$C$5:$C$2003,C901,$A$5:$A$2003,"&lt;"&amp;A901),0))</f>
        <v/>
      </c>
      <c r="I901" s="55" t="str">
        <f t="shared" ref="I901:I964" si="114">IF(OR(H901="",H901=0),"",IFERROR(SUMIFS($D$5:$D$2003,$C$5:$C$2003,C901,$A$5:$A$2003,H901),""))</f>
        <v/>
      </c>
      <c r="J901" s="55" t="str">
        <f t="shared" ref="J901:J964" si="115">IF(C901="","",IF(I901="",0,MAX(I901-D901,0)))</f>
        <v/>
      </c>
      <c r="K901" s="4" t="str">
        <f t="shared" ref="K901:K964" si="116">IF(J901="","",J901*E901)</f>
        <v/>
      </c>
      <c r="L901" s="19" t="str">
        <f t="shared" ref="L901:L964" si="117">IF(C901="","",IF(COUNTIFS($A$5:$A$2003,A901,$C$5:$C$2003,C901)&gt;1,"⚠️ مادة مكررة بنفس الشهر",IF(OR(H901="",H901=0),"🆕 أول ظهور لهذه المادة",IF(D901&gt;I901,"ℹ️ زيادة كمية (شراء/تصحيح) - لا تُحتسب استهلاكاً",IF(D901=I901,"➖ لا تغيير","")))))</f>
        <v/>
      </c>
      <c r="M901" s="12" t="str">
        <f>IF(A901="","",IFERROR(INDEX(المدخلات!$M$4:$M$15,MATCH(A901,المدخلات!$L$4:$L$15,0)),""))</f>
        <v/>
      </c>
      <c r="N901" s="4" t="str">
        <f t="shared" ref="N901:N964" si="118">IF(OR(G901="",F901=""),"",IF(F901="دولار أمريكي",IF(M901="","⚠️ لا يوجد سعر صرف",G901*M901),G901))</f>
        <v/>
      </c>
      <c r="O901" s="4" t="str">
        <f t="shared" ref="O901:O964" si="119">IF(OR(K901="",F901=""),"",IF(F901="دولار أمريكي",IF(M901="","⚠️ لا يوجد سعر صرف",K901*M901),K901))</f>
        <v/>
      </c>
    </row>
    <row r="902" spans="1:15">
      <c r="A902" s="11"/>
      <c r="B902" s="19"/>
      <c r="C902" s="19"/>
      <c r="D902" s="55"/>
      <c r="E902" s="56"/>
      <c r="F902" s="19"/>
      <c r="G902" s="4" t="str">
        <f t="shared" si="112"/>
        <v/>
      </c>
      <c r="H902" s="11" t="str">
        <f t="shared" si="113"/>
        <v/>
      </c>
      <c r="I902" s="55" t="str">
        <f t="shared" si="114"/>
        <v/>
      </c>
      <c r="J902" s="55" t="str">
        <f t="shared" si="115"/>
        <v/>
      </c>
      <c r="K902" s="4" t="str">
        <f t="shared" si="116"/>
        <v/>
      </c>
      <c r="L902" s="19" t="str">
        <f t="shared" si="117"/>
        <v/>
      </c>
      <c r="M902" s="12" t="str">
        <f>IF(A902="","",IFERROR(INDEX(المدخلات!$M$4:$M$15,MATCH(A902,المدخلات!$L$4:$L$15,0)),""))</f>
        <v/>
      </c>
      <c r="N902" s="4" t="str">
        <f t="shared" si="118"/>
        <v/>
      </c>
      <c r="O902" s="4" t="str">
        <f t="shared" si="119"/>
        <v/>
      </c>
    </row>
    <row r="903" spans="1:15">
      <c r="A903" s="11"/>
      <c r="B903" s="19"/>
      <c r="C903" s="19"/>
      <c r="D903" s="55"/>
      <c r="E903" s="56"/>
      <c r="F903" s="19"/>
      <c r="G903" s="4" t="str">
        <f t="shared" si="112"/>
        <v/>
      </c>
      <c r="H903" s="11" t="str">
        <f t="shared" si="113"/>
        <v/>
      </c>
      <c r="I903" s="55" t="str">
        <f t="shared" si="114"/>
        <v/>
      </c>
      <c r="J903" s="55" t="str">
        <f t="shared" si="115"/>
        <v/>
      </c>
      <c r="K903" s="4" t="str">
        <f t="shared" si="116"/>
        <v/>
      </c>
      <c r="L903" s="19" t="str">
        <f t="shared" si="117"/>
        <v/>
      </c>
      <c r="M903" s="12" t="str">
        <f>IF(A903="","",IFERROR(INDEX(المدخلات!$M$4:$M$15,MATCH(A903,المدخلات!$L$4:$L$15,0)),""))</f>
        <v/>
      </c>
      <c r="N903" s="4" t="str">
        <f t="shared" si="118"/>
        <v/>
      </c>
      <c r="O903" s="4" t="str">
        <f t="shared" si="119"/>
        <v/>
      </c>
    </row>
    <row r="904" spans="1:15">
      <c r="A904" s="11"/>
      <c r="B904" s="19"/>
      <c r="C904" s="19"/>
      <c r="D904" s="55"/>
      <c r="E904" s="56"/>
      <c r="F904" s="19"/>
      <c r="G904" s="4" t="str">
        <f t="shared" si="112"/>
        <v/>
      </c>
      <c r="H904" s="11" t="str">
        <f t="shared" si="113"/>
        <v/>
      </c>
      <c r="I904" s="55" t="str">
        <f t="shared" si="114"/>
        <v/>
      </c>
      <c r="J904" s="55" t="str">
        <f t="shared" si="115"/>
        <v/>
      </c>
      <c r="K904" s="4" t="str">
        <f t="shared" si="116"/>
        <v/>
      </c>
      <c r="L904" s="19" t="str">
        <f t="shared" si="117"/>
        <v/>
      </c>
      <c r="M904" s="12" t="str">
        <f>IF(A904="","",IFERROR(INDEX(المدخلات!$M$4:$M$15,MATCH(A904,المدخلات!$L$4:$L$15,0)),""))</f>
        <v/>
      </c>
      <c r="N904" s="4" t="str">
        <f t="shared" si="118"/>
        <v/>
      </c>
      <c r="O904" s="4" t="str">
        <f t="shared" si="119"/>
        <v/>
      </c>
    </row>
    <row r="905" spans="1:15">
      <c r="A905" s="11"/>
      <c r="B905" s="19"/>
      <c r="C905" s="19"/>
      <c r="D905" s="55"/>
      <c r="E905" s="56"/>
      <c r="F905" s="19"/>
      <c r="G905" s="4" t="str">
        <f t="shared" si="112"/>
        <v/>
      </c>
      <c r="H905" s="11" t="str">
        <f t="shared" si="113"/>
        <v/>
      </c>
      <c r="I905" s="55" t="str">
        <f t="shared" si="114"/>
        <v/>
      </c>
      <c r="J905" s="55" t="str">
        <f t="shared" si="115"/>
        <v/>
      </c>
      <c r="K905" s="4" t="str">
        <f t="shared" si="116"/>
        <v/>
      </c>
      <c r="L905" s="19" t="str">
        <f t="shared" si="117"/>
        <v/>
      </c>
      <c r="M905" s="12" t="str">
        <f>IF(A905="","",IFERROR(INDEX(المدخلات!$M$4:$M$15,MATCH(A905,المدخلات!$L$4:$L$15,0)),""))</f>
        <v/>
      </c>
      <c r="N905" s="4" t="str">
        <f t="shared" si="118"/>
        <v/>
      </c>
      <c r="O905" s="4" t="str">
        <f t="shared" si="119"/>
        <v/>
      </c>
    </row>
    <row r="906" spans="1:15">
      <c r="A906" s="11"/>
      <c r="B906" s="19"/>
      <c r="C906" s="19"/>
      <c r="D906" s="55"/>
      <c r="E906" s="56"/>
      <c r="F906" s="19"/>
      <c r="G906" s="4" t="str">
        <f t="shared" si="112"/>
        <v/>
      </c>
      <c r="H906" s="11" t="str">
        <f t="shared" si="113"/>
        <v/>
      </c>
      <c r="I906" s="55" t="str">
        <f t="shared" si="114"/>
        <v/>
      </c>
      <c r="J906" s="55" t="str">
        <f t="shared" si="115"/>
        <v/>
      </c>
      <c r="K906" s="4" t="str">
        <f t="shared" si="116"/>
        <v/>
      </c>
      <c r="L906" s="19" t="str">
        <f t="shared" si="117"/>
        <v/>
      </c>
      <c r="M906" s="12" t="str">
        <f>IF(A906="","",IFERROR(INDEX(المدخلات!$M$4:$M$15,MATCH(A906,المدخلات!$L$4:$L$15,0)),""))</f>
        <v/>
      </c>
      <c r="N906" s="4" t="str">
        <f t="shared" si="118"/>
        <v/>
      </c>
      <c r="O906" s="4" t="str">
        <f t="shared" si="119"/>
        <v/>
      </c>
    </row>
    <row r="907" spans="1:15">
      <c r="A907" s="11"/>
      <c r="B907" s="19"/>
      <c r="C907" s="19"/>
      <c r="D907" s="55"/>
      <c r="E907" s="56"/>
      <c r="F907" s="19"/>
      <c r="G907" s="4" t="str">
        <f t="shared" si="112"/>
        <v/>
      </c>
      <c r="H907" s="11" t="str">
        <f t="shared" si="113"/>
        <v/>
      </c>
      <c r="I907" s="55" t="str">
        <f t="shared" si="114"/>
        <v/>
      </c>
      <c r="J907" s="55" t="str">
        <f t="shared" si="115"/>
        <v/>
      </c>
      <c r="K907" s="4" t="str">
        <f t="shared" si="116"/>
        <v/>
      </c>
      <c r="L907" s="19" t="str">
        <f t="shared" si="117"/>
        <v/>
      </c>
      <c r="M907" s="12" t="str">
        <f>IF(A907="","",IFERROR(INDEX(المدخلات!$M$4:$M$15,MATCH(A907,المدخلات!$L$4:$L$15,0)),""))</f>
        <v/>
      </c>
      <c r="N907" s="4" t="str">
        <f t="shared" si="118"/>
        <v/>
      </c>
      <c r="O907" s="4" t="str">
        <f t="shared" si="119"/>
        <v/>
      </c>
    </row>
    <row r="908" spans="1:15">
      <c r="A908" s="11"/>
      <c r="B908" s="19"/>
      <c r="C908" s="19"/>
      <c r="D908" s="55"/>
      <c r="E908" s="56"/>
      <c r="F908" s="19"/>
      <c r="G908" s="4" t="str">
        <f t="shared" si="112"/>
        <v/>
      </c>
      <c r="H908" s="11" t="str">
        <f t="shared" si="113"/>
        <v/>
      </c>
      <c r="I908" s="55" t="str">
        <f t="shared" si="114"/>
        <v/>
      </c>
      <c r="J908" s="55" t="str">
        <f t="shared" si="115"/>
        <v/>
      </c>
      <c r="K908" s="4" t="str">
        <f t="shared" si="116"/>
        <v/>
      </c>
      <c r="L908" s="19" t="str">
        <f t="shared" si="117"/>
        <v/>
      </c>
      <c r="M908" s="12" t="str">
        <f>IF(A908="","",IFERROR(INDEX(المدخلات!$M$4:$M$15,MATCH(A908,المدخلات!$L$4:$L$15,0)),""))</f>
        <v/>
      </c>
      <c r="N908" s="4" t="str">
        <f t="shared" si="118"/>
        <v/>
      </c>
      <c r="O908" s="4" t="str">
        <f t="shared" si="119"/>
        <v/>
      </c>
    </row>
    <row r="909" spans="1:15">
      <c r="A909" s="11"/>
      <c r="B909" s="19"/>
      <c r="C909" s="19"/>
      <c r="D909" s="55"/>
      <c r="E909" s="56"/>
      <c r="F909" s="19"/>
      <c r="G909" s="4" t="str">
        <f t="shared" si="112"/>
        <v/>
      </c>
      <c r="H909" s="11" t="str">
        <f t="shared" si="113"/>
        <v/>
      </c>
      <c r="I909" s="55" t="str">
        <f t="shared" si="114"/>
        <v/>
      </c>
      <c r="J909" s="55" t="str">
        <f t="shared" si="115"/>
        <v/>
      </c>
      <c r="K909" s="4" t="str">
        <f t="shared" si="116"/>
        <v/>
      </c>
      <c r="L909" s="19" t="str">
        <f t="shared" si="117"/>
        <v/>
      </c>
      <c r="M909" s="12" t="str">
        <f>IF(A909="","",IFERROR(INDEX(المدخلات!$M$4:$M$15,MATCH(A909,المدخلات!$L$4:$L$15,0)),""))</f>
        <v/>
      </c>
      <c r="N909" s="4" t="str">
        <f t="shared" si="118"/>
        <v/>
      </c>
      <c r="O909" s="4" t="str">
        <f t="shared" si="119"/>
        <v/>
      </c>
    </row>
    <row r="910" spans="1:15">
      <c r="A910" s="11"/>
      <c r="B910" s="19"/>
      <c r="C910" s="19"/>
      <c r="D910" s="55"/>
      <c r="E910" s="56"/>
      <c r="F910" s="19"/>
      <c r="G910" s="4" t="str">
        <f t="shared" si="112"/>
        <v/>
      </c>
      <c r="H910" s="11" t="str">
        <f t="shared" si="113"/>
        <v/>
      </c>
      <c r="I910" s="55" t="str">
        <f t="shared" si="114"/>
        <v/>
      </c>
      <c r="J910" s="55" t="str">
        <f t="shared" si="115"/>
        <v/>
      </c>
      <c r="K910" s="4" t="str">
        <f t="shared" si="116"/>
        <v/>
      </c>
      <c r="L910" s="19" t="str">
        <f t="shared" si="117"/>
        <v/>
      </c>
      <c r="M910" s="12" t="str">
        <f>IF(A910="","",IFERROR(INDEX(المدخلات!$M$4:$M$15,MATCH(A910,المدخلات!$L$4:$L$15,0)),""))</f>
        <v/>
      </c>
      <c r="N910" s="4" t="str">
        <f t="shared" si="118"/>
        <v/>
      </c>
      <c r="O910" s="4" t="str">
        <f t="shared" si="119"/>
        <v/>
      </c>
    </row>
    <row r="911" spans="1:15">
      <c r="A911" s="11"/>
      <c r="B911" s="19"/>
      <c r="C911" s="19"/>
      <c r="D911" s="55"/>
      <c r="E911" s="56"/>
      <c r="F911" s="19"/>
      <c r="G911" s="4" t="str">
        <f t="shared" si="112"/>
        <v/>
      </c>
      <c r="H911" s="11" t="str">
        <f t="shared" si="113"/>
        <v/>
      </c>
      <c r="I911" s="55" t="str">
        <f t="shared" si="114"/>
        <v/>
      </c>
      <c r="J911" s="55" t="str">
        <f t="shared" si="115"/>
        <v/>
      </c>
      <c r="K911" s="4" t="str">
        <f t="shared" si="116"/>
        <v/>
      </c>
      <c r="L911" s="19" t="str">
        <f t="shared" si="117"/>
        <v/>
      </c>
      <c r="M911" s="12" t="str">
        <f>IF(A911="","",IFERROR(INDEX(المدخلات!$M$4:$M$15,MATCH(A911,المدخلات!$L$4:$L$15,0)),""))</f>
        <v/>
      </c>
      <c r="N911" s="4" t="str">
        <f t="shared" si="118"/>
        <v/>
      </c>
      <c r="O911" s="4" t="str">
        <f t="shared" si="119"/>
        <v/>
      </c>
    </row>
    <row r="912" spans="1:15">
      <c r="A912" s="11"/>
      <c r="B912" s="19"/>
      <c r="C912" s="19"/>
      <c r="D912" s="55"/>
      <c r="E912" s="56"/>
      <c r="F912" s="19"/>
      <c r="G912" s="4" t="str">
        <f t="shared" si="112"/>
        <v/>
      </c>
      <c r="H912" s="11" t="str">
        <f t="shared" si="113"/>
        <v/>
      </c>
      <c r="I912" s="55" t="str">
        <f t="shared" si="114"/>
        <v/>
      </c>
      <c r="J912" s="55" t="str">
        <f t="shared" si="115"/>
        <v/>
      </c>
      <c r="K912" s="4" t="str">
        <f t="shared" si="116"/>
        <v/>
      </c>
      <c r="L912" s="19" t="str">
        <f t="shared" si="117"/>
        <v/>
      </c>
      <c r="M912" s="12" t="str">
        <f>IF(A912="","",IFERROR(INDEX(المدخلات!$M$4:$M$15,MATCH(A912,المدخلات!$L$4:$L$15,0)),""))</f>
        <v/>
      </c>
      <c r="N912" s="4" t="str">
        <f t="shared" si="118"/>
        <v/>
      </c>
      <c r="O912" s="4" t="str">
        <f t="shared" si="119"/>
        <v/>
      </c>
    </row>
    <row r="913" spans="1:15">
      <c r="A913" s="11"/>
      <c r="B913" s="19"/>
      <c r="C913" s="19"/>
      <c r="D913" s="55"/>
      <c r="E913" s="56"/>
      <c r="F913" s="19"/>
      <c r="G913" s="4" t="str">
        <f t="shared" si="112"/>
        <v/>
      </c>
      <c r="H913" s="11" t="str">
        <f t="shared" si="113"/>
        <v/>
      </c>
      <c r="I913" s="55" t="str">
        <f t="shared" si="114"/>
        <v/>
      </c>
      <c r="J913" s="55" t="str">
        <f t="shared" si="115"/>
        <v/>
      </c>
      <c r="K913" s="4" t="str">
        <f t="shared" si="116"/>
        <v/>
      </c>
      <c r="L913" s="19" t="str">
        <f t="shared" si="117"/>
        <v/>
      </c>
      <c r="M913" s="12" t="str">
        <f>IF(A913="","",IFERROR(INDEX(المدخلات!$M$4:$M$15,MATCH(A913,المدخلات!$L$4:$L$15,0)),""))</f>
        <v/>
      </c>
      <c r="N913" s="4" t="str">
        <f t="shared" si="118"/>
        <v/>
      </c>
      <c r="O913" s="4" t="str">
        <f t="shared" si="119"/>
        <v/>
      </c>
    </row>
    <row r="914" spans="1:15">
      <c r="A914" s="11"/>
      <c r="B914" s="19"/>
      <c r="C914" s="19"/>
      <c r="D914" s="55"/>
      <c r="E914" s="56"/>
      <c r="F914" s="19"/>
      <c r="G914" s="4" t="str">
        <f t="shared" si="112"/>
        <v/>
      </c>
      <c r="H914" s="11" t="str">
        <f t="shared" si="113"/>
        <v/>
      </c>
      <c r="I914" s="55" t="str">
        <f t="shared" si="114"/>
        <v/>
      </c>
      <c r="J914" s="55" t="str">
        <f t="shared" si="115"/>
        <v/>
      </c>
      <c r="K914" s="4" t="str">
        <f t="shared" si="116"/>
        <v/>
      </c>
      <c r="L914" s="19" t="str">
        <f t="shared" si="117"/>
        <v/>
      </c>
      <c r="M914" s="12" t="str">
        <f>IF(A914="","",IFERROR(INDEX(المدخلات!$M$4:$M$15,MATCH(A914,المدخلات!$L$4:$L$15,0)),""))</f>
        <v/>
      </c>
      <c r="N914" s="4" t="str">
        <f t="shared" si="118"/>
        <v/>
      </c>
      <c r="O914" s="4" t="str">
        <f t="shared" si="119"/>
        <v/>
      </c>
    </row>
    <row r="915" spans="1:15">
      <c r="A915" s="11"/>
      <c r="B915" s="19"/>
      <c r="C915" s="19"/>
      <c r="D915" s="55"/>
      <c r="E915" s="56"/>
      <c r="F915" s="19"/>
      <c r="G915" s="4" t="str">
        <f t="shared" si="112"/>
        <v/>
      </c>
      <c r="H915" s="11" t="str">
        <f t="shared" si="113"/>
        <v/>
      </c>
      <c r="I915" s="55" t="str">
        <f t="shared" si="114"/>
        <v/>
      </c>
      <c r="J915" s="55" t="str">
        <f t="shared" si="115"/>
        <v/>
      </c>
      <c r="K915" s="4" t="str">
        <f t="shared" si="116"/>
        <v/>
      </c>
      <c r="L915" s="19" t="str">
        <f t="shared" si="117"/>
        <v/>
      </c>
      <c r="M915" s="12" t="str">
        <f>IF(A915="","",IFERROR(INDEX(المدخلات!$M$4:$M$15,MATCH(A915,المدخلات!$L$4:$L$15,0)),""))</f>
        <v/>
      </c>
      <c r="N915" s="4" t="str">
        <f t="shared" si="118"/>
        <v/>
      </c>
      <c r="O915" s="4" t="str">
        <f t="shared" si="119"/>
        <v/>
      </c>
    </row>
    <row r="916" spans="1:15">
      <c r="A916" s="11"/>
      <c r="B916" s="19"/>
      <c r="C916" s="19"/>
      <c r="D916" s="55"/>
      <c r="E916" s="56"/>
      <c r="F916" s="19"/>
      <c r="G916" s="4" t="str">
        <f t="shared" si="112"/>
        <v/>
      </c>
      <c r="H916" s="11" t="str">
        <f t="shared" si="113"/>
        <v/>
      </c>
      <c r="I916" s="55" t="str">
        <f t="shared" si="114"/>
        <v/>
      </c>
      <c r="J916" s="55" t="str">
        <f t="shared" si="115"/>
        <v/>
      </c>
      <c r="K916" s="4" t="str">
        <f t="shared" si="116"/>
        <v/>
      </c>
      <c r="L916" s="19" t="str">
        <f t="shared" si="117"/>
        <v/>
      </c>
      <c r="M916" s="12" t="str">
        <f>IF(A916="","",IFERROR(INDEX(المدخلات!$M$4:$M$15,MATCH(A916,المدخلات!$L$4:$L$15,0)),""))</f>
        <v/>
      </c>
      <c r="N916" s="4" t="str">
        <f t="shared" si="118"/>
        <v/>
      </c>
      <c r="O916" s="4" t="str">
        <f t="shared" si="119"/>
        <v/>
      </c>
    </row>
    <row r="917" spans="1:15">
      <c r="A917" s="11"/>
      <c r="B917" s="19"/>
      <c r="C917" s="19"/>
      <c r="D917" s="55"/>
      <c r="E917" s="56"/>
      <c r="F917" s="19"/>
      <c r="G917" s="4" t="str">
        <f t="shared" si="112"/>
        <v/>
      </c>
      <c r="H917" s="11" t="str">
        <f t="shared" si="113"/>
        <v/>
      </c>
      <c r="I917" s="55" t="str">
        <f t="shared" si="114"/>
        <v/>
      </c>
      <c r="J917" s="55" t="str">
        <f t="shared" si="115"/>
        <v/>
      </c>
      <c r="K917" s="4" t="str">
        <f t="shared" si="116"/>
        <v/>
      </c>
      <c r="L917" s="19" t="str">
        <f t="shared" si="117"/>
        <v/>
      </c>
      <c r="M917" s="12" t="str">
        <f>IF(A917="","",IFERROR(INDEX(المدخلات!$M$4:$M$15,MATCH(A917,المدخلات!$L$4:$L$15,0)),""))</f>
        <v/>
      </c>
      <c r="N917" s="4" t="str">
        <f t="shared" si="118"/>
        <v/>
      </c>
      <c r="O917" s="4" t="str">
        <f t="shared" si="119"/>
        <v/>
      </c>
    </row>
    <row r="918" spans="1:15">
      <c r="A918" s="11"/>
      <c r="B918" s="19"/>
      <c r="C918" s="19"/>
      <c r="D918" s="55"/>
      <c r="E918" s="56"/>
      <c r="F918" s="19"/>
      <c r="G918" s="4" t="str">
        <f t="shared" si="112"/>
        <v/>
      </c>
      <c r="H918" s="11" t="str">
        <f t="shared" si="113"/>
        <v/>
      </c>
      <c r="I918" s="55" t="str">
        <f t="shared" si="114"/>
        <v/>
      </c>
      <c r="J918" s="55" t="str">
        <f t="shared" si="115"/>
        <v/>
      </c>
      <c r="K918" s="4" t="str">
        <f t="shared" si="116"/>
        <v/>
      </c>
      <c r="L918" s="19" t="str">
        <f t="shared" si="117"/>
        <v/>
      </c>
      <c r="M918" s="12" t="str">
        <f>IF(A918="","",IFERROR(INDEX(المدخلات!$M$4:$M$15,MATCH(A918,المدخلات!$L$4:$L$15,0)),""))</f>
        <v/>
      </c>
      <c r="N918" s="4" t="str">
        <f t="shared" si="118"/>
        <v/>
      </c>
      <c r="O918" s="4" t="str">
        <f t="shared" si="119"/>
        <v/>
      </c>
    </row>
    <row r="919" spans="1:15">
      <c r="A919" s="11"/>
      <c r="B919" s="19"/>
      <c r="C919" s="19"/>
      <c r="D919" s="55"/>
      <c r="E919" s="56"/>
      <c r="F919" s="19"/>
      <c r="G919" s="4" t="str">
        <f t="shared" si="112"/>
        <v/>
      </c>
      <c r="H919" s="11" t="str">
        <f t="shared" si="113"/>
        <v/>
      </c>
      <c r="I919" s="55" t="str">
        <f t="shared" si="114"/>
        <v/>
      </c>
      <c r="J919" s="55" t="str">
        <f t="shared" si="115"/>
        <v/>
      </c>
      <c r="K919" s="4" t="str">
        <f t="shared" si="116"/>
        <v/>
      </c>
      <c r="L919" s="19" t="str">
        <f t="shared" si="117"/>
        <v/>
      </c>
      <c r="M919" s="12" t="str">
        <f>IF(A919="","",IFERROR(INDEX(المدخلات!$M$4:$M$15,MATCH(A919,المدخلات!$L$4:$L$15,0)),""))</f>
        <v/>
      </c>
      <c r="N919" s="4" t="str">
        <f t="shared" si="118"/>
        <v/>
      </c>
      <c r="O919" s="4" t="str">
        <f t="shared" si="119"/>
        <v/>
      </c>
    </row>
    <row r="920" spans="1:15">
      <c r="A920" s="11"/>
      <c r="B920" s="19"/>
      <c r="C920" s="19"/>
      <c r="D920" s="55"/>
      <c r="E920" s="56"/>
      <c r="F920" s="19"/>
      <c r="G920" s="4" t="str">
        <f t="shared" si="112"/>
        <v/>
      </c>
      <c r="H920" s="11" t="str">
        <f t="shared" si="113"/>
        <v/>
      </c>
      <c r="I920" s="55" t="str">
        <f t="shared" si="114"/>
        <v/>
      </c>
      <c r="J920" s="55" t="str">
        <f t="shared" si="115"/>
        <v/>
      </c>
      <c r="K920" s="4" t="str">
        <f t="shared" si="116"/>
        <v/>
      </c>
      <c r="L920" s="19" t="str">
        <f t="shared" si="117"/>
        <v/>
      </c>
      <c r="M920" s="12" t="str">
        <f>IF(A920="","",IFERROR(INDEX(المدخلات!$M$4:$M$15,MATCH(A920,المدخلات!$L$4:$L$15,0)),""))</f>
        <v/>
      </c>
      <c r="N920" s="4" t="str">
        <f t="shared" si="118"/>
        <v/>
      </c>
      <c r="O920" s="4" t="str">
        <f t="shared" si="119"/>
        <v/>
      </c>
    </row>
    <row r="921" spans="1:15">
      <c r="A921" s="11"/>
      <c r="B921" s="19"/>
      <c r="C921" s="19"/>
      <c r="D921" s="55"/>
      <c r="E921" s="56"/>
      <c r="F921" s="19"/>
      <c r="G921" s="4" t="str">
        <f t="shared" si="112"/>
        <v/>
      </c>
      <c r="H921" s="11" t="str">
        <f t="shared" si="113"/>
        <v/>
      </c>
      <c r="I921" s="55" t="str">
        <f t="shared" si="114"/>
        <v/>
      </c>
      <c r="J921" s="55" t="str">
        <f t="shared" si="115"/>
        <v/>
      </c>
      <c r="K921" s="4" t="str">
        <f t="shared" si="116"/>
        <v/>
      </c>
      <c r="L921" s="19" t="str">
        <f t="shared" si="117"/>
        <v/>
      </c>
      <c r="M921" s="12" t="str">
        <f>IF(A921="","",IFERROR(INDEX(المدخلات!$M$4:$M$15,MATCH(A921,المدخلات!$L$4:$L$15,0)),""))</f>
        <v/>
      </c>
      <c r="N921" s="4" t="str">
        <f t="shared" si="118"/>
        <v/>
      </c>
      <c r="O921" s="4" t="str">
        <f t="shared" si="119"/>
        <v/>
      </c>
    </row>
    <row r="922" spans="1:15">
      <c r="A922" s="11"/>
      <c r="B922" s="19"/>
      <c r="C922" s="19"/>
      <c r="D922" s="55"/>
      <c r="E922" s="56"/>
      <c r="F922" s="19"/>
      <c r="G922" s="4" t="str">
        <f t="shared" si="112"/>
        <v/>
      </c>
      <c r="H922" s="11" t="str">
        <f t="shared" si="113"/>
        <v/>
      </c>
      <c r="I922" s="55" t="str">
        <f t="shared" si="114"/>
        <v/>
      </c>
      <c r="J922" s="55" t="str">
        <f t="shared" si="115"/>
        <v/>
      </c>
      <c r="K922" s="4" t="str">
        <f t="shared" si="116"/>
        <v/>
      </c>
      <c r="L922" s="19" t="str">
        <f t="shared" si="117"/>
        <v/>
      </c>
      <c r="M922" s="12" t="str">
        <f>IF(A922="","",IFERROR(INDEX(المدخلات!$M$4:$M$15,MATCH(A922,المدخلات!$L$4:$L$15,0)),""))</f>
        <v/>
      </c>
      <c r="N922" s="4" t="str">
        <f t="shared" si="118"/>
        <v/>
      </c>
      <c r="O922" s="4" t="str">
        <f t="shared" si="119"/>
        <v/>
      </c>
    </row>
    <row r="923" spans="1:15">
      <c r="A923" s="11"/>
      <c r="B923" s="19"/>
      <c r="C923" s="19"/>
      <c r="D923" s="55"/>
      <c r="E923" s="56"/>
      <c r="F923" s="19"/>
      <c r="G923" s="4" t="str">
        <f t="shared" si="112"/>
        <v/>
      </c>
      <c r="H923" s="11" t="str">
        <f t="shared" si="113"/>
        <v/>
      </c>
      <c r="I923" s="55" t="str">
        <f t="shared" si="114"/>
        <v/>
      </c>
      <c r="J923" s="55" t="str">
        <f t="shared" si="115"/>
        <v/>
      </c>
      <c r="K923" s="4" t="str">
        <f t="shared" si="116"/>
        <v/>
      </c>
      <c r="L923" s="19" t="str">
        <f t="shared" si="117"/>
        <v/>
      </c>
      <c r="M923" s="12" t="str">
        <f>IF(A923="","",IFERROR(INDEX(المدخلات!$M$4:$M$15,MATCH(A923,المدخلات!$L$4:$L$15,0)),""))</f>
        <v/>
      </c>
      <c r="N923" s="4" t="str">
        <f t="shared" si="118"/>
        <v/>
      </c>
      <c r="O923" s="4" t="str">
        <f t="shared" si="119"/>
        <v/>
      </c>
    </row>
    <row r="924" spans="1:15">
      <c r="A924" s="11"/>
      <c r="B924" s="19"/>
      <c r="C924" s="19"/>
      <c r="D924" s="55"/>
      <c r="E924" s="56"/>
      <c r="F924" s="19"/>
      <c r="G924" s="4" t="str">
        <f t="shared" si="112"/>
        <v/>
      </c>
      <c r="H924" s="11" t="str">
        <f t="shared" si="113"/>
        <v/>
      </c>
      <c r="I924" s="55" t="str">
        <f t="shared" si="114"/>
        <v/>
      </c>
      <c r="J924" s="55" t="str">
        <f t="shared" si="115"/>
        <v/>
      </c>
      <c r="K924" s="4" t="str">
        <f t="shared" si="116"/>
        <v/>
      </c>
      <c r="L924" s="19" t="str">
        <f t="shared" si="117"/>
        <v/>
      </c>
      <c r="M924" s="12" t="str">
        <f>IF(A924="","",IFERROR(INDEX(المدخلات!$M$4:$M$15,MATCH(A924,المدخلات!$L$4:$L$15,0)),""))</f>
        <v/>
      </c>
      <c r="N924" s="4" t="str">
        <f t="shared" si="118"/>
        <v/>
      </c>
      <c r="O924" s="4" t="str">
        <f t="shared" si="119"/>
        <v/>
      </c>
    </row>
    <row r="925" spans="1:15">
      <c r="A925" s="11"/>
      <c r="B925" s="19"/>
      <c r="C925" s="19"/>
      <c r="D925" s="55"/>
      <c r="E925" s="56"/>
      <c r="F925" s="19"/>
      <c r="G925" s="4" t="str">
        <f t="shared" si="112"/>
        <v/>
      </c>
      <c r="H925" s="11" t="str">
        <f t="shared" si="113"/>
        <v/>
      </c>
      <c r="I925" s="55" t="str">
        <f t="shared" si="114"/>
        <v/>
      </c>
      <c r="J925" s="55" t="str">
        <f t="shared" si="115"/>
        <v/>
      </c>
      <c r="K925" s="4" t="str">
        <f t="shared" si="116"/>
        <v/>
      </c>
      <c r="L925" s="19" t="str">
        <f t="shared" si="117"/>
        <v/>
      </c>
      <c r="M925" s="12" t="str">
        <f>IF(A925="","",IFERROR(INDEX(المدخلات!$M$4:$M$15,MATCH(A925,المدخلات!$L$4:$L$15,0)),""))</f>
        <v/>
      </c>
      <c r="N925" s="4" t="str">
        <f t="shared" si="118"/>
        <v/>
      </c>
      <c r="O925" s="4" t="str">
        <f t="shared" si="119"/>
        <v/>
      </c>
    </row>
    <row r="926" spans="1:15">
      <c r="A926" s="11"/>
      <c r="B926" s="19"/>
      <c r="C926" s="19"/>
      <c r="D926" s="55"/>
      <c r="E926" s="56"/>
      <c r="F926" s="19"/>
      <c r="G926" s="4" t="str">
        <f t="shared" si="112"/>
        <v/>
      </c>
      <c r="H926" s="11" t="str">
        <f t="shared" si="113"/>
        <v/>
      </c>
      <c r="I926" s="55" t="str">
        <f t="shared" si="114"/>
        <v/>
      </c>
      <c r="J926" s="55" t="str">
        <f t="shared" si="115"/>
        <v/>
      </c>
      <c r="K926" s="4" t="str">
        <f t="shared" si="116"/>
        <v/>
      </c>
      <c r="L926" s="19" t="str">
        <f t="shared" si="117"/>
        <v/>
      </c>
      <c r="M926" s="12" t="str">
        <f>IF(A926="","",IFERROR(INDEX(المدخلات!$M$4:$M$15,MATCH(A926,المدخلات!$L$4:$L$15,0)),""))</f>
        <v/>
      </c>
      <c r="N926" s="4" t="str">
        <f t="shared" si="118"/>
        <v/>
      </c>
      <c r="O926" s="4" t="str">
        <f t="shared" si="119"/>
        <v/>
      </c>
    </row>
    <row r="927" spans="1:15">
      <c r="A927" s="11"/>
      <c r="B927" s="19"/>
      <c r="C927" s="19"/>
      <c r="D927" s="55"/>
      <c r="E927" s="56"/>
      <c r="F927" s="19"/>
      <c r="G927" s="4" t="str">
        <f t="shared" si="112"/>
        <v/>
      </c>
      <c r="H927" s="11" t="str">
        <f t="shared" si="113"/>
        <v/>
      </c>
      <c r="I927" s="55" t="str">
        <f t="shared" si="114"/>
        <v/>
      </c>
      <c r="J927" s="55" t="str">
        <f t="shared" si="115"/>
        <v/>
      </c>
      <c r="K927" s="4" t="str">
        <f t="shared" si="116"/>
        <v/>
      </c>
      <c r="L927" s="19" t="str">
        <f t="shared" si="117"/>
        <v/>
      </c>
      <c r="M927" s="12" t="str">
        <f>IF(A927="","",IFERROR(INDEX(المدخلات!$M$4:$M$15,MATCH(A927,المدخلات!$L$4:$L$15,0)),""))</f>
        <v/>
      </c>
      <c r="N927" s="4" t="str">
        <f t="shared" si="118"/>
        <v/>
      </c>
      <c r="O927" s="4" t="str">
        <f t="shared" si="119"/>
        <v/>
      </c>
    </row>
    <row r="928" spans="1:15">
      <c r="A928" s="11"/>
      <c r="B928" s="19"/>
      <c r="C928" s="19"/>
      <c r="D928" s="55"/>
      <c r="E928" s="56"/>
      <c r="F928" s="19"/>
      <c r="G928" s="4" t="str">
        <f t="shared" si="112"/>
        <v/>
      </c>
      <c r="H928" s="11" t="str">
        <f t="shared" si="113"/>
        <v/>
      </c>
      <c r="I928" s="55" t="str">
        <f t="shared" si="114"/>
        <v/>
      </c>
      <c r="J928" s="55" t="str">
        <f t="shared" si="115"/>
        <v/>
      </c>
      <c r="K928" s="4" t="str">
        <f t="shared" si="116"/>
        <v/>
      </c>
      <c r="L928" s="19" t="str">
        <f t="shared" si="117"/>
        <v/>
      </c>
      <c r="M928" s="12" t="str">
        <f>IF(A928="","",IFERROR(INDEX(المدخلات!$M$4:$M$15,MATCH(A928,المدخلات!$L$4:$L$15,0)),""))</f>
        <v/>
      </c>
      <c r="N928" s="4" t="str">
        <f t="shared" si="118"/>
        <v/>
      </c>
      <c r="O928" s="4" t="str">
        <f t="shared" si="119"/>
        <v/>
      </c>
    </row>
    <row r="929" spans="1:15">
      <c r="A929" s="11"/>
      <c r="B929" s="19"/>
      <c r="C929" s="19"/>
      <c r="D929" s="55"/>
      <c r="E929" s="56"/>
      <c r="F929" s="19"/>
      <c r="G929" s="4" t="str">
        <f t="shared" si="112"/>
        <v/>
      </c>
      <c r="H929" s="11" t="str">
        <f t="shared" si="113"/>
        <v/>
      </c>
      <c r="I929" s="55" t="str">
        <f t="shared" si="114"/>
        <v/>
      </c>
      <c r="J929" s="55" t="str">
        <f t="shared" si="115"/>
        <v/>
      </c>
      <c r="K929" s="4" t="str">
        <f t="shared" si="116"/>
        <v/>
      </c>
      <c r="L929" s="19" t="str">
        <f t="shared" si="117"/>
        <v/>
      </c>
      <c r="M929" s="12" t="str">
        <f>IF(A929="","",IFERROR(INDEX(المدخلات!$M$4:$M$15,MATCH(A929,المدخلات!$L$4:$L$15,0)),""))</f>
        <v/>
      </c>
      <c r="N929" s="4" t="str">
        <f t="shared" si="118"/>
        <v/>
      </c>
      <c r="O929" s="4" t="str">
        <f t="shared" si="119"/>
        <v/>
      </c>
    </row>
    <row r="930" spans="1:15">
      <c r="A930" s="11"/>
      <c r="B930" s="19"/>
      <c r="C930" s="19"/>
      <c r="D930" s="55"/>
      <c r="E930" s="56"/>
      <c r="F930" s="19"/>
      <c r="G930" s="4" t="str">
        <f t="shared" si="112"/>
        <v/>
      </c>
      <c r="H930" s="11" t="str">
        <f t="shared" si="113"/>
        <v/>
      </c>
      <c r="I930" s="55" t="str">
        <f t="shared" si="114"/>
        <v/>
      </c>
      <c r="J930" s="55" t="str">
        <f t="shared" si="115"/>
        <v/>
      </c>
      <c r="K930" s="4" t="str">
        <f t="shared" si="116"/>
        <v/>
      </c>
      <c r="L930" s="19" t="str">
        <f t="shared" si="117"/>
        <v/>
      </c>
      <c r="M930" s="12" t="str">
        <f>IF(A930="","",IFERROR(INDEX(المدخلات!$M$4:$M$15,MATCH(A930,المدخلات!$L$4:$L$15,0)),""))</f>
        <v/>
      </c>
      <c r="N930" s="4" t="str">
        <f t="shared" si="118"/>
        <v/>
      </c>
      <c r="O930" s="4" t="str">
        <f t="shared" si="119"/>
        <v/>
      </c>
    </row>
    <row r="931" spans="1:15">
      <c r="A931" s="11"/>
      <c r="B931" s="19"/>
      <c r="C931" s="19"/>
      <c r="D931" s="55"/>
      <c r="E931" s="56"/>
      <c r="F931" s="19"/>
      <c r="G931" s="4" t="str">
        <f t="shared" si="112"/>
        <v/>
      </c>
      <c r="H931" s="11" t="str">
        <f t="shared" si="113"/>
        <v/>
      </c>
      <c r="I931" s="55" t="str">
        <f t="shared" si="114"/>
        <v/>
      </c>
      <c r="J931" s="55" t="str">
        <f t="shared" si="115"/>
        <v/>
      </c>
      <c r="K931" s="4" t="str">
        <f t="shared" si="116"/>
        <v/>
      </c>
      <c r="L931" s="19" t="str">
        <f t="shared" si="117"/>
        <v/>
      </c>
      <c r="M931" s="12" t="str">
        <f>IF(A931="","",IFERROR(INDEX(المدخلات!$M$4:$M$15,MATCH(A931,المدخلات!$L$4:$L$15,0)),""))</f>
        <v/>
      </c>
      <c r="N931" s="4" t="str">
        <f t="shared" si="118"/>
        <v/>
      </c>
      <c r="O931" s="4" t="str">
        <f t="shared" si="119"/>
        <v/>
      </c>
    </row>
    <row r="932" spans="1:15">
      <c r="A932" s="11"/>
      <c r="B932" s="19"/>
      <c r="C932" s="19"/>
      <c r="D932" s="55"/>
      <c r="E932" s="56"/>
      <c r="F932" s="19"/>
      <c r="G932" s="4" t="str">
        <f t="shared" si="112"/>
        <v/>
      </c>
      <c r="H932" s="11" t="str">
        <f t="shared" si="113"/>
        <v/>
      </c>
      <c r="I932" s="55" t="str">
        <f t="shared" si="114"/>
        <v/>
      </c>
      <c r="J932" s="55" t="str">
        <f t="shared" si="115"/>
        <v/>
      </c>
      <c r="K932" s="4" t="str">
        <f t="shared" si="116"/>
        <v/>
      </c>
      <c r="L932" s="19" t="str">
        <f t="shared" si="117"/>
        <v/>
      </c>
      <c r="M932" s="12" t="str">
        <f>IF(A932="","",IFERROR(INDEX(المدخلات!$M$4:$M$15,MATCH(A932,المدخلات!$L$4:$L$15,0)),""))</f>
        <v/>
      </c>
      <c r="N932" s="4" t="str">
        <f t="shared" si="118"/>
        <v/>
      </c>
      <c r="O932" s="4" t="str">
        <f t="shared" si="119"/>
        <v/>
      </c>
    </row>
    <row r="933" spans="1:15">
      <c r="A933" s="11"/>
      <c r="B933" s="19"/>
      <c r="C933" s="19"/>
      <c r="D933" s="55"/>
      <c r="E933" s="56"/>
      <c r="F933" s="19"/>
      <c r="G933" s="4" t="str">
        <f t="shared" si="112"/>
        <v/>
      </c>
      <c r="H933" s="11" t="str">
        <f t="shared" si="113"/>
        <v/>
      </c>
      <c r="I933" s="55" t="str">
        <f t="shared" si="114"/>
        <v/>
      </c>
      <c r="J933" s="55" t="str">
        <f t="shared" si="115"/>
        <v/>
      </c>
      <c r="K933" s="4" t="str">
        <f t="shared" si="116"/>
        <v/>
      </c>
      <c r="L933" s="19" t="str">
        <f t="shared" si="117"/>
        <v/>
      </c>
      <c r="M933" s="12" t="str">
        <f>IF(A933="","",IFERROR(INDEX(المدخلات!$M$4:$M$15,MATCH(A933,المدخلات!$L$4:$L$15,0)),""))</f>
        <v/>
      </c>
      <c r="N933" s="4" t="str">
        <f t="shared" si="118"/>
        <v/>
      </c>
      <c r="O933" s="4" t="str">
        <f t="shared" si="119"/>
        <v/>
      </c>
    </row>
    <row r="934" spans="1:15">
      <c r="A934" s="11"/>
      <c r="B934" s="19"/>
      <c r="C934" s="19"/>
      <c r="D934" s="55"/>
      <c r="E934" s="56"/>
      <c r="F934" s="19"/>
      <c r="G934" s="4" t="str">
        <f t="shared" si="112"/>
        <v/>
      </c>
      <c r="H934" s="11" t="str">
        <f t="shared" si="113"/>
        <v/>
      </c>
      <c r="I934" s="55" t="str">
        <f t="shared" si="114"/>
        <v/>
      </c>
      <c r="J934" s="55" t="str">
        <f t="shared" si="115"/>
        <v/>
      </c>
      <c r="K934" s="4" t="str">
        <f t="shared" si="116"/>
        <v/>
      </c>
      <c r="L934" s="19" t="str">
        <f t="shared" si="117"/>
        <v/>
      </c>
      <c r="M934" s="12" t="str">
        <f>IF(A934="","",IFERROR(INDEX(المدخلات!$M$4:$M$15,MATCH(A934,المدخلات!$L$4:$L$15,0)),""))</f>
        <v/>
      </c>
      <c r="N934" s="4" t="str">
        <f t="shared" si="118"/>
        <v/>
      </c>
      <c r="O934" s="4" t="str">
        <f t="shared" si="119"/>
        <v/>
      </c>
    </row>
    <row r="935" spans="1:15">
      <c r="A935" s="11"/>
      <c r="B935" s="19"/>
      <c r="C935" s="19"/>
      <c r="D935" s="55"/>
      <c r="E935" s="56"/>
      <c r="F935" s="19"/>
      <c r="G935" s="4" t="str">
        <f t="shared" si="112"/>
        <v/>
      </c>
      <c r="H935" s="11" t="str">
        <f t="shared" si="113"/>
        <v/>
      </c>
      <c r="I935" s="55" t="str">
        <f t="shared" si="114"/>
        <v/>
      </c>
      <c r="J935" s="55" t="str">
        <f t="shared" si="115"/>
        <v/>
      </c>
      <c r="K935" s="4" t="str">
        <f t="shared" si="116"/>
        <v/>
      </c>
      <c r="L935" s="19" t="str">
        <f t="shared" si="117"/>
        <v/>
      </c>
      <c r="M935" s="12" t="str">
        <f>IF(A935="","",IFERROR(INDEX(المدخلات!$M$4:$M$15,MATCH(A935,المدخلات!$L$4:$L$15,0)),""))</f>
        <v/>
      </c>
      <c r="N935" s="4" t="str">
        <f t="shared" si="118"/>
        <v/>
      </c>
      <c r="O935" s="4" t="str">
        <f t="shared" si="119"/>
        <v/>
      </c>
    </row>
    <row r="936" spans="1:15">
      <c r="A936" s="11"/>
      <c r="B936" s="19"/>
      <c r="C936" s="19"/>
      <c r="D936" s="55"/>
      <c r="E936" s="56"/>
      <c r="F936" s="19"/>
      <c r="G936" s="4" t="str">
        <f t="shared" si="112"/>
        <v/>
      </c>
      <c r="H936" s="11" t="str">
        <f t="shared" si="113"/>
        <v/>
      </c>
      <c r="I936" s="55" t="str">
        <f t="shared" si="114"/>
        <v/>
      </c>
      <c r="J936" s="55" t="str">
        <f t="shared" si="115"/>
        <v/>
      </c>
      <c r="K936" s="4" t="str">
        <f t="shared" si="116"/>
        <v/>
      </c>
      <c r="L936" s="19" t="str">
        <f t="shared" si="117"/>
        <v/>
      </c>
      <c r="M936" s="12" t="str">
        <f>IF(A936="","",IFERROR(INDEX(المدخلات!$M$4:$M$15,MATCH(A936,المدخلات!$L$4:$L$15,0)),""))</f>
        <v/>
      </c>
      <c r="N936" s="4" t="str">
        <f t="shared" si="118"/>
        <v/>
      </c>
      <c r="O936" s="4" t="str">
        <f t="shared" si="119"/>
        <v/>
      </c>
    </row>
    <row r="937" spans="1:15">
      <c r="A937" s="11"/>
      <c r="B937" s="19"/>
      <c r="C937" s="19"/>
      <c r="D937" s="55"/>
      <c r="E937" s="56"/>
      <c r="F937" s="19"/>
      <c r="G937" s="4" t="str">
        <f t="shared" si="112"/>
        <v/>
      </c>
      <c r="H937" s="11" t="str">
        <f t="shared" si="113"/>
        <v/>
      </c>
      <c r="I937" s="55" t="str">
        <f t="shared" si="114"/>
        <v/>
      </c>
      <c r="J937" s="55" t="str">
        <f t="shared" si="115"/>
        <v/>
      </c>
      <c r="K937" s="4" t="str">
        <f t="shared" si="116"/>
        <v/>
      </c>
      <c r="L937" s="19" t="str">
        <f t="shared" si="117"/>
        <v/>
      </c>
      <c r="M937" s="12" t="str">
        <f>IF(A937="","",IFERROR(INDEX(المدخلات!$M$4:$M$15,MATCH(A937,المدخلات!$L$4:$L$15,0)),""))</f>
        <v/>
      </c>
      <c r="N937" s="4" t="str">
        <f t="shared" si="118"/>
        <v/>
      </c>
      <c r="O937" s="4" t="str">
        <f t="shared" si="119"/>
        <v/>
      </c>
    </row>
    <row r="938" spans="1:15">
      <c r="A938" s="11"/>
      <c r="B938" s="19"/>
      <c r="C938" s="19"/>
      <c r="D938" s="55"/>
      <c r="E938" s="56"/>
      <c r="F938" s="19"/>
      <c r="G938" s="4" t="str">
        <f t="shared" si="112"/>
        <v/>
      </c>
      <c r="H938" s="11" t="str">
        <f t="shared" si="113"/>
        <v/>
      </c>
      <c r="I938" s="55" t="str">
        <f t="shared" si="114"/>
        <v/>
      </c>
      <c r="J938" s="55" t="str">
        <f t="shared" si="115"/>
        <v/>
      </c>
      <c r="K938" s="4" t="str">
        <f t="shared" si="116"/>
        <v/>
      </c>
      <c r="L938" s="19" t="str">
        <f t="shared" si="117"/>
        <v/>
      </c>
      <c r="M938" s="12" t="str">
        <f>IF(A938="","",IFERROR(INDEX(المدخلات!$M$4:$M$15,MATCH(A938,المدخلات!$L$4:$L$15,0)),""))</f>
        <v/>
      </c>
      <c r="N938" s="4" t="str">
        <f t="shared" si="118"/>
        <v/>
      </c>
      <c r="O938" s="4" t="str">
        <f t="shared" si="119"/>
        <v/>
      </c>
    </row>
    <row r="939" spans="1:15">
      <c r="A939" s="11"/>
      <c r="B939" s="19"/>
      <c r="C939" s="19"/>
      <c r="D939" s="55"/>
      <c r="E939" s="56"/>
      <c r="F939" s="19"/>
      <c r="G939" s="4" t="str">
        <f t="shared" si="112"/>
        <v/>
      </c>
      <c r="H939" s="11" t="str">
        <f t="shared" si="113"/>
        <v/>
      </c>
      <c r="I939" s="55" t="str">
        <f t="shared" si="114"/>
        <v/>
      </c>
      <c r="J939" s="55" t="str">
        <f t="shared" si="115"/>
        <v/>
      </c>
      <c r="K939" s="4" t="str">
        <f t="shared" si="116"/>
        <v/>
      </c>
      <c r="L939" s="19" t="str">
        <f t="shared" si="117"/>
        <v/>
      </c>
      <c r="M939" s="12" t="str">
        <f>IF(A939="","",IFERROR(INDEX(المدخلات!$M$4:$M$15,MATCH(A939,المدخلات!$L$4:$L$15,0)),""))</f>
        <v/>
      </c>
      <c r="N939" s="4" t="str">
        <f t="shared" si="118"/>
        <v/>
      </c>
      <c r="O939" s="4" t="str">
        <f t="shared" si="119"/>
        <v/>
      </c>
    </row>
    <row r="940" spans="1:15">
      <c r="A940" s="11"/>
      <c r="B940" s="19"/>
      <c r="C940" s="19"/>
      <c r="D940" s="55"/>
      <c r="E940" s="56"/>
      <c r="F940" s="19"/>
      <c r="G940" s="4" t="str">
        <f t="shared" si="112"/>
        <v/>
      </c>
      <c r="H940" s="11" t="str">
        <f t="shared" si="113"/>
        <v/>
      </c>
      <c r="I940" s="55" t="str">
        <f t="shared" si="114"/>
        <v/>
      </c>
      <c r="J940" s="55" t="str">
        <f t="shared" si="115"/>
        <v/>
      </c>
      <c r="K940" s="4" t="str">
        <f t="shared" si="116"/>
        <v/>
      </c>
      <c r="L940" s="19" t="str">
        <f t="shared" si="117"/>
        <v/>
      </c>
      <c r="M940" s="12" t="str">
        <f>IF(A940="","",IFERROR(INDEX(المدخلات!$M$4:$M$15,MATCH(A940,المدخلات!$L$4:$L$15,0)),""))</f>
        <v/>
      </c>
      <c r="N940" s="4" t="str">
        <f t="shared" si="118"/>
        <v/>
      </c>
      <c r="O940" s="4" t="str">
        <f t="shared" si="119"/>
        <v/>
      </c>
    </row>
    <row r="941" spans="1:15">
      <c r="A941" s="11"/>
      <c r="B941" s="19"/>
      <c r="C941" s="19"/>
      <c r="D941" s="55"/>
      <c r="E941" s="56"/>
      <c r="F941" s="19"/>
      <c r="G941" s="4" t="str">
        <f t="shared" si="112"/>
        <v/>
      </c>
      <c r="H941" s="11" t="str">
        <f t="shared" si="113"/>
        <v/>
      </c>
      <c r="I941" s="55" t="str">
        <f t="shared" si="114"/>
        <v/>
      </c>
      <c r="J941" s="55" t="str">
        <f t="shared" si="115"/>
        <v/>
      </c>
      <c r="K941" s="4" t="str">
        <f t="shared" si="116"/>
        <v/>
      </c>
      <c r="L941" s="19" t="str">
        <f t="shared" si="117"/>
        <v/>
      </c>
      <c r="M941" s="12" t="str">
        <f>IF(A941="","",IFERROR(INDEX(المدخلات!$M$4:$M$15,MATCH(A941,المدخلات!$L$4:$L$15,0)),""))</f>
        <v/>
      </c>
      <c r="N941" s="4" t="str">
        <f t="shared" si="118"/>
        <v/>
      </c>
      <c r="O941" s="4" t="str">
        <f t="shared" si="119"/>
        <v/>
      </c>
    </row>
    <row r="942" spans="1:15">
      <c r="A942" s="11"/>
      <c r="B942" s="19"/>
      <c r="C942" s="19"/>
      <c r="D942" s="55"/>
      <c r="E942" s="56"/>
      <c r="F942" s="19"/>
      <c r="G942" s="4" t="str">
        <f t="shared" si="112"/>
        <v/>
      </c>
      <c r="H942" s="11" t="str">
        <f t="shared" si="113"/>
        <v/>
      </c>
      <c r="I942" s="55" t="str">
        <f t="shared" si="114"/>
        <v/>
      </c>
      <c r="J942" s="55" t="str">
        <f t="shared" si="115"/>
        <v/>
      </c>
      <c r="K942" s="4" t="str">
        <f t="shared" si="116"/>
        <v/>
      </c>
      <c r="L942" s="19" t="str">
        <f t="shared" si="117"/>
        <v/>
      </c>
      <c r="M942" s="12" t="str">
        <f>IF(A942="","",IFERROR(INDEX(المدخلات!$M$4:$M$15,MATCH(A942,المدخلات!$L$4:$L$15,0)),""))</f>
        <v/>
      </c>
      <c r="N942" s="4" t="str">
        <f t="shared" si="118"/>
        <v/>
      </c>
      <c r="O942" s="4" t="str">
        <f t="shared" si="119"/>
        <v/>
      </c>
    </row>
    <row r="943" spans="1:15">
      <c r="A943" s="11"/>
      <c r="B943" s="19"/>
      <c r="C943" s="19"/>
      <c r="D943" s="55"/>
      <c r="E943" s="56"/>
      <c r="F943" s="19"/>
      <c r="G943" s="4" t="str">
        <f t="shared" si="112"/>
        <v/>
      </c>
      <c r="H943" s="11" t="str">
        <f t="shared" si="113"/>
        <v/>
      </c>
      <c r="I943" s="55" t="str">
        <f t="shared" si="114"/>
        <v/>
      </c>
      <c r="J943" s="55" t="str">
        <f t="shared" si="115"/>
        <v/>
      </c>
      <c r="K943" s="4" t="str">
        <f t="shared" si="116"/>
        <v/>
      </c>
      <c r="L943" s="19" t="str">
        <f t="shared" si="117"/>
        <v/>
      </c>
      <c r="M943" s="12" t="str">
        <f>IF(A943="","",IFERROR(INDEX(المدخلات!$M$4:$M$15,MATCH(A943,المدخلات!$L$4:$L$15,0)),""))</f>
        <v/>
      </c>
      <c r="N943" s="4" t="str">
        <f t="shared" si="118"/>
        <v/>
      </c>
      <c r="O943" s="4" t="str">
        <f t="shared" si="119"/>
        <v/>
      </c>
    </row>
    <row r="944" spans="1:15">
      <c r="A944" s="11"/>
      <c r="B944" s="19"/>
      <c r="C944" s="19"/>
      <c r="D944" s="55"/>
      <c r="E944" s="56"/>
      <c r="F944" s="19"/>
      <c r="G944" s="4" t="str">
        <f t="shared" si="112"/>
        <v/>
      </c>
      <c r="H944" s="11" t="str">
        <f t="shared" si="113"/>
        <v/>
      </c>
      <c r="I944" s="55" t="str">
        <f t="shared" si="114"/>
        <v/>
      </c>
      <c r="J944" s="55" t="str">
        <f t="shared" si="115"/>
        <v/>
      </c>
      <c r="K944" s="4" t="str">
        <f t="shared" si="116"/>
        <v/>
      </c>
      <c r="L944" s="19" t="str">
        <f t="shared" si="117"/>
        <v/>
      </c>
      <c r="M944" s="12" t="str">
        <f>IF(A944="","",IFERROR(INDEX(المدخلات!$M$4:$M$15,MATCH(A944,المدخلات!$L$4:$L$15,0)),""))</f>
        <v/>
      </c>
      <c r="N944" s="4" t="str">
        <f t="shared" si="118"/>
        <v/>
      </c>
      <c r="O944" s="4" t="str">
        <f t="shared" si="119"/>
        <v/>
      </c>
    </row>
    <row r="945" spans="1:15">
      <c r="A945" s="11"/>
      <c r="B945" s="19"/>
      <c r="C945" s="19"/>
      <c r="D945" s="55"/>
      <c r="E945" s="56"/>
      <c r="F945" s="19"/>
      <c r="G945" s="4" t="str">
        <f t="shared" si="112"/>
        <v/>
      </c>
      <c r="H945" s="11" t="str">
        <f t="shared" si="113"/>
        <v/>
      </c>
      <c r="I945" s="55" t="str">
        <f t="shared" si="114"/>
        <v/>
      </c>
      <c r="J945" s="55" t="str">
        <f t="shared" si="115"/>
        <v/>
      </c>
      <c r="K945" s="4" t="str">
        <f t="shared" si="116"/>
        <v/>
      </c>
      <c r="L945" s="19" t="str">
        <f t="shared" si="117"/>
        <v/>
      </c>
      <c r="M945" s="12" t="str">
        <f>IF(A945="","",IFERROR(INDEX(المدخلات!$M$4:$M$15,MATCH(A945,المدخلات!$L$4:$L$15,0)),""))</f>
        <v/>
      </c>
      <c r="N945" s="4" t="str">
        <f t="shared" si="118"/>
        <v/>
      </c>
      <c r="O945" s="4" t="str">
        <f t="shared" si="119"/>
        <v/>
      </c>
    </row>
    <row r="946" spans="1:15">
      <c r="A946" s="11"/>
      <c r="B946" s="19"/>
      <c r="C946" s="19"/>
      <c r="D946" s="55"/>
      <c r="E946" s="56"/>
      <c r="F946" s="19"/>
      <c r="G946" s="4" t="str">
        <f t="shared" si="112"/>
        <v/>
      </c>
      <c r="H946" s="11" t="str">
        <f t="shared" si="113"/>
        <v/>
      </c>
      <c r="I946" s="55" t="str">
        <f t="shared" si="114"/>
        <v/>
      </c>
      <c r="J946" s="55" t="str">
        <f t="shared" si="115"/>
        <v/>
      </c>
      <c r="K946" s="4" t="str">
        <f t="shared" si="116"/>
        <v/>
      </c>
      <c r="L946" s="19" t="str">
        <f t="shared" si="117"/>
        <v/>
      </c>
      <c r="M946" s="12" t="str">
        <f>IF(A946="","",IFERROR(INDEX(المدخلات!$M$4:$M$15,MATCH(A946,المدخلات!$L$4:$L$15,0)),""))</f>
        <v/>
      </c>
      <c r="N946" s="4" t="str">
        <f t="shared" si="118"/>
        <v/>
      </c>
      <c r="O946" s="4" t="str">
        <f t="shared" si="119"/>
        <v/>
      </c>
    </row>
    <row r="947" spans="1:15">
      <c r="A947" s="11"/>
      <c r="B947" s="19"/>
      <c r="C947" s="19"/>
      <c r="D947" s="55"/>
      <c r="E947" s="56"/>
      <c r="F947" s="19"/>
      <c r="G947" s="4" t="str">
        <f t="shared" si="112"/>
        <v/>
      </c>
      <c r="H947" s="11" t="str">
        <f t="shared" si="113"/>
        <v/>
      </c>
      <c r="I947" s="55" t="str">
        <f t="shared" si="114"/>
        <v/>
      </c>
      <c r="J947" s="55" t="str">
        <f t="shared" si="115"/>
        <v/>
      </c>
      <c r="K947" s="4" t="str">
        <f t="shared" si="116"/>
        <v/>
      </c>
      <c r="L947" s="19" t="str">
        <f t="shared" si="117"/>
        <v/>
      </c>
      <c r="M947" s="12" t="str">
        <f>IF(A947="","",IFERROR(INDEX(المدخلات!$M$4:$M$15,MATCH(A947,المدخلات!$L$4:$L$15,0)),""))</f>
        <v/>
      </c>
      <c r="N947" s="4" t="str">
        <f t="shared" si="118"/>
        <v/>
      </c>
      <c r="O947" s="4" t="str">
        <f t="shared" si="119"/>
        <v/>
      </c>
    </row>
    <row r="948" spans="1:15">
      <c r="A948" s="11"/>
      <c r="B948" s="19"/>
      <c r="C948" s="19"/>
      <c r="D948" s="55"/>
      <c r="E948" s="56"/>
      <c r="F948" s="19"/>
      <c r="G948" s="4" t="str">
        <f t="shared" si="112"/>
        <v/>
      </c>
      <c r="H948" s="11" t="str">
        <f t="shared" si="113"/>
        <v/>
      </c>
      <c r="I948" s="55" t="str">
        <f t="shared" si="114"/>
        <v/>
      </c>
      <c r="J948" s="55" t="str">
        <f t="shared" si="115"/>
        <v/>
      </c>
      <c r="K948" s="4" t="str">
        <f t="shared" si="116"/>
        <v/>
      </c>
      <c r="L948" s="19" t="str">
        <f t="shared" si="117"/>
        <v/>
      </c>
      <c r="M948" s="12" t="str">
        <f>IF(A948="","",IFERROR(INDEX(المدخلات!$M$4:$M$15,MATCH(A948,المدخلات!$L$4:$L$15,0)),""))</f>
        <v/>
      </c>
      <c r="N948" s="4" t="str">
        <f t="shared" si="118"/>
        <v/>
      </c>
      <c r="O948" s="4" t="str">
        <f t="shared" si="119"/>
        <v/>
      </c>
    </row>
    <row r="949" spans="1:15">
      <c r="A949" s="11"/>
      <c r="B949" s="19"/>
      <c r="C949" s="19"/>
      <c r="D949" s="55"/>
      <c r="E949" s="56"/>
      <c r="F949" s="19"/>
      <c r="G949" s="4" t="str">
        <f t="shared" si="112"/>
        <v/>
      </c>
      <c r="H949" s="11" t="str">
        <f t="shared" si="113"/>
        <v/>
      </c>
      <c r="I949" s="55" t="str">
        <f t="shared" si="114"/>
        <v/>
      </c>
      <c r="J949" s="55" t="str">
        <f t="shared" si="115"/>
        <v/>
      </c>
      <c r="K949" s="4" t="str">
        <f t="shared" si="116"/>
        <v/>
      </c>
      <c r="L949" s="19" t="str">
        <f t="shared" si="117"/>
        <v/>
      </c>
      <c r="M949" s="12" t="str">
        <f>IF(A949="","",IFERROR(INDEX(المدخلات!$M$4:$M$15,MATCH(A949,المدخلات!$L$4:$L$15,0)),""))</f>
        <v/>
      </c>
      <c r="N949" s="4" t="str">
        <f t="shared" si="118"/>
        <v/>
      </c>
      <c r="O949" s="4" t="str">
        <f t="shared" si="119"/>
        <v/>
      </c>
    </row>
    <row r="950" spans="1:15">
      <c r="A950" s="11"/>
      <c r="B950" s="19"/>
      <c r="C950" s="19"/>
      <c r="D950" s="55"/>
      <c r="E950" s="56"/>
      <c r="F950" s="19"/>
      <c r="G950" s="4" t="str">
        <f t="shared" si="112"/>
        <v/>
      </c>
      <c r="H950" s="11" t="str">
        <f t="shared" si="113"/>
        <v/>
      </c>
      <c r="I950" s="55" t="str">
        <f t="shared" si="114"/>
        <v/>
      </c>
      <c r="J950" s="55" t="str">
        <f t="shared" si="115"/>
        <v/>
      </c>
      <c r="K950" s="4" t="str">
        <f t="shared" si="116"/>
        <v/>
      </c>
      <c r="L950" s="19" t="str">
        <f t="shared" si="117"/>
        <v/>
      </c>
      <c r="M950" s="12" t="str">
        <f>IF(A950="","",IFERROR(INDEX(المدخلات!$M$4:$M$15,MATCH(A950,المدخلات!$L$4:$L$15,0)),""))</f>
        <v/>
      </c>
      <c r="N950" s="4" t="str">
        <f t="shared" si="118"/>
        <v/>
      </c>
      <c r="O950" s="4" t="str">
        <f t="shared" si="119"/>
        <v/>
      </c>
    </row>
    <row r="951" spans="1:15">
      <c r="A951" s="11"/>
      <c r="B951" s="19"/>
      <c r="C951" s="19"/>
      <c r="D951" s="55"/>
      <c r="E951" s="56"/>
      <c r="F951" s="19"/>
      <c r="G951" s="4" t="str">
        <f t="shared" si="112"/>
        <v/>
      </c>
      <c r="H951" s="11" t="str">
        <f t="shared" si="113"/>
        <v/>
      </c>
      <c r="I951" s="55" t="str">
        <f t="shared" si="114"/>
        <v/>
      </c>
      <c r="J951" s="55" t="str">
        <f t="shared" si="115"/>
        <v/>
      </c>
      <c r="K951" s="4" t="str">
        <f t="shared" si="116"/>
        <v/>
      </c>
      <c r="L951" s="19" t="str">
        <f t="shared" si="117"/>
        <v/>
      </c>
      <c r="M951" s="12" t="str">
        <f>IF(A951="","",IFERROR(INDEX(المدخلات!$M$4:$M$15,MATCH(A951,المدخلات!$L$4:$L$15,0)),""))</f>
        <v/>
      </c>
      <c r="N951" s="4" t="str">
        <f t="shared" si="118"/>
        <v/>
      </c>
      <c r="O951" s="4" t="str">
        <f t="shared" si="119"/>
        <v/>
      </c>
    </row>
    <row r="952" spans="1:15">
      <c r="A952" s="11"/>
      <c r="B952" s="19"/>
      <c r="C952" s="19"/>
      <c r="D952" s="55"/>
      <c r="E952" s="56"/>
      <c r="F952" s="19"/>
      <c r="G952" s="4" t="str">
        <f t="shared" si="112"/>
        <v/>
      </c>
      <c r="H952" s="11" t="str">
        <f t="shared" si="113"/>
        <v/>
      </c>
      <c r="I952" s="55" t="str">
        <f t="shared" si="114"/>
        <v/>
      </c>
      <c r="J952" s="55" t="str">
        <f t="shared" si="115"/>
        <v/>
      </c>
      <c r="K952" s="4" t="str">
        <f t="shared" si="116"/>
        <v/>
      </c>
      <c r="L952" s="19" t="str">
        <f t="shared" si="117"/>
        <v/>
      </c>
      <c r="M952" s="12" t="str">
        <f>IF(A952="","",IFERROR(INDEX(المدخلات!$M$4:$M$15,MATCH(A952,المدخلات!$L$4:$L$15,0)),""))</f>
        <v/>
      </c>
      <c r="N952" s="4" t="str">
        <f t="shared" si="118"/>
        <v/>
      </c>
      <c r="O952" s="4" t="str">
        <f t="shared" si="119"/>
        <v/>
      </c>
    </row>
    <row r="953" spans="1:15">
      <c r="A953" s="11"/>
      <c r="B953" s="19"/>
      <c r="C953" s="19"/>
      <c r="D953" s="55"/>
      <c r="E953" s="56"/>
      <c r="F953" s="19"/>
      <c r="G953" s="4" t="str">
        <f t="shared" si="112"/>
        <v/>
      </c>
      <c r="H953" s="11" t="str">
        <f t="shared" si="113"/>
        <v/>
      </c>
      <c r="I953" s="55" t="str">
        <f t="shared" si="114"/>
        <v/>
      </c>
      <c r="J953" s="55" t="str">
        <f t="shared" si="115"/>
        <v/>
      </c>
      <c r="K953" s="4" t="str">
        <f t="shared" si="116"/>
        <v/>
      </c>
      <c r="L953" s="19" t="str">
        <f t="shared" si="117"/>
        <v/>
      </c>
      <c r="M953" s="12" t="str">
        <f>IF(A953="","",IFERROR(INDEX(المدخلات!$M$4:$M$15,MATCH(A953,المدخلات!$L$4:$L$15,0)),""))</f>
        <v/>
      </c>
      <c r="N953" s="4" t="str">
        <f t="shared" si="118"/>
        <v/>
      </c>
      <c r="O953" s="4" t="str">
        <f t="shared" si="119"/>
        <v/>
      </c>
    </row>
    <row r="954" spans="1:15">
      <c r="A954" s="11"/>
      <c r="B954" s="19"/>
      <c r="C954" s="19"/>
      <c r="D954" s="55"/>
      <c r="E954" s="56"/>
      <c r="F954" s="19"/>
      <c r="G954" s="4" t="str">
        <f t="shared" si="112"/>
        <v/>
      </c>
      <c r="H954" s="11" t="str">
        <f t="shared" si="113"/>
        <v/>
      </c>
      <c r="I954" s="55" t="str">
        <f t="shared" si="114"/>
        <v/>
      </c>
      <c r="J954" s="55" t="str">
        <f t="shared" si="115"/>
        <v/>
      </c>
      <c r="K954" s="4" t="str">
        <f t="shared" si="116"/>
        <v/>
      </c>
      <c r="L954" s="19" t="str">
        <f t="shared" si="117"/>
        <v/>
      </c>
      <c r="M954" s="12" t="str">
        <f>IF(A954="","",IFERROR(INDEX(المدخلات!$M$4:$M$15,MATCH(A954,المدخلات!$L$4:$L$15,0)),""))</f>
        <v/>
      </c>
      <c r="N954" s="4" t="str">
        <f t="shared" si="118"/>
        <v/>
      </c>
      <c r="O954" s="4" t="str">
        <f t="shared" si="119"/>
        <v/>
      </c>
    </row>
    <row r="955" spans="1:15">
      <c r="A955" s="11"/>
      <c r="B955" s="19"/>
      <c r="C955" s="19"/>
      <c r="D955" s="55"/>
      <c r="E955" s="56"/>
      <c r="F955" s="19"/>
      <c r="G955" s="4" t="str">
        <f t="shared" si="112"/>
        <v/>
      </c>
      <c r="H955" s="11" t="str">
        <f t="shared" si="113"/>
        <v/>
      </c>
      <c r="I955" s="55" t="str">
        <f t="shared" si="114"/>
        <v/>
      </c>
      <c r="J955" s="55" t="str">
        <f t="shared" si="115"/>
        <v/>
      </c>
      <c r="K955" s="4" t="str">
        <f t="shared" si="116"/>
        <v/>
      </c>
      <c r="L955" s="19" t="str">
        <f t="shared" si="117"/>
        <v/>
      </c>
      <c r="M955" s="12" t="str">
        <f>IF(A955="","",IFERROR(INDEX(المدخلات!$M$4:$M$15,MATCH(A955,المدخلات!$L$4:$L$15,0)),""))</f>
        <v/>
      </c>
      <c r="N955" s="4" t="str">
        <f t="shared" si="118"/>
        <v/>
      </c>
      <c r="O955" s="4" t="str">
        <f t="shared" si="119"/>
        <v/>
      </c>
    </row>
    <row r="956" spans="1:15">
      <c r="A956" s="11"/>
      <c r="B956" s="19"/>
      <c r="C956" s="19"/>
      <c r="D956" s="55"/>
      <c r="E956" s="56"/>
      <c r="F956" s="19"/>
      <c r="G956" s="4" t="str">
        <f t="shared" si="112"/>
        <v/>
      </c>
      <c r="H956" s="11" t="str">
        <f t="shared" si="113"/>
        <v/>
      </c>
      <c r="I956" s="55" t="str">
        <f t="shared" si="114"/>
        <v/>
      </c>
      <c r="J956" s="55" t="str">
        <f t="shared" si="115"/>
        <v/>
      </c>
      <c r="K956" s="4" t="str">
        <f t="shared" si="116"/>
        <v/>
      </c>
      <c r="L956" s="19" t="str">
        <f t="shared" si="117"/>
        <v/>
      </c>
      <c r="M956" s="12" t="str">
        <f>IF(A956="","",IFERROR(INDEX(المدخلات!$M$4:$M$15,MATCH(A956,المدخلات!$L$4:$L$15,0)),""))</f>
        <v/>
      </c>
      <c r="N956" s="4" t="str">
        <f t="shared" si="118"/>
        <v/>
      </c>
      <c r="O956" s="4" t="str">
        <f t="shared" si="119"/>
        <v/>
      </c>
    </row>
    <row r="957" spans="1:15">
      <c r="A957" s="11"/>
      <c r="B957" s="19"/>
      <c r="C957" s="19"/>
      <c r="D957" s="55"/>
      <c r="E957" s="56"/>
      <c r="F957" s="19"/>
      <c r="G957" s="4" t="str">
        <f t="shared" si="112"/>
        <v/>
      </c>
      <c r="H957" s="11" t="str">
        <f t="shared" si="113"/>
        <v/>
      </c>
      <c r="I957" s="55" t="str">
        <f t="shared" si="114"/>
        <v/>
      </c>
      <c r="J957" s="55" t="str">
        <f t="shared" si="115"/>
        <v/>
      </c>
      <c r="K957" s="4" t="str">
        <f t="shared" si="116"/>
        <v/>
      </c>
      <c r="L957" s="19" t="str">
        <f t="shared" si="117"/>
        <v/>
      </c>
      <c r="M957" s="12" t="str">
        <f>IF(A957="","",IFERROR(INDEX(المدخلات!$M$4:$M$15,MATCH(A957,المدخلات!$L$4:$L$15,0)),""))</f>
        <v/>
      </c>
      <c r="N957" s="4" t="str">
        <f t="shared" si="118"/>
        <v/>
      </c>
      <c r="O957" s="4" t="str">
        <f t="shared" si="119"/>
        <v/>
      </c>
    </row>
    <row r="958" spans="1:15">
      <c r="A958" s="11"/>
      <c r="B958" s="19"/>
      <c r="C958" s="19"/>
      <c r="D958" s="55"/>
      <c r="E958" s="56"/>
      <c r="F958" s="19"/>
      <c r="G958" s="4" t="str">
        <f t="shared" si="112"/>
        <v/>
      </c>
      <c r="H958" s="11" t="str">
        <f t="shared" si="113"/>
        <v/>
      </c>
      <c r="I958" s="55" t="str">
        <f t="shared" si="114"/>
        <v/>
      </c>
      <c r="J958" s="55" t="str">
        <f t="shared" si="115"/>
        <v/>
      </c>
      <c r="K958" s="4" t="str">
        <f t="shared" si="116"/>
        <v/>
      </c>
      <c r="L958" s="19" t="str">
        <f t="shared" si="117"/>
        <v/>
      </c>
      <c r="M958" s="12" t="str">
        <f>IF(A958="","",IFERROR(INDEX(المدخلات!$M$4:$M$15,MATCH(A958,المدخلات!$L$4:$L$15,0)),""))</f>
        <v/>
      </c>
      <c r="N958" s="4" t="str">
        <f t="shared" si="118"/>
        <v/>
      </c>
      <c r="O958" s="4" t="str">
        <f t="shared" si="119"/>
        <v/>
      </c>
    </row>
    <row r="959" spans="1:15">
      <c r="A959" s="11"/>
      <c r="B959" s="19"/>
      <c r="C959" s="19"/>
      <c r="D959" s="55"/>
      <c r="E959" s="56"/>
      <c r="F959" s="19"/>
      <c r="G959" s="4" t="str">
        <f t="shared" si="112"/>
        <v/>
      </c>
      <c r="H959" s="11" t="str">
        <f t="shared" si="113"/>
        <v/>
      </c>
      <c r="I959" s="55" t="str">
        <f t="shared" si="114"/>
        <v/>
      </c>
      <c r="J959" s="55" t="str">
        <f t="shared" si="115"/>
        <v/>
      </c>
      <c r="K959" s="4" t="str">
        <f t="shared" si="116"/>
        <v/>
      </c>
      <c r="L959" s="19" t="str">
        <f t="shared" si="117"/>
        <v/>
      </c>
      <c r="M959" s="12" t="str">
        <f>IF(A959="","",IFERROR(INDEX(المدخلات!$M$4:$M$15,MATCH(A959,المدخلات!$L$4:$L$15,0)),""))</f>
        <v/>
      </c>
      <c r="N959" s="4" t="str">
        <f t="shared" si="118"/>
        <v/>
      </c>
      <c r="O959" s="4" t="str">
        <f t="shared" si="119"/>
        <v/>
      </c>
    </row>
    <row r="960" spans="1:15">
      <c r="A960" s="11"/>
      <c r="B960" s="19"/>
      <c r="C960" s="19"/>
      <c r="D960" s="55"/>
      <c r="E960" s="56"/>
      <c r="F960" s="19"/>
      <c r="G960" s="4" t="str">
        <f t="shared" si="112"/>
        <v/>
      </c>
      <c r="H960" s="11" t="str">
        <f t="shared" si="113"/>
        <v/>
      </c>
      <c r="I960" s="55" t="str">
        <f t="shared" si="114"/>
        <v/>
      </c>
      <c r="J960" s="55" t="str">
        <f t="shared" si="115"/>
        <v/>
      </c>
      <c r="K960" s="4" t="str">
        <f t="shared" si="116"/>
        <v/>
      </c>
      <c r="L960" s="19" t="str">
        <f t="shared" si="117"/>
        <v/>
      </c>
      <c r="M960" s="12" t="str">
        <f>IF(A960="","",IFERROR(INDEX(المدخلات!$M$4:$M$15,MATCH(A960,المدخلات!$L$4:$L$15,0)),""))</f>
        <v/>
      </c>
      <c r="N960" s="4" t="str">
        <f t="shared" si="118"/>
        <v/>
      </c>
      <c r="O960" s="4" t="str">
        <f t="shared" si="119"/>
        <v/>
      </c>
    </row>
    <row r="961" spans="1:15">
      <c r="A961" s="11"/>
      <c r="B961" s="19"/>
      <c r="C961" s="19"/>
      <c r="D961" s="55"/>
      <c r="E961" s="56"/>
      <c r="F961" s="19"/>
      <c r="G961" s="4" t="str">
        <f t="shared" si="112"/>
        <v/>
      </c>
      <c r="H961" s="11" t="str">
        <f t="shared" si="113"/>
        <v/>
      </c>
      <c r="I961" s="55" t="str">
        <f t="shared" si="114"/>
        <v/>
      </c>
      <c r="J961" s="55" t="str">
        <f t="shared" si="115"/>
        <v/>
      </c>
      <c r="K961" s="4" t="str">
        <f t="shared" si="116"/>
        <v/>
      </c>
      <c r="L961" s="19" t="str">
        <f t="shared" si="117"/>
        <v/>
      </c>
      <c r="M961" s="12" t="str">
        <f>IF(A961="","",IFERROR(INDEX(المدخلات!$M$4:$M$15,MATCH(A961,المدخلات!$L$4:$L$15,0)),""))</f>
        <v/>
      </c>
      <c r="N961" s="4" t="str">
        <f t="shared" si="118"/>
        <v/>
      </c>
      <c r="O961" s="4" t="str">
        <f t="shared" si="119"/>
        <v/>
      </c>
    </row>
    <row r="962" spans="1:15">
      <c r="A962" s="11"/>
      <c r="B962" s="19"/>
      <c r="C962" s="19"/>
      <c r="D962" s="55"/>
      <c r="E962" s="56"/>
      <c r="F962" s="19"/>
      <c r="G962" s="4" t="str">
        <f t="shared" si="112"/>
        <v/>
      </c>
      <c r="H962" s="11" t="str">
        <f t="shared" si="113"/>
        <v/>
      </c>
      <c r="I962" s="55" t="str">
        <f t="shared" si="114"/>
        <v/>
      </c>
      <c r="J962" s="55" t="str">
        <f t="shared" si="115"/>
        <v/>
      </c>
      <c r="K962" s="4" t="str">
        <f t="shared" si="116"/>
        <v/>
      </c>
      <c r="L962" s="19" t="str">
        <f t="shared" si="117"/>
        <v/>
      </c>
      <c r="M962" s="12" t="str">
        <f>IF(A962="","",IFERROR(INDEX(المدخلات!$M$4:$M$15,MATCH(A962,المدخلات!$L$4:$L$15,0)),""))</f>
        <v/>
      </c>
      <c r="N962" s="4" t="str">
        <f t="shared" si="118"/>
        <v/>
      </c>
      <c r="O962" s="4" t="str">
        <f t="shared" si="119"/>
        <v/>
      </c>
    </row>
    <row r="963" spans="1:15">
      <c r="A963" s="11"/>
      <c r="B963" s="19"/>
      <c r="C963" s="19"/>
      <c r="D963" s="55"/>
      <c r="E963" s="56"/>
      <c r="F963" s="19"/>
      <c r="G963" s="4" t="str">
        <f t="shared" si="112"/>
        <v/>
      </c>
      <c r="H963" s="11" t="str">
        <f t="shared" si="113"/>
        <v/>
      </c>
      <c r="I963" s="55" t="str">
        <f t="shared" si="114"/>
        <v/>
      </c>
      <c r="J963" s="55" t="str">
        <f t="shared" si="115"/>
        <v/>
      </c>
      <c r="K963" s="4" t="str">
        <f t="shared" si="116"/>
        <v/>
      </c>
      <c r="L963" s="19" t="str">
        <f t="shared" si="117"/>
        <v/>
      </c>
      <c r="M963" s="12" t="str">
        <f>IF(A963="","",IFERROR(INDEX(المدخلات!$M$4:$M$15,MATCH(A963,المدخلات!$L$4:$L$15,0)),""))</f>
        <v/>
      </c>
      <c r="N963" s="4" t="str">
        <f t="shared" si="118"/>
        <v/>
      </c>
      <c r="O963" s="4" t="str">
        <f t="shared" si="119"/>
        <v/>
      </c>
    </row>
    <row r="964" spans="1:15">
      <c r="A964" s="11"/>
      <c r="B964" s="19"/>
      <c r="C964" s="19"/>
      <c r="D964" s="55"/>
      <c r="E964" s="56"/>
      <c r="F964" s="19"/>
      <c r="G964" s="4" t="str">
        <f t="shared" si="112"/>
        <v/>
      </c>
      <c r="H964" s="11" t="str">
        <f t="shared" si="113"/>
        <v/>
      </c>
      <c r="I964" s="55" t="str">
        <f t="shared" si="114"/>
        <v/>
      </c>
      <c r="J964" s="55" t="str">
        <f t="shared" si="115"/>
        <v/>
      </c>
      <c r="K964" s="4" t="str">
        <f t="shared" si="116"/>
        <v/>
      </c>
      <c r="L964" s="19" t="str">
        <f t="shared" si="117"/>
        <v/>
      </c>
      <c r="M964" s="12" t="str">
        <f>IF(A964="","",IFERROR(INDEX(المدخلات!$M$4:$M$15,MATCH(A964,المدخلات!$L$4:$L$15,0)),""))</f>
        <v/>
      </c>
      <c r="N964" s="4" t="str">
        <f t="shared" si="118"/>
        <v/>
      </c>
      <c r="O964" s="4" t="str">
        <f t="shared" si="119"/>
        <v/>
      </c>
    </row>
    <row r="965" spans="1:15">
      <c r="A965" s="11"/>
      <c r="B965" s="19"/>
      <c r="C965" s="19"/>
      <c r="D965" s="55"/>
      <c r="E965" s="56"/>
      <c r="F965" s="19"/>
      <c r="G965" s="4" t="str">
        <f t="shared" ref="G965:G1028" si="120">IF(OR(D965="",E965=""),"",D965*E965)</f>
        <v/>
      </c>
      <c r="H965" s="11" t="str">
        <f t="shared" ref="H965:H1028" si="121">IF(C965="","",IFERROR(_xlfn.MAXIFS($A$5:$A$2003,$C$5:$C$2003,C965,$A$5:$A$2003,"&lt;"&amp;A965),0))</f>
        <v/>
      </c>
      <c r="I965" s="55" t="str">
        <f t="shared" ref="I965:I1028" si="122">IF(OR(H965="",H965=0),"",IFERROR(SUMIFS($D$5:$D$2003,$C$5:$C$2003,C965,$A$5:$A$2003,H965),""))</f>
        <v/>
      </c>
      <c r="J965" s="55" t="str">
        <f t="shared" ref="J965:J1028" si="123">IF(C965="","",IF(I965="",0,MAX(I965-D965,0)))</f>
        <v/>
      </c>
      <c r="K965" s="4" t="str">
        <f t="shared" ref="K965:K1028" si="124">IF(J965="","",J965*E965)</f>
        <v/>
      </c>
      <c r="L965" s="19" t="str">
        <f t="shared" ref="L965:L1028" si="125">IF(C965="","",IF(COUNTIFS($A$5:$A$2003,A965,$C$5:$C$2003,C965)&gt;1,"⚠️ مادة مكررة بنفس الشهر",IF(OR(H965="",H965=0),"🆕 أول ظهور لهذه المادة",IF(D965&gt;I965,"ℹ️ زيادة كمية (شراء/تصحيح) - لا تُحتسب استهلاكاً",IF(D965=I965,"➖ لا تغيير","")))))</f>
        <v/>
      </c>
      <c r="M965" s="12" t="str">
        <f>IF(A965="","",IFERROR(INDEX(المدخلات!$M$4:$M$15,MATCH(A965,المدخلات!$L$4:$L$15,0)),""))</f>
        <v/>
      </c>
      <c r="N965" s="4" t="str">
        <f t="shared" ref="N965:N1028" si="126">IF(OR(G965="",F965=""),"",IF(F965="دولار أمريكي",IF(M965="","⚠️ لا يوجد سعر صرف",G965*M965),G965))</f>
        <v/>
      </c>
      <c r="O965" s="4" t="str">
        <f t="shared" ref="O965:O1028" si="127">IF(OR(K965="",F965=""),"",IF(F965="دولار أمريكي",IF(M965="","⚠️ لا يوجد سعر صرف",K965*M965),K965))</f>
        <v/>
      </c>
    </row>
    <row r="966" spans="1:15">
      <c r="A966" s="11"/>
      <c r="B966" s="19"/>
      <c r="C966" s="19"/>
      <c r="D966" s="55"/>
      <c r="E966" s="56"/>
      <c r="F966" s="19"/>
      <c r="G966" s="4" t="str">
        <f t="shared" si="120"/>
        <v/>
      </c>
      <c r="H966" s="11" t="str">
        <f t="shared" si="121"/>
        <v/>
      </c>
      <c r="I966" s="55" t="str">
        <f t="shared" si="122"/>
        <v/>
      </c>
      <c r="J966" s="55" t="str">
        <f t="shared" si="123"/>
        <v/>
      </c>
      <c r="K966" s="4" t="str">
        <f t="shared" si="124"/>
        <v/>
      </c>
      <c r="L966" s="19" t="str">
        <f t="shared" si="125"/>
        <v/>
      </c>
      <c r="M966" s="12" t="str">
        <f>IF(A966="","",IFERROR(INDEX(المدخلات!$M$4:$M$15,MATCH(A966,المدخلات!$L$4:$L$15,0)),""))</f>
        <v/>
      </c>
      <c r="N966" s="4" t="str">
        <f t="shared" si="126"/>
        <v/>
      </c>
      <c r="O966" s="4" t="str">
        <f t="shared" si="127"/>
        <v/>
      </c>
    </row>
    <row r="967" spans="1:15">
      <c r="A967" s="11"/>
      <c r="B967" s="19"/>
      <c r="C967" s="19"/>
      <c r="D967" s="55"/>
      <c r="E967" s="56"/>
      <c r="F967" s="19"/>
      <c r="G967" s="4" t="str">
        <f t="shared" si="120"/>
        <v/>
      </c>
      <c r="H967" s="11" t="str">
        <f t="shared" si="121"/>
        <v/>
      </c>
      <c r="I967" s="55" t="str">
        <f t="shared" si="122"/>
        <v/>
      </c>
      <c r="J967" s="55" t="str">
        <f t="shared" si="123"/>
        <v/>
      </c>
      <c r="K967" s="4" t="str">
        <f t="shared" si="124"/>
        <v/>
      </c>
      <c r="L967" s="19" t="str">
        <f t="shared" si="125"/>
        <v/>
      </c>
      <c r="M967" s="12" t="str">
        <f>IF(A967="","",IFERROR(INDEX(المدخلات!$M$4:$M$15,MATCH(A967,المدخلات!$L$4:$L$15,0)),""))</f>
        <v/>
      </c>
      <c r="N967" s="4" t="str">
        <f t="shared" si="126"/>
        <v/>
      </c>
      <c r="O967" s="4" t="str">
        <f t="shared" si="127"/>
        <v/>
      </c>
    </row>
    <row r="968" spans="1:15">
      <c r="A968" s="11"/>
      <c r="B968" s="19"/>
      <c r="C968" s="19"/>
      <c r="D968" s="55"/>
      <c r="E968" s="56"/>
      <c r="F968" s="19"/>
      <c r="G968" s="4" t="str">
        <f t="shared" si="120"/>
        <v/>
      </c>
      <c r="H968" s="11" t="str">
        <f t="shared" si="121"/>
        <v/>
      </c>
      <c r="I968" s="55" t="str">
        <f t="shared" si="122"/>
        <v/>
      </c>
      <c r="J968" s="55" t="str">
        <f t="shared" si="123"/>
        <v/>
      </c>
      <c r="K968" s="4" t="str">
        <f t="shared" si="124"/>
        <v/>
      </c>
      <c r="L968" s="19" t="str">
        <f t="shared" si="125"/>
        <v/>
      </c>
      <c r="M968" s="12" t="str">
        <f>IF(A968="","",IFERROR(INDEX(المدخلات!$M$4:$M$15,MATCH(A968,المدخلات!$L$4:$L$15,0)),""))</f>
        <v/>
      </c>
      <c r="N968" s="4" t="str">
        <f t="shared" si="126"/>
        <v/>
      </c>
      <c r="O968" s="4" t="str">
        <f t="shared" si="127"/>
        <v/>
      </c>
    </row>
    <row r="969" spans="1:15">
      <c r="A969" s="11"/>
      <c r="B969" s="19"/>
      <c r="C969" s="19"/>
      <c r="D969" s="55"/>
      <c r="E969" s="56"/>
      <c r="F969" s="19"/>
      <c r="G969" s="4" t="str">
        <f t="shared" si="120"/>
        <v/>
      </c>
      <c r="H969" s="11" t="str">
        <f t="shared" si="121"/>
        <v/>
      </c>
      <c r="I969" s="55" t="str">
        <f t="shared" si="122"/>
        <v/>
      </c>
      <c r="J969" s="55" t="str">
        <f t="shared" si="123"/>
        <v/>
      </c>
      <c r="K969" s="4" t="str">
        <f t="shared" si="124"/>
        <v/>
      </c>
      <c r="L969" s="19" t="str">
        <f t="shared" si="125"/>
        <v/>
      </c>
      <c r="M969" s="12" t="str">
        <f>IF(A969="","",IFERROR(INDEX(المدخلات!$M$4:$M$15,MATCH(A969,المدخلات!$L$4:$L$15,0)),""))</f>
        <v/>
      </c>
      <c r="N969" s="4" t="str">
        <f t="shared" si="126"/>
        <v/>
      </c>
      <c r="O969" s="4" t="str">
        <f t="shared" si="127"/>
        <v/>
      </c>
    </row>
    <row r="970" spans="1:15">
      <c r="A970" s="11"/>
      <c r="B970" s="19"/>
      <c r="C970" s="19"/>
      <c r="D970" s="55"/>
      <c r="E970" s="56"/>
      <c r="F970" s="19"/>
      <c r="G970" s="4" t="str">
        <f t="shared" si="120"/>
        <v/>
      </c>
      <c r="H970" s="11" t="str">
        <f t="shared" si="121"/>
        <v/>
      </c>
      <c r="I970" s="55" t="str">
        <f t="shared" si="122"/>
        <v/>
      </c>
      <c r="J970" s="55" t="str">
        <f t="shared" si="123"/>
        <v/>
      </c>
      <c r="K970" s="4" t="str">
        <f t="shared" si="124"/>
        <v/>
      </c>
      <c r="L970" s="19" t="str">
        <f t="shared" si="125"/>
        <v/>
      </c>
      <c r="M970" s="12" t="str">
        <f>IF(A970="","",IFERROR(INDEX(المدخلات!$M$4:$M$15,MATCH(A970,المدخلات!$L$4:$L$15,0)),""))</f>
        <v/>
      </c>
      <c r="N970" s="4" t="str">
        <f t="shared" si="126"/>
        <v/>
      </c>
      <c r="O970" s="4" t="str">
        <f t="shared" si="127"/>
        <v/>
      </c>
    </row>
    <row r="971" spans="1:15">
      <c r="A971" s="11"/>
      <c r="B971" s="19"/>
      <c r="C971" s="19"/>
      <c r="D971" s="55"/>
      <c r="E971" s="56"/>
      <c r="F971" s="19"/>
      <c r="G971" s="4" t="str">
        <f t="shared" si="120"/>
        <v/>
      </c>
      <c r="H971" s="11" t="str">
        <f t="shared" si="121"/>
        <v/>
      </c>
      <c r="I971" s="55" t="str">
        <f t="shared" si="122"/>
        <v/>
      </c>
      <c r="J971" s="55" t="str">
        <f t="shared" si="123"/>
        <v/>
      </c>
      <c r="K971" s="4" t="str">
        <f t="shared" si="124"/>
        <v/>
      </c>
      <c r="L971" s="19" t="str">
        <f t="shared" si="125"/>
        <v/>
      </c>
      <c r="M971" s="12" t="str">
        <f>IF(A971="","",IFERROR(INDEX(المدخلات!$M$4:$M$15,MATCH(A971,المدخلات!$L$4:$L$15,0)),""))</f>
        <v/>
      </c>
      <c r="N971" s="4" t="str">
        <f t="shared" si="126"/>
        <v/>
      </c>
      <c r="O971" s="4" t="str">
        <f t="shared" si="127"/>
        <v/>
      </c>
    </row>
    <row r="972" spans="1:15">
      <c r="A972" s="11"/>
      <c r="B972" s="19"/>
      <c r="C972" s="19"/>
      <c r="D972" s="55"/>
      <c r="E972" s="56"/>
      <c r="F972" s="19"/>
      <c r="G972" s="4" t="str">
        <f t="shared" si="120"/>
        <v/>
      </c>
      <c r="H972" s="11" t="str">
        <f t="shared" si="121"/>
        <v/>
      </c>
      <c r="I972" s="55" t="str">
        <f t="shared" si="122"/>
        <v/>
      </c>
      <c r="J972" s="55" t="str">
        <f t="shared" si="123"/>
        <v/>
      </c>
      <c r="K972" s="4" t="str">
        <f t="shared" si="124"/>
        <v/>
      </c>
      <c r="L972" s="19" t="str">
        <f t="shared" si="125"/>
        <v/>
      </c>
      <c r="M972" s="12" t="str">
        <f>IF(A972="","",IFERROR(INDEX(المدخلات!$M$4:$M$15,MATCH(A972,المدخلات!$L$4:$L$15,0)),""))</f>
        <v/>
      </c>
      <c r="N972" s="4" t="str">
        <f t="shared" si="126"/>
        <v/>
      </c>
      <c r="O972" s="4" t="str">
        <f t="shared" si="127"/>
        <v/>
      </c>
    </row>
    <row r="973" spans="1:15">
      <c r="A973" s="11"/>
      <c r="B973" s="19"/>
      <c r="C973" s="19"/>
      <c r="D973" s="55"/>
      <c r="E973" s="56"/>
      <c r="F973" s="19"/>
      <c r="G973" s="4" t="str">
        <f t="shared" si="120"/>
        <v/>
      </c>
      <c r="H973" s="11" t="str">
        <f t="shared" si="121"/>
        <v/>
      </c>
      <c r="I973" s="55" t="str">
        <f t="shared" si="122"/>
        <v/>
      </c>
      <c r="J973" s="55" t="str">
        <f t="shared" si="123"/>
        <v/>
      </c>
      <c r="K973" s="4" t="str">
        <f t="shared" si="124"/>
        <v/>
      </c>
      <c r="L973" s="19" t="str">
        <f t="shared" si="125"/>
        <v/>
      </c>
      <c r="M973" s="12" t="str">
        <f>IF(A973="","",IFERROR(INDEX(المدخلات!$M$4:$M$15,MATCH(A973,المدخلات!$L$4:$L$15,0)),""))</f>
        <v/>
      </c>
      <c r="N973" s="4" t="str">
        <f t="shared" si="126"/>
        <v/>
      </c>
      <c r="O973" s="4" t="str">
        <f t="shared" si="127"/>
        <v/>
      </c>
    </row>
    <row r="974" spans="1:15">
      <c r="A974" s="11"/>
      <c r="B974" s="19"/>
      <c r="C974" s="19"/>
      <c r="D974" s="55"/>
      <c r="E974" s="56"/>
      <c r="F974" s="19"/>
      <c r="G974" s="4" t="str">
        <f t="shared" si="120"/>
        <v/>
      </c>
      <c r="H974" s="11" t="str">
        <f t="shared" si="121"/>
        <v/>
      </c>
      <c r="I974" s="55" t="str">
        <f t="shared" si="122"/>
        <v/>
      </c>
      <c r="J974" s="55" t="str">
        <f t="shared" si="123"/>
        <v/>
      </c>
      <c r="K974" s="4" t="str">
        <f t="shared" si="124"/>
        <v/>
      </c>
      <c r="L974" s="19" t="str">
        <f t="shared" si="125"/>
        <v/>
      </c>
      <c r="M974" s="12" t="str">
        <f>IF(A974="","",IFERROR(INDEX(المدخلات!$M$4:$M$15,MATCH(A974,المدخلات!$L$4:$L$15,0)),""))</f>
        <v/>
      </c>
      <c r="N974" s="4" t="str">
        <f t="shared" si="126"/>
        <v/>
      </c>
      <c r="O974" s="4" t="str">
        <f t="shared" si="127"/>
        <v/>
      </c>
    </row>
    <row r="975" spans="1:15">
      <c r="A975" s="11"/>
      <c r="B975" s="19"/>
      <c r="C975" s="19"/>
      <c r="D975" s="55"/>
      <c r="E975" s="56"/>
      <c r="F975" s="19"/>
      <c r="G975" s="4" t="str">
        <f t="shared" si="120"/>
        <v/>
      </c>
      <c r="H975" s="11" t="str">
        <f t="shared" si="121"/>
        <v/>
      </c>
      <c r="I975" s="55" t="str">
        <f t="shared" si="122"/>
        <v/>
      </c>
      <c r="J975" s="55" t="str">
        <f t="shared" si="123"/>
        <v/>
      </c>
      <c r="K975" s="4" t="str">
        <f t="shared" si="124"/>
        <v/>
      </c>
      <c r="L975" s="19" t="str">
        <f t="shared" si="125"/>
        <v/>
      </c>
      <c r="M975" s="12" t="str">
        <f>IF(A975="","",IFERROR(INDEX(المدخلات!$M$4:$M$15,MATCH(A975,المدخلات!$L$4:$L$15,0)),""))</f>
        <v/>
      </c>
      <c r="N975" s="4" t="str">
        <f t="shared" si="126"/>
        <v/>
      </c>
      <c r="O975" s="4" t="str">
        <f t="shared" si="127"/>
        <v/>
      </c>
    </row>
    <row r="976" spans="1:15">
      <c r="A976" s="11"/>
      <c r="B976" s="19"/>
      <c r="C976" s="19"/>
      <c r="D976" s="55"/>
      <c r="E976" s="56"/>
      <c r="F976" s="19"/>
      <c r="G976" s="4" t="str">
        <f t="shared" si="120"/>
        <v/>
      </c>
      <c r="H976" s="11" t="str">
        <f t="shared" si="121"/>
        <v/>
      </c>
      <c r="I976" s="55" t="str">
        <f t="shared" si="122"/>
        <v/>
      </c>
      <c r="J976" s="55" t="str">
        <f t="shared" si="123"/>
        <v/>
      </c>
      <c r="K976" s="4" t="str">
        <f t="shared" si="124"/>
        <v/>
      </c>
      <c r="L976" s="19" t="str">
        <f t="shared" si="125"/>
        <v/>
      </c>
      <c r="M976" s="12" t="str">
        <f>IF(A976="","",IFERROR(INDEX(المدخلات!$M$4:$M$15,MATCH(A976,المدخلات!$L$4:$L$15,0)),""))</f>
        <v/>
      </c>
      <c r="N976" s="4" t="str">
        <f t="shared" si="126"/>
        <v/>
      </c>
      <c r="O976" s="4" t="str">
        <f t="shared" si="127"/>
        <v/>
      </c>
    </row>
    <row r="977" spans="1:15">
      <c r="A977" s="11"/>
      <c r="B977" s="19"/>
      <c r="C977" s="19"/>
      <c r="D977" s="55"/>
      <c r="E977" s="56"/>
      <c r="F977" s="19"/>
      <c r="G977" s="4" t="str">
        <f t="shared" si="120"/>
        <v/>
      </c>
      <c r="H977" s="11" t="str">
        <f t="shared" si="121"/>
        <v/>
      </c>
      <c r="I977" s="55" t="str">
        <f t="shared" si="122"/>
        <v/>
      </c>
      <c r="J977" s="55" t="str">
        <f t="shared" si="123"/>
        <v/>
      </c>
      <c r="K977" s="4" t="str">
        <f t="shared" si="124"/>
        <v/>
      </c>
      <c r="L977" s="19" t="str">
        <f t="shared" si="125"/>
        <v/>
      </c>
      <c r="M977" s="12" t="str">
        <f>IF(A977="","",IFERROR(INDEX(المدخلات!$M$4:$M$15,MATCH(A977,المدخلات!$L$4:$L$15,0)),""))</f>
        <v/>
      </c>
      <c r="N977" s="4" t="str">
        <f t="shared" si="126"/>
        <v/>
      </c>
      <c r="O977" s="4" t="str">
        <f t="shared" si="127"/>
        <v/>
      </c>
    </row>
    <row r="978" spans="1:15">
      <c r="A978" s="11"/>
      <c r="B978" s="19"/>
      <c r="C978" s="19"/>
      <c r="D978" s="55"/>
      <c r="E978" s="56"/>
      <c r="F978" s="19"/>
      <c r="G978" s="4" t="str">
        <f t="shared" si="120"/>
        <v/>
      </c>
      <c r="H978" s="11" t="str">
        <f t="shared" si="121"/>
        <v/>
      </c>
      <c r="I978" s="55" t="str">
        <f t="shared" si="122"/>
        <v/>
      </c>
      <c r="J978" s="55" t="str">
        <f t="shared" si="123"/>
        <v/>
      </c>
      <c r="K978" s="4" t="str">
        <f t="shared" si="124"/>
        <v/>
      </c>
      <c r="L978" s="19" t="str">
        <f t="shared" si="125"/>
        <v/>
      </c>
      <c r="M978" s="12" t="str">
        <f>IF(A978="","",IFERROR(INDEX(المدخلات!$M$4:$M$15,MATCH(A978,المدخلات!$L$4:$L$15,0)),""))</f>
        <v/>
      </c>
      <c r="N978" s="4" t="str">
        <f t="shared" si="126"/>
        <v/>
      </c>
      <c r="O978" s="4" t="str">
        <f t="shared" si="127"/>
        <v/>
      </c>
    </row>
    <row r="979" spans="1:15">
      <c r="A979" s="11"/>
      <c r="B979" s="19"/>
      <c r="C979" s="19"/>
      <c r="D979" s="55"/>
      <c r="E979" s="56"/>
      <c r="F979" s="19"/>
      <c r="G979" s="4" t="str">
        <f t="shared" si="120"/>
        <v/>
      </c>
      <c r="H979" s="11" t="str">
        <f t="shared" si="121"/>
        <v/>
      </c>
      <c r="I979" s="55" t="str">
        <f t="shared" si="122"/>
        <v/>
      </c>
      <c r="J979" s="55" t="str">
        <f t="shared" si="123"/>
        <v/>
      </c>
      <c r="K979" s="4" t="str">
        <f t="shared" si="124"/>
        <v/>
      </c>
      <c r="L979" s="19" t="str">
        <f t="shared" si="125"/>
        <v/>
      </c>
      <c r="M979" s="12" t="str">
        <f>IF(A979="","",IFERROR(INDEX(المدخلات!$M$4:$M$15,MATCH(A979,المدخلات!$L$4:$L$15,0)),""))</f>
        <v/>
      </c>
      <c r="N979" s="4" t="str">
        <f t="shared" si="126"/>
        <v/>
      </c>
      <c r="O979" s="4" t="str">
        <f t="shared" si="127"/>
        <v/>
      </c>
    </row>
    <row r="980" spans="1:15">
      <c r="A980" s="11"/>
      <c r="B980" s="19"/>
      <c r="C980" s="19"/>
      <c r="D980" s="55"/>
      <c r="E980" s="56"/>
      <c r="F980" s="19"/>
      <c r="G980" s="4" t="str">
        <f t="shared" si="120"/>
        <v/>
      </c>
      <c r="H980" s="11" t="str">
        <f t="shared" si="121"/>
        <v/>
      </c>
      <c r="I980" s="55" t="str">
        <f t="shared" si="122"/>
        <v/>
      </c>
      <c r="J980" s="55" t="str">
        <f t="shared" si="123"/>
        <v/>
      </c>
      <c r="K980" s="4" t="str">
        <f t="shared" si="124"/>
        <v/>
      </c>
      <c r="L980" s="19" t="str">
        <f t="shared" si="125"/>
        <v/>
      </c>
      <c r="M980" s="12" t="str">
        <f>IF(A980="","",IFERROR(INDEX(المدخلات!$M$4:$M$15,MATCH(A980,المدخلات!$L$4:$L$15,0)),""))</f>
        <v/>
      </c>
      <c r="N980" s="4" t="str">
        <f t="shared" si="126"/>
        <v/>
      </c>
      <c r="O980" s="4" t="str">
        <f t="shared" si="127"/>
        <v/>
      </c>
    </row>
    <row r="981" spans="1:15">
      <c r="A981" s="11"/>
      <c r="B981" s="19"/>
      <c r="C981" s="19"/>
      <c r="D981" s="55"/>
      <c r="E981" s="56"/>
      <c r="F981" s="19"/>
      <c r="G981" s="4" t="str">
        <f t="shared" si="120"/>
        <v/>
      </c>
      <c r="H981" s="11" t="str">
        <f t="shared" si="121"/>
        <v/>
      </c>
      <c r="I981" s="55" t="str">
        <f t="shared" si="122"/>
        <v/>
      </c>
      <c r="J981" s="55" t="str">
        <f t="shared" si="123"/>
        <v/>
      </c>
      <c r="K981" s="4" t="str">
        <f t="shared" si="124"/>
        <v/>
      </c>
      <c r="L981" s="19" t="str">
        <f t="shared" si="125"/>
        <v/>
      </c>
      <c r="M981" s="12" t="str">
        <f>IF(A981="","",IFERROR(INDEX(المدخلات!$M$4:$M$15,MATCH(A981,المدخلات!$L$4:$L$15,0)),""))</f>
        <v/>
      </c>
      <c r="N981" s="4" t="str">
        <f t="shared" si="126"/>
        <v/>
      </c>
      <c r="O981" s="4" t="str">
        <f t="shared" si="127"/>
        <v/>
      </c>
    </row>
    <row r="982" spans="1:15">
      <c r="A982" s="11"/>
      <c r="B982" s="19"/>
      <c r="C982" s="19"/>
      <c r="D982" s="55"/>
      <c r="E982" s="56"/>
      <c r="F982" s="19"/>
      <c r="G982" s="4" t="str">
        <f t="shared" si="120"/>
        <v/>
      </c>
      <c r="H982" s="11" t="str">
        <f t="shared" si="121"/>
        <v/>
      </c>
      <c r="I982" s="55" t="str">
        <f t="shared" si="122"/>
        <v/>
      </c>
      <c r="J982" s="55" t="str">
        <f t="shared" si="123"/>
        <v/>
      </c>
      <c r="K982" s="4" t="str">
        <f t="shared" si="124"/>
        <v/>
      </c>
      <c r="L982" s="19" t="str">
        <f t="shared" si="125"/>
        <v/>
      </c>
      <c r="M982" s="12" t="str">
        <f>IF(A982="","",IFERROR(INDEX(المدخلات!$M$4:$M$15,MATCH(A982,المدخلات!$L$4:$L$15,0)),""))</f>
        <v/>
      </c>
      <c r="N982" s="4" t="str">
        <f t="shared" si="126"/>
        <v/>
      </c>
      <c r="O982" s="4" t="str">
        <f t="shared" si="127"/>
        <v/>
      </c>
    </row>
    <row r="983" spans="1:15">
      <c r="A983" s="11"/>
      <c r="B983" s="19"/>
      <c r="C983" s="19"/>
      <c r="D983" s="55"/>
      <c r="E983" s="56"/>
      <c r="F983" s="19"/>
      <c r="G983" s="4" t="str">
        <f t="shared" si="120"/>
        <v/>
      </c>
      <c r="H983" s="11" t="str">
        <f t="shared" si="121"/>
        <v/>
      </c>
      <c r="I983" s="55" t="str">
        <f t="shared" si="122"/>
        <v/>
      </c>
      <c r="J983" s="55" t="str">
        <f t="shared" si="123"/>
        <v/>
      </c>
      <c r="K983" s="4" t="str">
        <f t="shared" si="124"/>
        <v/>
      </c>
      <c r="L983" s="19" t="str">
        <f t="shared" si="125"/>
        <v/>
      </c>
      <c r="M983" s="12" t="str">
        <f>IF(A983="","",IFERROR(INDEX(المدخلات!$M$4:$M$15,MATCH(A983,المدخلات!$L$4:$L$15,0)),""))</f>
        <v/>
      </c>
      <c r="N983" s="4" t="str">
        <f t="shared" si="126"/>
        <v/>
      </c>
      <c r="O983" s="4" t="str">
        <f t="shared" si="127"/>
        <v/>
      </c>
    </row>
    <row r="984" spans="1:15">
      <c r="A984" s="11"/>
      <c r="B984" s="19"/>
      <c r="C984" s="19"/>
      <c r="D984" s="55"/>
      <c r="E984" s="56"/>
      <c r="F984" s="19"/>
      <c r="G984" s="4" t="str">
        <f t="shared" si="120"/>
        <v/>
      </c>
      <c r="H984" s="11" t="str">
        <f t="shared" si="121"/>
        <v/>
      </c>
      <c r="I984" s="55" t="str">
        <f t="shared" si="122"/>
        <v/>
      </c>
      <c r="J984" s="55" t="str">
        <f t="shared" si="123"/>
        <v/>
      </c>
      <c r="K984" s="4" t="str">
        <f t="shared" si="124"/>
        <v/>
      </c>
      <c r="L984" s="19" t="str">
        <f t="shared" si="125"/>
        <v/>
      </c>
      <c r="M984" s="12" t="str">
        <f>IF(A984="","",IFERROR(INDEX(المدخلات!$M$4:$M$15,MATCH(A984,المدخلات!$L$4:$L$15,0)),""))</f>
        <v/>
      </c>
      <c r="N984" s="4" t="str">
        <f t="shared" si="126"/>
        <v/>
      </c>
      <c r="O984" s="4" t="str">
        <f t="shared" si="127"/>
        <v/>
      </c>
    </row>
    <row r="985" spans="1:15">
      <c r="A985" s="11"/>
      <c r="B985" s="19"/>
      <c r="C985" s="19"/>
      <c r="D985" s="55"/>
      <c r="E985" s="56"/>
      <c r="F985" s="19"/>
      <c r="G985" s="4" t="str">
        <f t="shared" si="120"/>
        <v/>
      </c>
      <c r="H985" s="11" t="str">
        <f t="shared" si="121"/>
        <v/>
      </c>
      <c r="I985" s="55" t="str">
        <f t="shared" si="122"/>
        <v/>
      </c>
      <c r="J985" s="55" t="str">
        <f t="shared" si="123"/>
        <v/>
      </c>
      <c r="K985" s="4" t="str">
        <f t="shared" si="124"/>
        <v/>
      </c>
      <c r="L985" s="19" t="str">
        <f t="shared" si="125"/>
        <v/>
      </c>
      <c r="M985" s="12" t="str">
        <f>IF(A985="","",IFERROR(INDEX(المدخلات!$M$4:$M$15,MATCH(A985,المدخلات!$L$4:$L$15,0)),""))</f>
        <v/>
      </c>
      <c r="N985" s="4" t="str">
        <f t="shared" si="126"/>
        <v/>
      </c>
      <c r="O985" s="4" t="str">
        <f t="shared" si="127"/>
        <v/>
      </c>
    </row>
    <row r="986" spans="1:15">
      <c r="A986" s="11"/>
      <c r="B986" s="19"/>
      <c r="C986" s="19"/>
      <c r="D986" s="55"/>
      <c r="E986" s="56"/>
      <c r="F986" s="19"/>
      <c r="G986" s="4" t="str">
        <f t="shared" si="120"/>
        <v/>
      </c>
      <c r="H986" s="11" t="str">
        <f t="shared" si="121"/>
        <v/>
      </c>
      <c r="I986" s="55" t="str">
        <f t="shared" si="122"/>
        <v/>
      </c>
      <c r="J986" s="55" t="str">
        <f t="shared" si="123"/>
        <v/>
      </c>
      <c r="K986" s="4" t="str">
        <f t="shared" si="124"/>
        <v/>
      </c>
      <c r="L986" s="19" t="str">
        <f t="shared" si="125"/>
        <v/>
      </c>
      <c r="M986" s="12" t="str">
        <f>IF(A986="","",IFERROR(INDEX(المدخلات!$M$4:$M$15,MATCH(A986,المدخلات!$L$4:$L$15,0)),""))</f>
        <v/>
      </c>
      <c r="N986" s="4" t="str">
        <f t="shared" si="126"/>
        <v/>
      </c>
      <c r="O986" s="4" t="str">
        <f t="shared" si="127"/>
        <v/>
      </c>
    </row>
    <row r="987" spans="1:15">
      <c r="A987" s="11"/>
      <c r="B987" s="19"/>
      <c r="C987" s="19"/>
      <c r="D987" s="55"/>
      <c r="E987" s="56"/>
      <c r="F987" s="19"/>
      <c r="G987" s="4" t="str">
        <f t="shared" si="120"/>
        <v/>
      </c>
      <c r="H987" s="11" t="str">
        <f t="shared" si="121"/>
        <v/>
      </c>
      <c r="I987" s="55" t="str">
        <f t="shared" si="122"/>
        <v/>
      </c>
      <c r="J987" s="55" t="str">
        <f t="shared" si="123"/>
        <v/>
      </c>
      <c r="K987" s="4" t="str">
        <f t="shared" si="124"/>
        <v/>
      </c>
      <c r="L987" s="19" t="str">
        <f t="shared" si="125"/>
        <v/>
      </c>
      <c r="M987" s="12" t="str">
        <f>IF(A987="","",IFERROR(INDEX(المدخلات!$M$4:$M$15,MATCH(A987,المدخلات!$L$4:$L$15,0)),""))</f>
        <v/>
      </c>
      <c r="N987" s="4" t="str">
        <f t="shared" si="126"/>
        <v/>
      </c>
      <c r="O987" s="4" t="str">
        <f t="shared" si="127"/>
        <v/>
      </c>
    </row>
    <row r="988" spans="1:15">
      <c r="A988" s="11"/>
      <c r="B988" s="19"/>
      <c r="C988" s="19"/>
      <c r="D988" s="55"/>
      <c r="E988" s="56"/>
      <c r="F988" s="19"/>
      <c r="G988" s="4" t="str">
        <f t="shared" si="120"/>
        <v/>
      </c>
      <c r="H988" s="11" t="str">
        <f t="shared" si="121"/>
        <v/>
      </c>
      <c r="I988" s="55" t="str">
        <f t="shared" si="122"/>
        <v/>
      </c>
      <c r="J988" s="55" t="str">
        <f t="shared" si="123"/>
        <v/>
      </c>
      <c r="K988" s="4" t="str">
        <f t="shared" si="124"/>
        <v/>
      </c>
      <c r="L988" s="19" t="str">
        <f t="shared" si="125"/>
        <v/>
      </c>
      <c r="M988" s="12" t="str">
        <f>IF(A988="","",IFERROR(INDEX(المدخلات!$M$4:$M$15,MATCH(A988,المدخلات!$L$4:$L$15,0)),""))</f>
        <v/>
      </c>
      <c r="N988" s="4" t="str">
        <f t="shared" si="126"/>
        <v/>
      </c>
      <c r="O988" s="4" t="str">
        <f t="shared" si="127"/>
        <v/>
      </c>
    </row>
    <row r="989" spans="1:15">
      <c r="A989" s="11"/>
      <c r="B989" s="19"/>
      <c r="C989" s="19"/>
      <c r="D989" s="55"/>
      <c r="E989" s="56"/>
      <c r="F989" s="19"/>
      <c r="G989" s="4" t="str">
        <f t="shared" si="120"/>
        <v/>
      </c>
      <c r="H989" s="11" t="str">
        <f t="shared" si="121"/>
        <v/>
      </c>
      <c r="I989" s="55" t="str">
        <f t="shared" si="122"/>
        <v/>
      </c>
      <c r="J989" s="55" t="str">
        <f t="shared" si="123"/>
        <v/>
      </c>
      <c r="K989" s="4" t="str">
        <f t="shared" si="124"/>
        <v/>
      </c>
      <c r="L989" s="19" t="str">
        <f t="shared" si="125"/>
        <v/>
      </c>
      <c r="M989" s="12" t="str">
        <f>IF(A989="","",IFERROR(INDEX(المدخلات!$M$4:$M$15,MATCH(A989,المدخلات!$L$4:$L$15,0)),""))</f>
        <v/>
      </c>
      <c r="N989" s="4" t="str">
        <f t="shared" si="126"/>
        <v/>
      </c>
      <c r="O989" s="4" t="str">
        <f t="shared" si="127"/>
        <v/>
      </c>
    </row>
    <row r="990" spans="1:15">
      <c r="A990" s="11"/>
      <c r="B990" s="19"/>
      <c r="C990" s="19"/>
      <c r="D990" s="55"/>
      <c r="E990" s="56"/>
      <c r="F990" s="19"/>
      <c r="G990" s="4" t="str">
        <f t="shared" si="120"/>
        <v/>
      </c>
      <c r="H990" s="11" t="str">
        <f t="shared" si="121"/>
        <v/>
      </c>
      <c r="I990" s="55" t="str">
        <f t="shared" si="122"/>
        <v/>
      </c>
      <c r="J990" s="55" t="str">
        <f t="shared" si="123"/>
        <v/>
      </c>
      <c r="K990" s="4" t="str">
        <f t="shared" si="124"/>
        <v/>
      </c>
      <c r="L990" s="19" t="str">
        <f t="shared" si="125"/>
        <v/>
      </c>
      <c r="M990" s="12" t="str">
        <f>IF(A990="","",IFERROR(INDEX(المدخلات!$M$4:$M$15,MATCH(A990,المدخلات!$L$4:$L$15,0)),""))</f>
        <v/>
      </c>
      <c r="N990" s="4" t="str">
        <f t="shared" si="126"/>
        <v/>
      </c>
      <c r="O990" s="4" t="str">
        <f t="shared" si="127"/>
        <v/>
      </c>
    </row>
    <row r="991" spans="1:15">
      <c r="A991" s="11"/>
      <c r="B991" s="19"/>
      <c r="C991" s="19"/>
      <c r="D991" s="55"/>
      <c r="E991" s="56"/>
      <c r="F991" s="19"/>
      <c r="G991" s="4" t="str">
        <f t="shared" si="120"/>
        <v/>
      </c>
      <c r="H991" s="11" t="str">
        <f t="shared" si="121"/>
        <v/>
      </c>
      <c r="I991" s="55" t="str">
        <f t="shared" si="122"/>
        <v/>
      </c>
      <c r="J991" s="55" t="str">
        <f t="shared" si="123"/>
        <v/>
      </c>
      <c r="K991" s="4" t="str">
        <f t="shared" si="124"/>
        <v/>
      </c>
      <c r="L991" s="19" t="str">
        <f t="shared" si="125"/>
        <v/>
      </c>
      <c r="M991" s="12" t="str">
        <f>IF(A991="","",IFERROR(INDEX(المدخلات!$M$4:$M$15,MATCH(A991,المدخلات!$L$4:$L$15,0)),""))</f>
        <v/>
      </c>
      <c r="N991" s="4" t="str">
        <f t="shared" si="126"/>
        <v/>
      </c>
      <c r="O991" s="4" t="str">
        <f t="shared" si="127"/>
        <v/>
      </c>
    </row>
    <row r="992" spans="1:15">
      <c r="A992" s="11"/>
      <c r="B992" s="19"/>
      <c r="C992" s="19"/>
      <c r="D992" s="55"/>
      <c r="E992" s="56"/>
      <c r="F992" s="19"/>
      <c r="G992" s="4" t="str">
        <f t="shared" si="120"/>
        <v/>
      </c>
      <c r="H992" s="11" t="str">
        <f t="shared" si="121"/>
        <v/>
      </c>
      <c r="I992" s="55" t="str">
        <f t="shared" si="122"/>
        <v/>
      </c>
      <c r="J992" s="55" t="str">
        <f t="shared" si="123"/>
        <v/>
      </c>
      <c r="K992" s="4" t="str">
        <f t="shared" si="124"/>
        <v/>
      </c>
      <c r="L992" s="19" t="str">
        <f t="shared" si="125"/>
        <v/>
      </c>
      <c r="M992" s="12" t="str">
        <f>IF(A992="","",IFERROR(INDEX(المدخلات!$M$4:$M$15,MATCH(A992,المدخلات!$L$4:$L$15,0)),""))</f>
        <v/>
      </c>
      <c r="N992" s="4" t="str">
        <f t="shared" si="126"/>
        <v/>
      </c>
      <c r="O992" s="4" t="str">
        <f t="shared" si="127"/>
        <v/>
      </c>
    </row>
    <row r="993" spans="1:15">
      <c r="A993" s="11"/>
      <c r="B993" s="19"/>
      <c r="C993" s="19"/>
      <c r="D993" s="55"/>
      <c r="E993" s="56"/>
      <c r="F993" s="19"/>
      <c r="G993" s="4" t="str">
        <f t="shared" si="120"/>
        <v/>
      </c>
      <c r="H993" s="11" t="str">
        <f t="shared" si="121"/>
        <v/>
      </c>
      <c r="I993" s="55" t="str">
        <f t="shared" si="122"/>
        <v/>
      </c>
      <c r="J993" s="55" t="str">
        <f t="shared" si="123"/>
        <v/>
      </c>
      <c r="K993" s="4" t="str">
        <f t="shared" si="124"/>
        <v/>
      </c>
      <c r="L993" s="19" t="str">
        <f t="shared" si="125"/>
        <v/>
      </c>
      <c r="M993" s="12" t="str">
        <f>IF(A993="","",IFERROR(INDEX(المدخلات!$M$4:$M$15,MATCH(A993,المدخلات!$L$4:$L$15,0)),""))</f>
        <v/>
      </c>
      <c r="N993" s="4" t="str">
        <f t="shared" si="126"/>
        <v/>
      </c>
      <c r="O993" s="4" t="str">
        <f t="shared" si="127"/>
        <v/>
      </c>
    </row>
    <row r="994" spans="1:15">
      <c r="A994" s="11"/>
      <c r="B994" s="19"/>
      <c r="C994" s="19"/>
      <c r="D994" s="55"/>
      <c r="E994" s="56"/>
      <c r="F994" s="19"/>
      <c r="G994" s="4" t="str">
        <f t="shared" si="120"/>
        <v/>
      </c>
      <c r="H994" s="11" t="str">
        <f t="shared" si="121"/>
        <v/>
      </c>
      <c r="I994" s="55" t="str">
        <f t="shared" si="122"/>
        <v/>
      </c>
      <c r="J994" s="55" t="str">
        <f t="shared" si="123"/>
        <v/>
      </c>
      <c r="K994" s="4" t="str">
        <f t="shared" si="124"/>
        <v/>
      </c>
      <c r="L994" s="19" t="str">
        <f t="shared" si="125"/>
        <v/>
      </c>
      <c r="M994" s="12" t="str">
        <f>IF(A994="","",IFERROR(INDEX(المدخلات!$M$4:$M$15,MATCH(A994,المدخلات!$L$4:$L$15,0)),""))</f>
        <v/>
      </c>
      <c r="N994" s="4" t="str">
        <f t="shared" si="126"/>
        <v/>
      </c>
      <c r="O994" s="4" t="str">
        <f t="shared" si="127"/>
        <v/>
      </c>
    </row>
    <row r="995" spans="1:15">
      <c r="A995" s="11"/>
      <c r="B995" s="19"/>
      <c r="C995" s="19"/>
      <c r="D995" s="55"/>
      <c r="E995" s="56"/>
      <c r="F995" s="19"/>
      <c r="G995" s="4" t="str">
        <f t="shared" si="120"/>
        <v/>
      </c>
      <c r="H995" s="11" t="str">
        <f t="shared" si="121"/>
        <v/>
      </c>
      <c r="I995" s="55" t="str">
        <f t="shared" si="122"/>
        <v/>
      </c>
      <c r="J995" s="55" t="str">
        <f t="shared" si="123"/>
        <v/>
      </c>
      <c r="K995" s="4" t="str">
        <f t="shared" si="124"/>
        <v/>
      </c>
      <c r="L995" s="19" t="str">
        <f t="shared" si="125"/>
        <v/>
      </c>
      <c r="M995" s="12" t="str">
        <f>IF(A995="","",IFERROR(INDEX(المدخلات!$M$4:$M$15,MATCH(A995,المدخلات!$L$4:$L$15,0)),""))</f>
        <v/>
      </c>
      <c r="N995" s="4" t="str">
        <f t="shared" si="126"/>
        <v/>
      </c>
      <c r="O995" s="4" t="str">
        <f t="shared" si="127"/>
        <v/>
      </c>
    </row>
    <row r="996" spans="1:15">
      <c r="A996" s="11"/>
      <c r="B996" s="19"/>
      <c r="C996" s="19"/>
      <c r="D996" s="55"/>
      <c r="E996" s="56"/>
      <c r="F996" s="19"/>
      <c r="G996" s="4" t="str">
        <f t="shared" si="120"/>
        <v/>
      </c>
      <c r="H996" s="11" t="str">
        <f t="shared" si="121"/>
        <v/>
      </c>
      <c r="I996" s="55" t="str">
        <f t="shared" si="122"/>
        <v/>
      </c>
      <c r="J996" s="55" t="str">
        <f t="shared" si="123"/>
        <v/>
      </c>
      <c r="K996" s="4" t="str">
        <f t="shared" si="124"/>
        <v/>
      </c>
      <c r="L996" s="19" t="str">
        <f t="shared" si="125"/>
        <v/>
      </c>
      <c r="M996" s="12" t="str">
        <f>IF(A996="","",IFERROR(INDEX(المدخلات!$M$4:$M$15,MATCH(A996,المدخلات!$L$4:$L$15,0)),""))</f>
        <v/>
      </c>
      <c r="N996" s="4" t="str">
        <f t="shared" si="126"/>
        <v/>
      </c>
      <c r="O996" s="4" t="str">
        <f t="shared" si="127"/>
        <v/>
      </c>
    </row>
    <row r="997" spans="1:15">
      <c r="A997" s="11"/>
      <c r="B997" s="19"/>
      <c r="C997" s="19"/>
      <c r="D997" s="55"/>
      <c r="E997" s="56"/>
      <c r="F997" s="19"/>
      <c r="G997" s="4" t="str">
        <f t="shared" si="120"/>
        <v/>
      </c>
      <c r="H997" s="11" t="str">
        <f t="shared" si="121"/>
        <v/>
      </c>
      <c r="I997" s="55" t="str">
        <f t="shared" si="122"/>
        <v/>
      </c>
      <c r="J997" s="55" t="str">
        <f t="shared" si="123"/>
        <v/>
      </c>
      <c r="K997" s="4" t="str">
        <f t="shared" si="124"/>
        <v/>
      </c>
      <c r="L997" s="19" t="str">
        <f t="shared" si="125"/>
        <v/>
      </c>
      <c r="M997" s="12" t="str">
        <f>IF(A997="","",IFERROR(INDEX(المدخلات!$M$4:$M$15,MATCH(A997,المدخلات!$L$4:$L$15,0)),""))</f>
        <v/>
      </c>
      <c r="N997" s="4" t="str">
        <f t="shared" si="126"/>
        <v/>
      </c>
      <c r="O997" s="4" t="str">
        <f t="shared" si="127"/>
        <v/>
      </c>
    </row>
    <row r="998" spans="1:15">
      <c r="A998" s="11"/>
      <c r="B998" s="19"/>
      <c r="C998" s="19"/>
      <c r="D998" s="55"/>
      <c r="E998" s="56"/>
      <c r="F998" s="19"/>
      <c r="G998" s="4" t="str">
        <f t="shared" si="120"/>
        <v/>
      </c>
      <c r="H998" s="11" t="str">
        <f t="shared" si="121"/>
        <v/>
      </c>
      <c r="I998" s="55" t="str">
        <f t="shared" si="122"/>
        <v/>
      </c>
      <c r="J998" s="55" t="str">
        <f t="shared" si="123"/>
        <v/>
      </c>
      <c r="K998" s="4" t="str">
        <f t="shared" si="124"/>
        <v/>
      </c>
      <c r="L998" s="19" t="str">
        <f t="shared" si="125"/>
        <v/>
      </c>
      <c r="M998" s="12" t="str">
        <f>IF(A998="","",IFERROR(INDEX(المدخلات!$M$4:$M$15,MATCH(A998,المدخلات!$L$4:$L$15,0)),""))</f>
        <v/>
      </c>
      <c r="N998" s="4" t="str">
        <f t="shared" si="126"/>
        <v/>
      </c>
      <c r="O998" s="4" t="str">
        <f t="shared" si="127"/>
        <v/>
      </c>
    </row>
    <row r="999" spans="1:15">
      <c r="A999" s="11"/>
      <c r="B999" s="19"/>
      <c r="C999" s="19"/>
      <c r="D999" s="55"/>
      <c r="E999" s="56"/>
      <c r="F999" s="19"/>
      <c r="G999" s="4" t="str">
        <f t="shared" si="120"/>
        <v/>
      </c>
      <c r="H999" s="11" t="str">
        <f t="shared" si="121"/>
        <v/>
      </c>
      <c r="I999" s="55" t="str">
        <f t="shared" si="122"/>
        <v/>
      </c>
      <c r="J999" s="55" t="str">
        <f t="shared" si="123"/>
        <v/>
      </c>
      <c r="K999" s="4" t="str">
        <f t="shared" si="124"/>
        <v/>
      </c>
      <c r="L999" s="19" t="str">
        <f t="shared" si="125"/>
        <v/>
      </c>
      <c r="M999" s="12" t="str">
        <f>IF(A999="","",IFERROR(INDEX(المدخلات!$M$4:$M$15,MATCH(A999,المدخلات!$L$4:$L$15,0)),""))</f>
        <v/>
      </c>
      <c r="N999" s="4" t="str">
        <f t="shared" si="126"/>
        <v/>
      </c>
      <c r="O999" s="4" t="str">
        <f t="shared" si="127"/>
        <v/>
      </c>
    </row>
    <row r="1000" spans="1:15">
      <c r="A1000" s="11"/>
      <c r="B1000" s="19"/>
      <c r="C1000" s="19"/>
      <c r="D1000" s="55"/>
      <c r="E1000" s="56"/>
      <c r="F1000" s="19"/>
      <c r="G1000" s="4" t="str">
        <f t="shared" si="120"/>
        <v/>
      </c>
      <c r="H1000" s="11" t="str">
        <f t="shared" si="121"/>
        <v/>
      </c>
      <c r="I1000" s="55" t="str">
        <f t="shared" si="122"/>
        <v/>
      </c>
      <c r="J1000" s="55" t="str">
        <f t="shared" si="123"/>
        <v/>
      </c>
      <c r="K1000" s="4" t="str">
        <f t="shared" si="124"/>
        <v/>
      </c>
      <c r="L1000" s="19" t="str">
        <f t="shared" si="125"/>
        <v/>
      </c>
      <c r="M1000" s="12" t="str">
        <f>IF(A1000="","",IFERROR(INDEX(المدخلات!$M$4:$M$15,MATCH(A1000,المدخلات!$L$4:$L$15,0)),""))</f>
        <v/>
      </c>
      <c r="N1000" s="4" t="str">
        <f t="shared" si="126"/>
        <v/>
      </c>
      <c r="O1000" s="4" t="str">
        <f t="shared" si="127"/>
        <v/>
      </c>
    </row>
    <row r="1001" spans="1:15">
      <c r="A1001" s="11"/>
      <c r="B1001" s="19"/>
      <c r="C1001" s="19"/>
      <c r="D1001" s="55"/>
      <c r="E1001" s="56"/>
      <c r="F1001" s="19"/>
      <c r="G1001" s="4" t="str">
        <f t="shared" si="120"/>
        <v/>
      </c>
      <c r="H1001" s="11" t="str">
        <f t="shared" si="121"/>
        <v/>
      </c>
      <c r="I1001" s="55" t="str">
        <f t="shared" si="122"/>
        <v/>
      </c>
      <c r="J1001" s="55" t="str">
        <f t="shared" si="123"/>
        <v/>
      </c>
      <c r="K1001" s="4" t="str">
        <f t="shared" si="124"/>
        <v/>
      </c>
      <c r="L1001" s="19" t="str">
        <f t="shared" si="125"/>
        <v/>
      </c>
      <c r="M1001" s="12" t="str">
        <f>IF(A1001="","",IFERROR(INDEX(المدخلات!$M$4:$M$15,MATCH(A1001,المدخلات!$L$4:$L$15,0)),""))</f>
        <v/>
      </c>
      <c r="N1001" s="4" t="str">
        <f t="shared" si="126"/>
        <v/>
      </c>
      <c r="O1001" s="4" t="str">
        <f t="shared" si="127"/>
        <v/>
      </c>
    </row>
    <row r="1002" spans="1:15">
      <c r="A1002" s="11"/>
      <c r="B1002" s="19"/>
      <c r="C1002" s="19"/>
      <c r="D1002" s="55"/>
      <c r="E1002" s="56"/>
      <c r="F1002" s="19"/>
      <c r="G1002" s="4" t="str">
        <f t="shared" si="120"/>
        <v/>
      </c>
      <c r="H1002" s="11" t="str">
        <f t="shared" si="121"/>
        <v/>
      </c>
      <c r="I1002" s="55" t="str">
        <f t="shared" si="122"/>
        <v/>
      </c>
      <c r="J1002" s="55" t="str">
        <f t="shared" si="123"/>
        <v/>
      </c>
      <c r="K1002" s="4" t="str">
        <f t="shared" si="124"/>
        <v/>
      </c>
      <c r="L1002" s="19" t="str">
        <f t="shared" si="125"/>
        <v/>
      </c>
      <c r="M1002" s="12" t="str">
        <f>IF(A1002="","",IFERROR(INDEX(المدخلات!$M$4:$M$15,MATCH(A1002,المدخلات!$L$4:$L$15,0)),""))</f>
        <v/>
      </c>
      <c r="N1002" s="4" t="str">
        <f t="shared" si="126"/>
        <v/>
      </c>
      <c r="O1002" s="4" t="str">
        <f t="shared" si="127"/>
        <v/>
      </c>
    </row>
    <row r="1003" spans="1:15">
      <c r="A1003" s="11"/>
      <c r="B1003" s="19"/>
      <c r="C1003" s="19"/>
      <c r="D1003" s="55"/>
      <c r="E1003" s="56"/>
      <c r="F1003" s="19"/>
      <c r="G1003" s="4" t="str">
        <f t="shared" si="120"/>
        <v/>
      </c>
      <c r="H1003" s="11" t="str">
        <f t="shared" si="121"/>
        <v/>
      </c>
      <c r="I1003" s="55" t="str">
        <f t="shared" si="122"/>
        <v/>
      </c>
      <c r="J1003" s="55" t="str">
        <f t="shared" si="123"/>
        <v/>
      </c>
      <c r="K1003" s="4" t="str">
        <f t="shared" si="124"/>
        <v/>
      </c>
      <c r="L1003" s="19" t="str">
        <f t="shared" si="125"/>
        <v/>
      </c>
      <c r="M1003" s="12" t="str">
        <f>IF(A1003="","",IFERROR(INDEX(المدخلات!$M$4:$M$15,MATCH(A1003,المدخلات!$L$4:$L$15,0)),""))</f>
        <v/>
      </c>
      <c r="N1003" s="4" t="str">
        <f t="shared" si="126"/>
        <v/>
      </c>
      <c r="O1003" s="4" t="str">
        <f t="shared" si="127"/>
        <v/>
      </c>
    </row>
    <row r="1004" spans="1:15">
      <c r="A1004" s="11"/>
      <c r="B1004" s="19"/>
      <c r="C1004" s="19"/>
      <c r="D1004" s="55"/>
      <c r="E1004" s="56"/>
      <c r="F1004" s="19"/>
      <c r="G1004" s="4" t="str">
        <f t="shared" si="120"/>
        <v/>
      </c>
      <c r="H1004" s="11" t="str">
        <f t="shared" si="121"/>
        <v/>
      </c>
      <c r="I1004" s="55" t="str">
        <f t="shared" si="122"/>
        <v/>
      </c>
      <c r="J1004" s="55" t="str">
        <f t="shared" si="123"/>
        <v/>
      </c>
      <c r="K1004" s="4" t="str">
        <f t="shared" si="124"/>
        <v/>
      </c>
      <c r="L1004" s="19" t="str">
        <f t="shared" si="125"/>
        <v/>
      </c>
      <c r="M1004" s="12" t="str">
        <f>IF(A1004="","",IFERROR(INDEX(المدخلات!$M$4:$M$15,MATCH(A1004,المدخلات!$L$4:$L$15,0)),""))</f>
        <v/>
      </c>
      <c r="N1004" s="4" t="str">
        <f t="shared" si="126"/>
        <v/>
      </c>
      <c r="O1004" s="4" t="str">
        <f t="shared" si="127"/>
        <v/>
      </c>
    </row>
    <row r="1005" spans="1:15">
      <c r="A1005" s="11"/>
      <c r="B1005" s="19"/>
      <c r="C1005" s="19"/>
      <c r="D1005" s="55"/>
      <c r="E1005" s="56"/>
      <c r="F1005" s="19"/>
      <c r="G1005" s="4" t="str">
        <f t="shared" si="120"/>
        <v/>
      </c>
      <c r="H1005" s="11" t="str">
        <f t="shared" si="121"/>
        <v/>
      </c>
      <c r="I1005" s="55" t="str">
        <f t="shared" si="122"/>
        <v/>
      </c>
      <c r="J1005" s="55" t="str">
        <f t="shared" si="123"/>
        <v/>
      </c>
      <c r="K1005" s="4" t="str">
        <f t="shared" si="124"/>
        <v/>
      </c>
      <c r="L1005" s="19" t="str">
        <f t="shared" si="125"/>
        <v/>
      </c>
      <c r="M1005" s="12" t="str">
        <f>IF(A1005="","",IFERROR(INDEX(المدخلات!$M$4:$M$15,MATCH(A1005,المدخلات!$L$4:$L$15,0)),""))</f>
        <v/>
      </c>
      <c r="N1005" s="4" t="str">
        <f t="shared" si="126"/>
        <v/>
      </c>
      <c r="O1005" s="4" t="str">
        <f t="shared" si="127"/>
        <v/>
      </c>
    </row>
    <row r="1006" spans="1:15">
      <c r="A1006" s="11"/>
      <c r="B1006" s="19"/>
      <c r="C1006" s="19"/>
      <c r="D1006" s="55"/>
      <c r="E1006" s="56"/>
      <c r="F1006" s="19"/>
      <c r="G1006" s="4" t="str">
        <f t="shared" si="120"/>
        <v/>
      </c>
      <c r="H1006" s="11" t="str">
        <f t="shared" si="121"/>
        <v/>
      </c>
      <c r="I1006" s="55" t="str">
        <f t="shared" si="122"/>
        <v/>
      </c>
      <c r="J1006" s="55" t="str">
        <f t="shared" si="123"/>
        <v/>
      </c>
      <c r="K1006" s="4" t="str">
        <f t="shared" si="124"/>
        <v/>
      </c>
      <c r="L1006" s="19" t="str">
        <f t="shared" si="125"/>
        <v/>
      </c>
      <c r="M1006" s="12" t="str">
        <f>IF(A1006="","",IFERROR(INDEX(المدخلات!$M$4:$M$15,MATCH(A1006,المدخلات!$L$4:$L$15,0)),""))</f>
        <v/>
      </c>
      <c r="N1006" s="4" t="str">
        <f t="shared" si="126"/>
        <v/>
      </c>
      <c r="O1006" s="4" t="str">
        <f t="shared" si="127"/>
        <v/>
      </c>
    </row>
    <row r="1007" spans="1:15">
      <c r="A1007" s="11"/>
      <c r="B1007" s="19"/>
      <c r="C1007" s="19"/>
      <c r="D1007" s="55"/>
      <c r="E1007" s="56"/>
      <c r="F1007" s="19"/>
      <c r="G1007" s="4" t="str">
        <f t="shared" si="120"/>
        <v/>
      </c>
      <c r="H1007" s="11" t="str">
        <f t="shared" si="121"/>
        <v/>
      </c>
      <c r="I1007" s="55" t="str">
        <f t="shared" si="122"/>
        <v/>
      </c>
      <c r="J1007" s="55" t="str">
        <f t="shared" si="123"/>
        <v/>
      </c>
      <c r="K1007" s="4" t="str">
        <f t="shared" si="124"/>
        <v/>
      </c>
      <c r="L1007" s="19" t="str">
        <f t="shared" si="125"/>
        <v/>
      </c>
      <c r="M1007" s="12" t="str">
        <f>IF(A1007="","",IFERROR(INDEX(المدخلات!$M$4:$M$15,MATCH(A1007,المدخلات!$L$4:$L$15,0)),""))</f>
        <v/>
      </c>
      <c r="N1007" s="4" t="str">
        <f t="shared" si="126"/>
        <v/>
      </c>
      <c r="O1007" s="4" t="str">
        <f t="shared" si="127"/>
        <v/>
      </c>
    </row>
    <row r="1008" spans="1:15">
      <c r="A1008" s="11"/>
      <c r="B1008" s="19"/>
      <c r="C1008" s="19"/>
      <c r="D1008" s="55"/>
      <c r="E1008" s="56"/>
      <c r="F1008" s="19"/>
      <c r="G1008" s="4" t="str">
        <f t="shared" si="120"/>
        <v/>
      </c>
      <c r="H1008" s="11" t="str">
        <f t="shared" si="121"/>
        <v/>
      </c>
      <c r="I1008" s="55" t="str">
        <f t="shared" si="122"/>
        <v/>
      </c>
      <c r="J1008" s="55" t="str">
        <f t="shared" si="123"/>
        <v/>
      </c>
      <c r="K1008" s="4" t="str">
        <f t="shared" si="124"/>
        <v/>
      </c>
      <c r="L1008" s="19" t="str">
        <f t="shared" si="125"/>
        <v/>
      </c>
      <c r="M1008" s="12" t="str">
        <f>IF(A1008="","",IFERROR(INDEX(المدخلات!$M$4:$M$15,MATCH(A1008,المدخلات!$L$4:$L$15,0)),""))</f>
        <v/>
      </c>
      <c r="N1008" s="4" t="str">
        <f t="shared" si="126"/>
        <v/>
      </c>
      <c r="O1008" s="4" t="str">
        <f t="shared" si="127"/>
        <v/>
      </c>
    </row>
    <row r="1009" spans="1:15">
      <c r="A1009" s="11"/>
      <c r="B1009" s="19"/>
      <c r="C1009" s="19"/>
      <c r="D1009" s="55"/>
      <c r="E1009" s="56"/>
      <c r="F1009" s="19"/>
      <c r="G1009" s="4" t="str">
        <f t="shared" si="120"/>
        <v/>
      </c>
      <c r="H1009" s="11" t="str">
        <f t="shared" si="121"/>
        <v/>
      </c>
      <c r="I1009" s="55" t="str">
        <f t="shared" si="122"/>
        <v/>
      </c>
      <c r="J1009" s="55" t="str">
        <f t="shared" si="123"/>
        <v/>
      </c>
      <c r="K1009" s="4" t="str">
        <f t="shared" si="124"/>
        <v/>
      </c>
      <c r="L1009" s="19" t="str">
        <f t="shared" si="125"/>
        <v/>
      </c>
      <c r="M1009" s="12" t="str">
        <f>IF(A1009="","",IFERROR(INDEX(المدخلات!$M$4:$M$15,MATCH(A1009,المدخلات!$L$4:$L$15,0)),""))</f>
        <v/>
      </c>
      <c r="N1009" s="4" t="str">
        <f t="shared" si="126"/>
        <v/>
      </c>
      <c r="O1009" s="4" t="str">
        <f t="shared" si="127"/>
        <v/>
      </c>
    </row>
    <row r="1010" spans="1:15">
      <c r="A1010" s="11"/>
      <c r="B1010" s="19"/>
      <c r="C1010" s="19"/>
      <c r="D1010" s="55"/>
      <c r="E1010" s="56"/>
      <c r="F1010" s="19"/>
      <c r="G1010" s="4" t="str">
        <f t="shared" si="120"/>
        <v/>
      </c>
      <c r="H1010" s="11" t="str">
        <f t="shared" si="121"/>
        <v/>
      </c>
      <c r="I1010" s="55" t="str">
        <f t="shared" si="122"/>
        <v/>
      </c>
      <c r="J1010" s="55" t="str">
        <f t="shared" si="123"/>
        <v/>
      </c>
      <c r="K1010" s="4" t="str">
        <f t="shared" si="124"/>
        <v/>
      </c>
      <c r="L1010" s="19" t="str">
        <f t="shared" si="125"/>
        <v/>
      </c>
      <c r="M1010" s="12" t="str">
        <f>IF(A1010="","",IFERROR(INDEX(المدخلات!$M$4:$M$15,MATCH(A1010,المدخلات!$L$4:$L$15,0)),""))</f>
        <v/>
      </c>
      <c r="N1010" s="4" t="str">
        <f t="shared" si="126"/>
        <v/>
      </c>
      <c r="O1010" s="4" t="str">
        <f t="shared" si="127"/>
        <v/>
      </c>
    </row>
    <row r="1011" spans="1:15">
      <c r="A1011" s="11"/>
      <c r="B1011" s="19"/>
      <c r="C1011" s="19"/>
      <c r="D1011" s="55"/>
      <c r="E1011" s="56"/>
      <c r="F1011" s="19"/>
      <c r="G1011" s="4" t="str">
        <f t="shared" si="120"/>
        <v/>
      </c>
      <c r="H1011" s="11" t="str">
        <f t="shared" si="121"/>
        <v/>
      </c>
      <c r="I1011" s="55" t="str">
        <f t="shared" si="122"/>
        <v/>
      </c>
      <c r="J1011" s="55" t="str">
        <f t="shared" si="123"/>
        <v/>
      </c>
      <c r="K1011" s="4" t="str">
        <f t="shared" si="124"/>
        <v/>
      </c>
      <c r="L1011" s="19" t="str">
        <f t="shared" si="125"/>
        <v/>
      </c>
      <c r="M1011" s="12" t="str">
        <f>IF(A1011="","",IFERROR(INDEX(المدخلات!$M$4:$M$15,MATCH(A1011,المدخلات!$L$4:$L$15,0)),""))</f>
        <v/>
      </c>
      <c r="N1011" s="4" t="str">
        <f t="shared" si="126"/>
        <v/>
      </c>
      <c r="O1011" s="4" t="str">
        <f t="shared" si="127"/>
        <v/>
      </c>
    </row>
    <row r="1012" spans="1:15">
      <c r="A1012" s="11"/>
      <c r="B1012" s="19"/>
      <c r="C1012" s="19"/>
      <c r="D1012" s="55"/>
      <c r="E1012" s="56"/>
      <c r="F1012" s="19"/>
      <c r="G1012" s="4" t="str">
        <f t="shared" si="120"/>
        <v/>
      </c>
      <c r="H1012" s="11" t="str">
        <f t="shared" si="121"/>
        <v/>
      </c>
      <c r="I1012" s="55" t="str">
        <f t="shared" si="122"/>
        <v/>
      </c>
      <c r="J1012" s="55" t="str">
        <f t="shared" si="123"/>
        <v/>
      </c>
      <c r="K1012" s="4" t="str">
        <f t="shared" si="124"/>
        <v/>
      </c>
      <c r="L1012" s="19" t="str">
        <f t="shared" si="125"/>
        <v/>
      </c>
      <c r="M1012" s="12" t="str">
        <f>IF(A1012="","",IFERROR(INDEX(المدخلات!$M$4:$M$15,MATCH(A1012,المدخلات!$L$4:$L$15,0)),""))</f>
        <v/>
      </c>
      <c r="N1012" s="4" t="str">
        <f t="shared" si="126"/>
        <v/>
      </c>
      <c r="O1012" s="4" t="str">
        <f t="shared" si="127"/>
        <v/>
      </c>
    </row>
    <row r="1013" spans="1:15">
      <c r="A1013" s="11"/>
      <c r="B1013" s="19"/>
      <c r="C1013" s="19"/>
      <c r="D1013" s="55"/>
      <c r="E1013" s="56"/>
      <c r="F1013" s="19"/>
      <c r="G1013" s="4" t="str">
        <f t="shared" si="120"/>
        <v/>
      </c>
      <c r="H1013" s="11" t="str">
        <f t="shared" si="121"/>
        <v/>
      </c>
      <c r="I1013" s="55" t="str">
        <f t="shared" si="122"/>
        <v/>
      </c>
      <c r="J1013" s="55" t="str">
        <f t="shared" si="123"/>
        <v/>
      </c>
      <c r="K1013" s="4" t="str">
        <f t="shared" si="124"/>
        <v/>
      </c>
      <c r="L1013" s="19" t="str">
        <f t="shared" si="125"/>
        <v/>
      </c>
      <c r="M1013" s="12" t="str">
        <f>IF(A1013="","",IFERROR(INDEX(المدخلات!$M$4:$M$15,MATCH(A1013,المدخلات!$L$4:$L$15,0)),""))</f>
        <v/>
      </c>
      <c r="N1013" s="4" t="str">
        <f t="shared" si="126"/>
        <v/>
      </c>
      <c r="O1013" s="4" t="str">
        <f t="shared" si="127"/>
        <v/>
      </c>
    </row>
    <row r="1014" spans="1:15">
      <c r="A1014" s="11"/>
      <c r="B1014" s="19"/>
      <c r="C1014" s="19"/>
      <c r="D1014" s="55"/>
      <c r="E1014" s="56"/>
      <c r="F1014" s="19"/>
      <c r="G1014" s="4" t="str">
        <f t="shared" si="120"/>
        <v/>
      </c>
      <c r="H1014" s="11" t="str">
        <f t="shared" si="121"/>
        <v/>
      </c>
      <c r="I1014" s="55" t="str">
        <f t="shared" si="122"/>
        <v/>
      </c>
      <c r="J1014" s="55" t="str">
        <f t="shared" si="123"/>
        <v/>
      </c>
      <c r="K1014" s="4" t="str">
        <f t="shared" si="124"/>
        <v/>
      </c>
      <c r="L1014" s="19" t="str">
        <f t="shared" si="125"/>
        <v/>
      </c>
      <c r="M1014" s="12" t="str">
        <f>IF(A1014="","",IFERROR(INDEX(المدخلات!$M$4:$M$15,MATCH(A1014,المدخلات!$L$4:$L$15,0)),""))</f>
        <v/>
      </c>
      <c r="N1014" s="4" t="str">
        <f t="shared" si="126"/>
        <v/>
      </c>
      <c r="O1014" s="4" t="str">
        <f t="shared" si="127"/>
        <v/>
      </c>
    </row>
    <row r="1015" spans="1:15">
      <c r="A1015" s="11"/>
      <c r="B1015" s="19"/>
      <c r="C1015" s="19"/>
      <c r="D1015" s="55"/>
      <c r="E1015" s="56"/>
      <c r="F1015" s="19"/>
      <c r="G1015" s="4" t="str">
        <f t="shared" si="120"/>
        <v/>
      </c>
      <c r="H1015" s="11" t="str">
        <f t="shared" si="121"/>
        <v/>
      </c>
      <c r="I1015" s="55" t="str">
        <f t="shared" si="122"/>
        <v/>
      </c>
      <c r="J1015" s="55" t="str">
        <f t="shared" si="123"/>
        <v/>
      </c>
      <c r="K1015" s="4" t="str">
        <f t="shared" si="124"/>
        <v/>
      </c>
      <c r="L1015" s="19" t="str">
        <f t="shared" si="125"/>
        <v/>
      </c>
      <c r="M1015" s="12" t="str">
        <f>IF(A1015="","",IFERROR(INDEX(المدخلات!$M$4:$M$15,MATCH(A1015,المدخلات!$L$4:$L$15,0)),""))</f>
        <v/>
      </c>
      <c r="N1015" s="4" t="str">
        <f t="shared" si="126"/>
        <v/>
      </c>
      <c r="O1015" s="4" t="str">
        <f t="shared" si="127"/>
        <v/>
      </c>
    </row>
    <row r="1016" spans="1:15">
      <c r="A1016" s="11"/>
      <c r="B1016" s="19"/>
      <c r="C1016" s="19"/>
      <c r="D1016" s="55"/>
      <c r="E1016" s="56"/>
      <c r="F1016" s="19"/>
      <c r="G1016" s="4" t="str">
        <f t="shared" si="120"/>
        <v/>
      </c>
      <c r="H1016" s="11" t="str">
        <f t="shared" si="121"/>
        <v/>
      </c>
      <c r="I1016" s="55" t="str">
        <f t="shared" si="122"/>
        <v/>
      </c>
      <c r="J1016" s="55" t="str">
        <f t="shared" si="123"/>
        <v/>
      </c>
      <c r="K1016" s="4" t="str">
        <f t="shared" si="124"/>
        <v/>
      </c>
      <c r="L1016" s="19" t="str">
        <f t="shared" si="125"/>
        <v/>
      </c>
      <c r="M1016" s="12" t="str">
        <f>IF(A1016="","",IFERROR(INDEX(المدخلات!$M$4:$M$15,MATCH(A1016,المدخلات!$L$4:$L$15,0)),""))</f>
        <v/>
      </c>
      <c r="N1016" s="4" t="str">
        <f t="shared" si="126"/>
        <v/>
      </c>
      <c r="O1016" s="4" t="str">
        <f t="shared" si="127"/>
        <v/>
      </c>
    </row>
    <row r="1017" spans="1:15">
      <c r="A1017" s="11"/>
      <c r="B1017" s="19"/>
      <c r="C1017" s="19"/>
      <c r="D1017" s="55"/>
      <c r="E1017" s="56"/>
      <c r="F1017" s="19"/>
      <c r="G1017" s="4" t="str">
        <f t="shared" si="120"/>
        <v/>
      </c>
      <c r="H1017" s="11" t="str">
        <f t="shared" si="121"/>
        <v/>
      </c>
      <c r="I1017" s="55" t="str">
        <f t="shared" si="122"/>
        <v/>
      </c>
      <c r="J1017" s="55" t="str">
        <f t="shared" si="123"/>
        <v/>
      </c>
      <c r="K1017" s="4" t="str">
        <f t="shared" si="124"/>
        <v/>
      </c>
      <c r="L1017" s="19" t="str">
        <f t="shared" si="125"/>
        <v/>
      </c>
      <c r="M1017" s="12" t="str">
        <f>IF(A1017="","",IFERROR(INDEX(المدخلات!$M$4:$M$15,MATCH(A1017,المدخلات!$L$4:$L$15,0)),""))</f>
        <v/>
      </c>
      <c r="N1017" s="4" t="str">
        <f t="shared" si="126"/>
        <v/>
      </c>
      <c r="O1017" s="4" t="str">
        <f t="shared" si="127"/>
        <v/>
      </c>
    </row>
    <row r="1018" spans="1:15">
      <c r="A1018" s="11"/>
      <c r="B1018" s="19"/>
      <c r="C1018" s="19"/>
      <c r="D1018" s="55"/>
      <c r="E1018" s="56"/>
      <c r="F1018" s="19"/>
      <c r="G1018" s="4" t="str">
        <f t="shared" si="120"/>
        <v/>
      </c>
      <c r="H1018" s="11" t="str">
        <f t="shared" si="121"/>
        <v/>
      </c>
      <c r="I1018" s="55" t="str">
        <f t="shared" si="122"/>
        <v/>
      </c>
      <c r="J1018" s="55" t="str">
        <f t="shared" si="123"/>
        <v/>
      </c>
      <c r="K1018" s="4" t="str">
        <f t="shared" si="124"/>
        <v/>
      </c>
      <c r="L1018" s="19" t="str">
        <f t="shared" si="125"/>
        <v/>
      </c>
      <c r="M1018" s="12" t="str">
        <f>IF(A1018="","",IFERROR(INDEX(المدخلات!$M$4:$M$15,MATCH(A1018,المدخلات!$L$4:$L$15,0)),""))</f>
        <v/>
      </c>
      <c r="N1018" s="4" t="str">
        <f t="shared" si="126"/>
        <v/>
      </c>
      <c r="O1018" s="4" t="str">
        <f t="shared" si="127"/>
        <v/>
      </c>
    </row>
    <row r="1019" spans="1:15">
      <c r="A1019" s="11"/>
      <c r="B1019" s="19"/>
      <c r="C1019" s="19"/>
      <c r="D1019" s="55"/>
      <c r="E1019" s="56"/>
      <c r="F1019" s="19"/>
      <c r="G1019" s="4" t="str">
        <f t="shared" si="120"/>
        <v/>
      </c>
      <c r="H1019" s="11" t="str">
        <f t="shared" si="121"/>
        <v/>
      </c>
      <c r="I1019" s="55" t="str">
        <f t="shared" si="122"/>
        <v/>
      </c>
      <c r="J1019" s="55" t="str">
        <f t="shared" si="123"/>
        <v/>
      </c>
      <c r="K1019" s="4" t="str">
        <f t="shared" si="124"/>
        <v/>
      </c>
      <c r="L1019" s="19" t="str">
        <f t="shared" si="125"/>
        <v/>
      </c>
      <c r="M1019" s="12" t="str">
        <f>IF(A1019="","",IFERROR(INDEX(المدخلات!$M$4:$M$15,MATCH(A1019,المدخلات!$L$4:$L$15,0)),""))</f>
        <v/>
      </c>
      <c r="N1019" s="4" t="str">
        <f t="shared" si="126"/>
        <v/>
      </c>
      <c r="O1019" s="4" t="str">
        <f t="shared" si="127"/>
        <v/>
      </c>
    </row>
    <row r="1020" spans="1:15">
      <c r="A1020" s="11"/>
      <c r="B1020" s="19"/>
      <c r="C1020" s="19"/>
      <c r="D1020" s="55"/>
      <c r="E1020" s="56"/>
      <c r="F1020" s="19"/>
      <c r="G1020" s="4" t="str">
        <f t="shared" si="120"/>
        <v/>
      </c>
      <c r="H1020" s="11" t="str">
        <f t="shared" si="121"/>
        <v/>
      </c>
      <c r="I1020" s="55" t="str">
        <f t="shared" si="122"/>
        <v/>
      </c>
      <c r="J1020" s="55" t="str">
        <f t="shared" si="123"/>
        <v/>
      </c>
      <c r="K1020" s="4" t="str">
        <f t="shared" si="124"/>
        <v/>
      </c>
      <c r="L1020" s="19" t="str">
        <f t="shared" si="125"/>
        <v/>
      </c>
      <c r="M1020" s="12" t="str">
        <f>IF(A1020="","",IFERROR(INDEX(المدخلات!$M$4:$M$15,MATCH(A1020,المدخلات!$L$4:$L$15,0)),""))</f>
        <v/>
      </c>
      <c r="N1020" s="4" t="str">
        <f t="shared" si="126"/>
        <v/>
      </c>
      <c r="O1020" s="4" t="str">
        <f t="shared" si="127"/>
        <v/>
      </c>
    </row>
    <row r="1021" spans="1:15">
      <c r="A1021" s="11"/>
      <c r="B1021" s="19"/>
      <c r="C1021" s="19"/>
      <c r="D1021" s="55"/>
      <c r="E1021" s="56"/>
      <c r="F1021" s="19"/>
      <c r="G1021" s="4" t="str">
        <f t="shared" si="120"/>
        <v/>
      </c>
      <c r="H1021" s="11" t="str">
        <f t="shared" si="121"/>
        <v/>
      </c>
      <c r="I1021" s="55" t="str">
        <f t="shared" si="122"/>
        <v/>
      </c>
      <c r="J1021" s="55" t="str">
        <f t="shared" si="123"/>
        <v/>
      </c>
      <c r="K1021" s="4" t="str">
        <f t="shared" si="124"/>
        <v/>
      </c>
      <c r="L1021" s="19" t="str">
        <f t="shared" si="125"/>
        <v/>
      </c>
      <c r="M1021" s="12" t="str">
        <f>IF(A1021="","",IFERROR(INDEX(المدخلات!$M$4:$M$15,MATCH(A1021,المدخلات!$L$4:$L$15,0)),""))</f>
        <v/>
      </c>
      <c r="N1021" s="4" t="str">
        <f t="shared" si="126"/>
        <v/>
      </c>
      <c r="O1021" s="4" t="str">
        <f t="shared" si="127"/>
        <v/>
      </c>
    </row>
    <row r="1022" spans="1:15">
      <c r="A1022" s="11"/>
      <c r="B1022" s="19"/>
      <c r="C1022" s="19"/>
      <c r="D1022" s="55"/>
      <c r="E1022" s="56"/>
      <c r="F1022" s="19"/>
      <c r="G1022" s="4" t="str">
        <f t="shared" si="120"/>
        <v/>
      </c>
      <c r="H1022" s="11" t="str">
        <f t="shared" si="121"/>
        <v/>
      </c>
      <c r="I1022" s="55" t="str">
        <f t="shared" si="122"/>
        <v/>
      </c>
      <c r="J1022" s="55" t="str">
        <f t="shared" si="123"/>
        <v/>
      </c>
      <c r="K1022" s="4" t="str">
        <f t="shared" si="124"/>
        <v/>
      </c>
      <c r="L1022" s="19" t="str">
        <f t="shared" si="125"/>
        <v/>
      </c>
      <c r="M1022" s="12" t="str">
        <f>IF(A1022="","",IFERROR(INDEX(المدخلات!$M$4:$M$15,MATCH(A1022,المدخلات!$L$4:$L$15,0)),""))</f>
        <v/>
      </c>
      <c r="N1022" s="4" t="str">
        <f t="shared" si="126"/>
        <v/>
      </c>
      <c r="O1022" s="4" t="str">
        <f t="shared" si="127"/>
        <v/>
      </c>
    </row>
    <row r="1023" spans="1:15">
      <c r="A1023" s="11"/>
      <c r="B1023" s="19"/>
      <c r="C1023" s="19"/>
      <c r="D1023" s="55"/>
      <c r="E1023" s="56"/>
      <c r="F1023" s="19"/>
      <c r="G1023" s="4" t="str">
        <f t="shared" si="120"/>
        <v/>
      </c>
      <c r="H1023" s="11" t="str">
        <f t="shared" si="121"/>
        <v/>
      </c>
      <c r="I1023" s="55" t="str">
        <f t="shared" si="122"/>
        <v/>
      </c>
      <c r="J1023" s="55" t="str">
        <f t="shared" si="123"/>
        <v/>
      </c>
      <c r="K1023" s="4" t="str">
        <f t="shared" si="124"/>
        <v/>
      </c>
      <c r="L1023" s="19" t="str">
        <f t="shared" si="125"/>
        <v/>
      </c>
      <c r="M1023" s="12" t="str">
        <f>IF(A1023="","",IFERROR(INDEX(المدخلات!$M$4:$M$15,MATCH(A1023,المدخلات!$L$4:$L$15,0)),""))</f>
        <v/>
      </c>
      <c r="N1023" s="4" t="str">
        <f t="shared" si="126"/>
        <v/>
      </c>
      <c r="O1023" s="4" t="str">
        <f t="shared" si="127"/>
        <v/>
      </c>
    </row>
    <row r="1024" spans="1:15">
      <c r="A1024" s="11"/>
      <c r="B1024" s="19"/>
      <c r="C1024" s="19"/>
      <c r="D1024" s="55"/>
      <c r="E1024" s="56"/>
      <c r="F1024" s="19"/>
      <c r="G1024" s="4" t="str">
        <f t="shared" si="120"/>
        <v/>
      </c>
      <c r="H1024" s="11" t="str">
        <f t="shared" si="121"/>
        <v/>
      </c>
      <c r="I1024" s="55" t="str">
        <f t="shared" si="122"/>
        <v/>
      </c>
      <c r="J1024" s="55" t="str">
        <f t="shared" si="123"/>
        <v/>
      </c>
      <c r="K1024" s="4" t="str">
        <f t="shared" si="124"/>
        <v/>
      </c>
      <c r="L1024" s="19" t="str">
        <f t="shared" si="125"/>
        <v/>
      </c>
      <c r="M1024" s="12" t="str">
        <f>IF(A1024="","",IFERROR(INDEX(المدخلات!$M$4:$M$15,MATCH(A1024,المدخلات!$L$4:$L$15,0)),""))</f>
        <v/>
      </c>
      <c r="N1024" s="4" t="str">
        <f t="shared" si="126"/>
        <v/>
      </c>
      <c r="O1024" s="4" t="str">
        <f t="shared" si="127"/>
        <v/>
      </c>
    </row>
    <row r="1025" spans="1:15">
      <c r="A1025" s="11"/>
      <c r="B1025" s="19"/>
      <c r="C1025" s="19"/>
      <c r="D1025" s="55"/>
      <c r="E1025" s="56"/>
      <c r="F1025" s="19"/>
      <c r="G1025" s="4" t="str">
        <f t="shared" si="120"/>
        <v/>
      </c>
      <c r="H1025" s="11" t="str">
        <f t="shared" si="121"/>
        <v/>
      </c>
      <c r="I1025" s="55" t="str">
        <f t="shared" si="122"/>
        <v/>
      </c>
      <c r="J1025" s="55" t="str">
        <f t="shared" si="123"/>
        <v/>
      </c>
      <c r="K1025" s="4" t="str">
        <f t="shared" si="124"/>
        <v/>
      </c>
      <c r="L1025" s="19" t="str">
        <f t="shared" si="125"/>
        <v/>
      </c>
      <c r="M1025" s="12" t="str">
        <f>IF(A1025="","",IFERROR(INDEX(المدخلات!$M$4:$M$15,MATCH(A1025,المدخلات!$L$4:$L$15,0)),""))</f>
        <v/>
      </c>
      <c r="N1025" s="4" t="str">
        <f t="shared" si="126"/>
        <v/>
      </c>
      <c r="O1025" s="4" t="str">
        <f t="shared" si="127"/>
        <v/>
      </c>
    </row>
    <row r="1026" spans="1:15">
      <c r="A1026" s="11"/>
      <c r="B1026" s="19"/>
      <c r="C1026" s="19"/>
      <c r="D1026" s="55"/>
      <c r="E1026" s="56"/>
      <c r="F1026" s="19"/>
      <c r="G1026" s="4" t="str">
        <f t="shared" si="120"/>
        <v/>
      </c>
      <c r="H1026" s="11" t="str">
        <f t="shared" si="121"/>
        <v/>
      </c>
      <c r="I1026" s="55" t="str">
        <f t="shared" si="122"/>
        <v/>
      </c>
      <c r="J1026" s="55" t="str">
        <f t="shared" si="123"/>
        <v/>
      </c>
      <c r="K1026" s="4" t="str">
        <f t="shared" si="124"/>
        <v/>
      </c>
      <c r="L1026" s="19" t="str">
        <f t="shared" si="125"/>
        <v/>
      </c>
      <c r="M1026" s="12" t="str">
        <f>IF(A1026="","",IFERROR(INDEX(المدخلات!$M$4:$M$15,MATCH(A1026,المدخلات!$L$4:$L$15,0)),""))</f>
        <v/>
      </c>
      <c r="N1026" s="4" t="str">
        <f t="shared" si="126"/>
        <v/>
      </c>
      <c r="O1026" s="4" t="str">
        <f t="shared" si="127"/>
        <v/>
      </c>
    </row>
    <row r="1027" spans="1:15">
      <c r="A1027" s="11"/>
      <c r="B1027" s="19"/>
      <c r="C1027" s="19"/>
      <c r="D1027" s="55"/>
      <c r="E1027" s="56"/>
      <c r="F1027" s="19"/>
      <c r="G1027" s="4" t="str">
        <f t="shared" si="120"/>
        <v/>
      </c>
      <c r="H1027" s="11" t="str">
        <f t="shared" si="121"/>
        <v/>
      </c>
      <c r="I1027" s="55" t="str">
        <f t="shared" si="122"/>
        <v/>
      </c>
      <c r="J1027" s="55" t="str">
        <f t="shared" si="123"/>
        <v/>
      </c>
      <c r="K1027" s="4" t="str">
        <f t="shared" si="124"/>
        <v/>
      </c>
      <c r="L1027" s="19" t="str">
        <f t="shared" si="125"/>
        <v/>
      </c>
      <c r="M1027" s="12" t="str">
        <f>IF(A1027="","",IFERROR(INDEX(المدخلات!$M$4:$M$15,MATCH(A1027,المدخلات!$L$4:$L$15,0)),""))</f>
        <v/>
      </c>
      <c r="N1027" s="4" t="str">
        <f t="shared" si="126"/>
        <v/>
      </c>
      <c r="O1027" s="4" t="str">
        <f t="shared" si="127"/>
        <v/>
      </c>
    </row>
    <row r="1028" spans="1:15">
      <c r="A1028" s="11"/>
      <c r="B1028" s="19"/>
      <c r="C1028" s="19"/>
      <c r="D1028" s="55"/>
      <c r="E1028" s="56"/>
      <c r="F1028" s="19"/>
      <c r="G1028" s="4" t="str">
        <f t="shared" si="120"/>
        <v/>
      </c>
      <c r="H1028" s="11" t="str">
        <f t="shared" si="121"/>
        <v/>
      </c>
      <c r="I1028" s="55" t="str">
        <f t="shared" si="122"/>
        <v/>
      </c>
      <c r="J1028" s="55" t="str">
        <f t="shared" si="123"/>
        <v/>
      </c>
      <c r="K1028" s="4" t="str">
        <f t="shared" si="124"/>
        <v/>
      </c>
      <c r="L1028" s="19" t="str">
        <f t="shared" si="125"/>
        <v/>
      </c>
      <c r="M1028" s="12" t="str">
        <f>IF(A1028="","",IFERROR(INDEX(المدخلات!$M$4:$M$15,MATCH(A1028,المدخلات!$L$4:$L$15,0)),""))</f>
        <v/>
      </c>
      <c r="N1028" s="4" t="str">
        <f t="shared" si="126"/>
        <v/>
      </c>
      <c r="O1028" s="4" t="str">
        <f t="shared" si="127"/>
        <v/>
      </c>
    </row>
    <row r="1029" spans="1:15">
      <c r="A1029" s="11"/>
      <c r="B1029" s="19"/>
      <c r="C1029" s="19"/>
      <c r="D1029" s="55"/>
      <c r="E1029" s="56"/>
      <c r="F1029" s="19"/>
      <c r="G1029" s="4" t="str">
        <f t="shared" ref="G1029:G1092" si="128">IF(OR(D1029="",E1029=""),"",D1029*E1029)</f>
        <v/>
      </c>
      <c r="H1029" s="11" t="str">
        <f t="shared" ref="H1029:H1092" si="129">IF(C1029="","",IFERROR(_xlfn.MAXIFS($A$5:$A$2003,$C$5:$C$2003,C1029,$A$5:$A$2003,"&lt;"&amp;A1029),0))</f>
        <v/>
      </c>
      <c r="I1029" s="55" t="str">
        <f t="shared" ref="I1029:I1092" si="130">IF(OR(H1029="",H1029=0),"",IFERROR(SUMIFS($D$5:$D$2003,$C$5:$C$2003,C1029,$A$5:$A$2003,H1029),""))</f>
        <v/>
      </c>
      <c r="J1029" s="55" t="str">
        <f t="shared" ref="J1029:J1092" si="131">IF(C1029="","",IF(I1029="",0,MAX(I1029-D1029,0)))</f>
        <v/>
      </c>
      <c r="K1029" s="4" t="str">
        <f t="shared" ref="K1029:K1092" si="132">IF(J1029="","",J1029*E1029)</f>
        <v/>
      </c>
      <c r="L1029" s="19" t="str">
        <f t="shared" ref="L1029:L1092" si="133">IF(C1029="","",IF(COUNTIFS($A$5:$A$2003,A1029,$C$5:$C$2003,C1029)&gt;1,"⚠️ مادة مكررة بنفس الشهر",IF(OR(H1029="",H1029=0),"🆕 أول ظهور لهذه المادة",IF(D1029&gt;I1029,"ℹ️ زيادة كمية (شراء/تصحيح) - لا تُحتسب استهلاكاً",IF(D1029=I1029,"➖ لا تغيير","")))))</f>
        <v/>
      </c>
      <c r="M1029" s="12" t="str">
        <f>IF(A1029="","",IFERROR(INDEX(المدخلات!$M$4:$M$15,MATCH(A1029,المدخلات!$L$4:$L$15,0)),""))</f>
        <v/>
      </c>
      <c r="N1029" s="4" t="str">
        <f t="shared" ref="N1029:N1092" si="134">IF(OR(G1029="",F1029=""),"",IF(F1029="دولار أمريكي",IF(M1029="","⚠️ لا يوجد سعر صرف",G1029*M1029),G1029))</f>
        <v/>
      </c>
      <c r="O1029" s="4" t="str">
        <f t="shared" ref="O1029:O1092" si="135">IF(OR(K1029="",F1029=""),"",IF(F1029="دولار أمريكي",IF(M1029="","⚠️ لا يوجد سعر صرف",K1029*M1029),K1029))</f>
        <v/>
      </c>
    </row>
    <row r="1030" spans="1:15">
      <c r="A1030" s="11"/>
      <c r="B1030" s="19"/>
      <c r="C1030" s="19"/>
      <c r="D1030" s="55"/>
      <c r="E1030" s="56"/>
      <c r="F1030" s="19"/>
      <c r="G1030" s="4" t="str">
        <f t="shared" si="128"/>
        <v/>
      </c>
      <c r="H1030" s="11" t="str">
        <f t="shared" si="129"/>
        <v/>
      </c>
      <c r="I1030" s="55" t="str">
        <f t="shared" si="130"/>
        <v/>
      </c>
      <c r="J1030" s="55" t="str">
        <f t="shared" si="131"/>
        <v/>
      </c>
      <c r="K1030" s="4" t="str">
        <f t="shared" si="132"/>
        <v/>
      </c>
      <c r="L1030" s="19" t="str">
        <f t="shared" si="133"/>
        <v/>
      </c>
      <c r="M1030" s="12" t="str">
        <f>IF(A1030="","",IFERROR(INDEX(المدخلات!$M$4:$M$15,MATCH(A1030,المدخلات!$L$4:$L$15,0)),""))</f>
        <v/>
      </c>
      <c r="N1030" s="4" t="str">
        <f t="shared" si="134"/>
        <v/>
      </c>
      <c r="O1030" s="4" t="str">
        <f t="shared" si="135"/>
        <v/>
      </c>
    </row>
    <row r="1031" spans="1:15">
      <c r="A1031" s="11"/>
      <c r="B1031" s="19"/>
      <c r="C1031" s="19"/>
      <c r="D1031" s="55"/>
      <c r="E1031" s="56"/>
      <c r="F1031" s="19"/>
      <c r="G1031" s="4" t="str">
        <f t="shared" si="128"/>
        <v/>
      </c>
      <c r="H1031" s="11" t="str">
        <f t="shared" si="129"/>
        <v/>
      </c>
      <c r="I1031" s="55" t="str">
        <f t="shared" si="130"/>
        <v/>
      </c>
      <c r="J1031" s="55" t="str">
        <f t="shared" si="131"/>
        <v/>
      </c>
      <c r="K1031" s="4" t="str">
        <f t="shared" si="132"/>
        <v/>
      </c>
      <c r="L1031" s="19" t="str">
        <f t="shared" si="133"/>
        <v/>
      </c>
      <c r="M1031" s="12" t="str">
        <f>IF(A1031="","",IFERROR(INDEX(المدخلات!$M$4:$M$15,MATCH(A1031,المدخلات!$L$4:$L$15,0)),""))</f>
        <v/>
      </c>
      <c r="N1031" s="4" t="str">
        <f t="shared" si="134"/>
        <v/>
      </c>
      <c r="O1031" s="4" t="str">
        <f t="shared" si="135"/>
        <v/>
      </c>
    </row>
    <row r="1032" spans="1:15">
      <c r="A1032" s="11"/>
      <c r="B1032" s="19"/>
      <c r="C1032" s="19"/>
      <c r="D1032" s="55"/>
      <c r="E1032" s="56"/>
      <c r="F1032" s="19"/>
      <c r="G1032" s="4" t="str">
        <f t="shared" si="128"/>
        <v/>
      </c>
      <c r="H1032" s="11" t="str">
        <f t="shared" si="129"/>
        <v/>
      </c>
      <c r="I1032" s="55" t="str">
        <f t="shared" si="130"/>
        <v/>
      </c>
      <c r="J1032" s="55" t="str">
        <f t="shared" si="131"/>
        <v/>
      </c>
      <c r="K1032" s="4" t="str">
        <f t="shared" si="132"/>
        <v/>
      </c>
      <c r="L1032" s="19" t="str">
        <f t="shared" si="133"/>
        <v/>
      </c>
      <c r="M1032" s="12" t="str">
        <f>IF(A1032="","",IFERROR(INDEX(المدخلات!$M$4:$M$15,MATCH(A1032,المدخلات!$L$4:$L$15,0)),""))</f>
        <v/>
      </c>
      <c r="N1032" s="4" t="str">
        <f t="shared" si="134"/>
        <v/>
      </c>
      <c r="O1032" s="4" t="str">
        <f t="shared" si="135"/>
        <v/>
      </c>
    </row>
    <row r="1033" spans="1:15">
      <c r="A1033" s="11"/>
      <c r="B1033" s="19"/>
      <c r="C1033" s="19"/>
      <c r="D1033" s="55"/>
      <c r="E1033" s="56"/>
      <c r="F1033" s="19"/>
      <c r="G1033" s="4" t="str">
        <f t="shared" si="128"/>
        <v/>
      </c>
      <c r="H1033" s="11" t="str">
        <f t="shared" si="129"/>
        <v/>
      </c>
      <c r="I1033" s="55" t="str">
        <f t="shared" si="130"/>
        <v/>
      </c>
      <c r="J1033" s="55" t="str">
        <f t="shared" si="131"/>
        <v/>
      </c>
      <c r="K1033" s="4" t="str">
        <f t="shared" si="132"/>
        <v/>
      </c>
      <c r="L1033" s="19" t="str">
        <f t="shared" si="133"/>
        <v/>
      </c>
      <c r="M1033" s="12" t="str">
        <f>IF(A1033="","",IFERROR(INDEX(المدخلات!$M$4:$M$15,MATCH(A1033,المدخلات!$L$4:$L$15,0)),""))</f>
        <v/>
      </c>
      <c r="N1033" s="4" t="str">
        <f t="shared" si="134"/>
        <v/>
      </c>
      <c r="O1033" s="4" t="str">
        <f t="shared" si="135"/>
        <v/>
      </c>
    </row>
    <row r="1034" spans="1:15">
      <c r="A1034" s="11"/>
      <c r="B1034" s="19"/>
      <c r="C1034" s="19"/>
      <c r="D1034" s="55"/>
      <c r="E1034" s="56"/>
      <c r="F1034" s="19"/>
      <c r="G1034" s="4" t="str">
        <f t="shared" si="128"/>
        <v/>
      </c>
      <c r="H1034" s="11" t="str">
        <f t="shared" si="129"/>
        <v/>
      </c>
      <c r="I1034" s="55" t="str">
        <f t="shared" si="130"/>
        <v/>
      </c>
      <c r="J1034" s="55" t="str">
        <f t="shared" si="131"/>
        <v/>
      </c>
      <c r="K1034" s="4" t="str">
        <f t="shared" si="132"/>
        <v/>
      </c>
      <c r="L1034" s="19" t="str">
        <f t="shared" si="133"/>
        <v/>
      </c>
      <c r="M1034" s="12" t="str">
        <f>IF(A1034="","",IFERROR(INDEX(المدخلات!$M$4:$M$15,MATCH(A1034,المدخلات!$L$4:$L$15,0)),""))</f>
        <v/>
      </c>
      <c r="N1034" s="4" t="str">
        <f t="shared" si="134"/>
        <v/>
      </c>
      <c r="O1034" s="4" t="str">
        <f t="shared" si="135"/>
        <v/>
      </c>
    </row>
    <row r="1035" spans="1:15">
      <c r="A1035" s="11"/>
      <c r="B1035" s="19"/>
      <c r="C1035" s="19"/>
      <c r="D1035" s="55"/>
      <c r="E1035" s="56"/>
      <c r="F1035" s="19"/>
      <c r="G1035" s="4" t="str">
        <f t="shared" si="128"/>
        <v/>
      </c>
      <c r="H1035" s="11" t="str">
        <f t="shared" si="129"/>
        <v/>
      </c>
      <c r="I1035" s="55" t="str">
        <f t="shared" si="130"/>
        <v/>
      </c>
      <c r="J1035" s="55" t="str">
        <f t="shared" si="131"/>
        <v/>
      </c>
      <c r="K1035" s="4" t="str">
        <f t="shared" si="132"/>
        <v/>
      </c>
      <c r="L1035" s="19" t="str">
        <f t="shared" si="133"/>
        <v/>
      </c>
      <c r="M1035" s="12" t="str">
        <f>IF(A1035="","",IFERROR(INDEX(المدخلات!$M$4:$M$15,MATCH(A1035,المدخلات!$L$4:$L$15,0)),""))</f>
        <v/>
      </c>
      <c r="N1035" s="4" t="str">
        <f t="shared" si="134"/>
        <v/>
      </c>
      <c r="O1035" s="4" t="str">
        <f t="shared" si="135"/>
        <v/>
      </c>
    </row>
    <row r="1036" spans="1:15">
      <c r="A1036" s="11"/>
      <c r="B1036" s="19"/>
      <c r="C1036" s="19"/>
      <c r="D1036" s="55"/>
      <c r="E1036" s="56"/>
      <c r="F1036" s="19"/>
      <c r="G1036" s="4" t="str">
        <f t="shared" si="128"/>
        <v/>
      </c>
      <c r="H1036" s="11" t="str">
        <f t="shared" si="129"/>
        <v/>
      </c>
      <c r="I1036" s="55" t="str">
        <f t="shared" si="130"/>
        <v/>
      </c>
      <c r="J1036" s="55" t="str">
        <f t="shared" si="131"/>
        <v/>
      </c>
      <c r="K1036" s="4" t="str">
        <f t="shared" si="132"/>
        <v/>
      </c>
      <c r="L1036" s="19" t="str">
        <f t="shared" si="133"/>
        <v/>
      </c>
      <c r="M1036" s="12" t="str">
        <f>IF(A1036="","",IFERROR(INDEX(المدخلات!$M$4:$M$15,MATCH(A1036,المدخلات!$L$4:$L$15,0)),""))</f>
        <v/>
      </c>
      <c r="N1036" s="4" t="str">
        <f t="shared" si="134"/>
        <v/>
      </c>
      <c r="O1036" s="4" t="str">
        <f t="shared" si="135"/>
        <v/>
      </c>
    </row>
    <row r="1037" spans="1:15">
      <c r="A1037" s="11"/>
      <c r="B1037" s="19"/>
      <c r="C1037" s="19"/>
      <c r="D1037" s="55"/>
      <c r="E1037" s="56"/>
      <c r="F1037" s="19"/>
      <c r="G1037" s="4" t="str">
        <f t="shared" si="128"/>
        <v/>
      </c>
      <c r="H1037" s="11" t="str">
        <f t="shared" si="129"/>
        <v/>
      </c>
      <c r="I1037" s="55" t="str">
        <f t="shared" si="130"/>
        <v/>
      </c>
      <c r="J1037" s="55" t="str">
        <f t="shared" si="131"/>
        <v/>
      </c>
      <c r="K1037" s="4" t="str">
        <f t="shared" si="132"/>
        <v/>
      </c>
      <c r="L1037" s="19" t="str">
        <f t="shared" si="133"/>
        <v/>
      </c>
      <c r="M1037" s="12" t="str">
        <f>IF(A1037="","",IFERROR(INDEX(المدخلات!$M$4:$M$15,MATCH(A1037,المدخلات!$L$4:$L$15,0)),""))</f>
        <v/>
      </c>
      <c r="N1037" s="4" t="str">
        <f t="shared" si="134"/>
        <v/>
      </c>
      <c r="O1037" s="4" t="str">
        <f t="shared" si="135"/>
        <v/>
      </c>
    </row>
    <row r="1038" spans="1:15">
      <c r="A1038" s="11"/>
      <c r="B1038" s="19"/>
      <c r="C1038" s="19"/>
      <c r="D1038" s="55"/>
      <c r="E1038" s="56"/>
      <c r="F1038" s="19"/>
      <c r="G1038" s="4" t="str">
        <f t="shared" si="128"/>
        <v/>
      </c>
      <c r="H1038" s="11" t="str">
        <f t="shared" si="129"/>
        <v/>
      </c>
      <c r="I1038" s="55" t="str">
        <f t="shared" si="130"/>
        <v/>
      </c>
      <c r="J1038" s="55" t="str">
        <f t="shared" si="131"/>
        <v/>
      </c>
      <c r="K1038" s="4" t="str">
        <f t="shared" si="132"/>
        <v/>
      </c>
      <c r="L1038" s="19" t="str">
        <f t="shared" si="133"/>
        <v/>
      </c>
      <c r="M1038" s="12" t="str">
        <f>IF(A1038="","",IFERROR(INDEX(المدخلات!$M$4:$M$15,MATCH(A1038,المدخلات!$L$4:$L$15,0)),""))</f>
        <v/>
      </c>
      <c r="N1038" s="4" t="str">
        <f t="shared" si="134"/>
        <v/>
      </c>
      <c r="O1038" s="4" t="str">
        <f t="shared" si="135"/>
        <v/>
      </c>
    </row>
    <row r="1039" spans="1:15">
      <c r="A1039" s="11"/>
      <c r="B1039" s="19"/>
      <c r="C1039" s="19"/>
      <c r="D1039" s="55"/>
      <c r="E1039" s="56"/>
      <c r="F1039" s="19"/>
      <c r="G1039" s="4" t="str">
        <f t="shared" si="128"/>
        <v/>
      </c>
      <c r="H1039" s="11" t="str">
        <f t="shared" si="129"/>
        <v/>
      </c>
      <c r="I1039" s="55" t="str">
        <f t="shared" si="130"/>
        <v/>
      </c>
      <c r="J1039" s="55" t="str">
        <f t="shared" si="131"/>
        <v/>
      </c>
      <c r="K1039" s="4" t="str">
        <f t="shared" si="132"/>
        <v/>
      </c>
      <c r="L1039" s="19" t="str">
        <f t="shared" si="133"/>
        <v/>
      </c>
      <c r="M1039" s="12" t="str">
        <f>IF(A1039="","",IFERROR(INDEX(المدخلات!$M$4:$M$15,MATCH(A1039,المدخلات!$L$4:$L$15,0)),""))</f>
        <v/>
      </c>
      <c r="N1039" s="4" t="str">
        <f t="shared" si="134"/>
        <v/>
      </c>
      <c r="O1039" s="4" t="str">
        <f t="shared" si="135"/>
        <v/>
      </c>
    </row>
    <row r="1040" spans="1:15">
      <c r="A1040" s="11"/>
      <c r="B1040" s="19"/>
      <c r="C1040" s="19"/>
      <c r="D1040" s="55"/>
      <c r="E1040" s="56"/>
      <c r="F1040" s="19"/>
      <c r="G1040" s="4" t="str">
        <f t="shared" si="128"/>
        <v/>
      </c>
      <c r="H1040" s="11" t="str">
        <f t="shared" si="129"/>
        <v/>
      </c>
      <c r="I1040" s="55" t="str">
        <f t="shared" si="130"/>
        <v/>
      </c>
      <c r="J1040" s="55" t="str">
        <f t="shared" si="131"/>
        <v/>
      </c>
      <c r="K1040" s="4" t="str">
        <f t="shared" si="132"/>
        <v/>
      </c>
      <c r="L1040" s="19" t="str">
        <f t="shared" si="133"/>
        <v/>
      </c>
      <c r="M1040" s="12" t="str">
        <f>IF(A1040="","",IFERROR(INDEX(المدخلات!$M$4:$M$15,MATCH(A1040,المدخلات!$L$4:$L$15,0)),""))</f>
        <v/>
      </c>
      <c r="N1040" s="4" t="str">
        <f t="shared" si="134"/>
        <v/>
      </c>
      <c r="O1040" s="4" t="str">
        <f t="shared" si="135"/>
        <v/>
      </c>
    </row>
    <row r="1041" spans="1:15">
      <c r="A1041" s="11"/>
      <c r="B1041" s="19"/>
      <c r="C1041" s="19"/>
      <c r="D1041" s="55"/>
      <c r="E1041" s="56"/>
      <c r="F1041" s="19"/>
      <c r="G1041" s="4" t="str">
        <f t="shared" si="128"/>
        <v/>
      </c>
      <c r="H1041" s="11" t="str">
        <f t="shared" si="129"/>
        <v/>
      </c>
      <c r="I1041" s="55" t="str">
        <f t="shared" si="130"/>
        <v/>
      </c>
      <c r="J1041" s="55" t="str">
        <f t="shared" si="131"/>
        <v/>
      </c>
      <c r="K1041" s="4" t="str">
        <f t="shared" si="132"/>
        <v/>
      </c>
      <c r="L1041" s="19" t="str">
        <f t="shared" si="133"/>
        <v/>
      </c>
      <c r="M1041" s="12" t="str">
        <f>IF(A1041="","",IFERROR(INDEX(المدخلات!$M$4:$M$15,MATCH(A1041,المدخلات!$L$4:$L$15,0)),""))</f>
        <v/>
      </c>
      <c r="N1041" s="4" t="str">
        <f t="shared" si="134"/>
        <v/>
      </c>
      <c r="O1041" s="4" t="str">
        <f t="shared" si="135"/>
        <v/>
      </c>
    </row>
    <row r="1042" spans="1:15">
      <c r="A1042" s="11"/>
      <c r="B1042" s="19"/>
      <c r="C1042" s="19"/>
      <c r="D1042" s="55"/>
      <c r="E1042" s="56"/>
      <c r="F1042" s="19"/>
      <c r="G1042" s="4" t="str">
        <f t="shared" si="128"/>
        <v/>
      </c>
      <c r="H1042" s="11" t="str">
        <f t="shared" si="129"/>
        <v/>
      </c>
      <c r="I1042" s="55" t="str">
        <f t="shared" si="130"/>
        <v/>
      </c>
      <c r="J1042" s="55" t="str">
        <f t="shared" si="131"/>
        <v/>
      </c>
      <c r="K1042" s="4" t="str">
        <f t="shared" si="132"/>
        <v/>
      </c>
      <c r="L1042" s="19" t="str">
        <f t="shared" si="133"/>
        <v/>
      </c>
      <c r="M1042" s="12" t="str">
        <f>IF(A1042="","",IFERROR(INDEX(المدخلات!$M$4:$M$15,MATCH(A1042,المدخلات!$L$4:$L$15,0)),""))</f>
        <v/>
      </c>
      <c r="N1042" s="4" t="str">
        <f t="shared" si="134"/>
        <v/>
      </c>
      <c r="O1042" s="4" t="str">
        <f t="shared" si="135"/>
        <v/>
      </c>
    </row>
    <row r="1043" spans="1:15">
      <c r="A1043" s="11"/>
      <c r="B1043" s="19"/>
      <c r="C1043" s="19"/>
      <c r="D1043" s="55"/>
      <c r="E1043" s="56"/>
      <c r="F1043" s="19"/>
      <c r="G1043" s="4" t="str">
        <f t="shared" si="128"/>
        <v/>
      </c>
      <c r="H1043" s="11" t="str">
        <f t="shared" si="129"/>
        <v/>
      </c>
      <c r="I1043" s="55" t="str">
        <f t="shared" si="130"/>
        <v/>
      </c>
      <c r="J1043" s="55" t="str">
        <f t="shared" si="131"/>
        <v/>
      </c>
      <c r="K1043" s="4" t="str">
        <f t="shared" si="132"/>
        <v/>
      </c>
      <c r="L1043" s="19" t="str">
        <f t="shared" si="133"/>
        <v/>
      </c>
      <c r="M1043" s="12" t="str">
        <f>IF(A1043="","",IFERROR(INDEX(المدخلات!$M$4:$M$15,MATCH(A1043,المدخلات!$L$4:$L$15,0)),""))</f>
        <v/>
      </c>
      <c r="N1043" s="4" t="str">
        <f t="shared" si="134"/>
        <v/>
      </c>
      <c r="O1043" s="4" t="str">
        <f t="shared" si="135"/>
        <v/>
      </c>
    </row>
    <row r="1044" spans="1:15">
      <c r="A1044" s="11"/>
      <c r="B1044" s="19"/>
      <c r="C1044" s="19"/>
      <c r="D1044" s="55"/>
      <c r="E1044" s="56"/>
      <c r="F1044" s="19"/>
      <c r="G1044" s="4" t="str">
        <f t="shared" si="128"/>
        <v/>
      </c>
      <c r="H1044" s="11" t="str">
        <f t="shared" si="129"/>
        <v/>
      </c>
      <c r="I1044" s="55" t="str">
        <f t="shared" si="130"/>
        <v/>
      </c>
      <c r="J1044" s="55" t="str">
        <f t="shared" si="131"/>
        <v/>
      </c>
      <c r="K1044" s="4" t="str">
        <f t="shared" si="132"/>
        <v/>
      </c>
      <c r="L1044" s="19" t="str">
        <f t="shared" si="133"/>
        <v/>
      </c>
      <c r="M1044" s="12" t="str">
        <f>IF(A1044="","",IFERROR(INDEX(المدخلات!$M$4:$M$15,MATCH(A1044,المدخلات!$L$4:$L$15,0)),""))</f>
        <v/>
      </c>
      <c r="N1044" s="4" t="str">
        <f t="shared" si="134"/>
        <v/>
      </c>
      <c r="O1044" s="4" t="str">
        <f t="shared" si="135"/>
        <v/>
      </c>
    </row>
    <row r="1045" spans="1:15">
      <c r="A1045" s="11"/>
      <c r="B1045" s="19"/>
      <c r="C1045" s="19"/>
      <c r="D1045" s="55"/>
      <c r="E1045" s="56"/>
      <c r="F1045" s="19"/>
      <c r="G1045" s="4" t="str">
        <f t="shared" si="128"/>
        <v/>
      </c>
      <c r="H1045" s="11" t="str">
        <f t="shared" si="129"/>
        <v/>
      </c>
      <c r="I1045" s="55" t="str">
        <f t="shared" si="130"/>
        <v/>
      </c>
      <c r="J1045" s="55" t="str">
        <f t="shared" si="131"/>
        <v/>
      </c>
      <c r="K1045" s="4" t="str">
        <f t="shared" si="132"/>
        <v/>
      </c>
      <c r="L1045" s="19" t="str">
        <f t="shared" si="133"/>
        <v/>
      </c>
      <c r="M1045" s="12" t="str">
        <f>IF(A1045="","",IFERROR(INDEX(المدخلات!$M$4:$M$15,MATCH(A1045,المدخلات!$L$4:$L$15,0)),""))</f>
        <v/>
      </c>
      <c r="N1045" s="4" t="str">
        <f t="shared" si="134"/>
        <v/>
      </c>
      <c r="O1045" s="4" t="str">
        <f t="shared" si="135"/>
        <v/>
      </c>
    </row>
    <row r="1046" spans="1:15">
      <c r="A1046" s="11"/>
      <c r="B1046" s="19"/>
      <c r="C1046" s="19"/>
      <c r="D1046" s="55"/>
      <c r="E1046" s="56"/>
      <c r="F1046" s="19"/>
      <c r="G1046" s="4" t="str">
        <f t="shared" si="128"/>
        <v/>
      </c>
      <c r="H1046" s="11" t="str">
        <f t="shared" si="129"/>
        <v/>
      </c>
      <c r="I1046" s="55" t="str">
        <f t="shared" si="130"/>
        <v/>
      </c>
      <c r="J1046" s="55" t="str">
        <f t="shared" si="131"/>
        <v/>
      </c>
      <c r="K1046" s="4" t="str">
        <f t="shared" si="132"/>
        <v/>
      </c>
      <c r="L1046" s="19" t="str">
        <f t="shared" si="133"/>
        <v/>
      </c>
      <c r="M1046" s="12" t="str">
        <f>IF(A1046="","",IFERROR(INDEX(المدخلات!$M$4:$M$15,MATCH(A1046,المدخلات!$L$4:$L$15,0)),""))</f>
        <v/>
      </c>
      <c r="N1046" s="4" t="str">
        <f t="shared" si="134"/>
        <v/>
      </c>
      <c r="O1046" s="4" t="str">
        <f t="shared" si="135"/>
        <v/>
      </c>
    </row>
    <row r="1047" spans="1:15">
      <c r="A1047" s="11"/>
      <c r="B1047" s="19"/>
      <c r="C1047" s="19"/>
      <c r="D1047" s="55"/>
      <c r="E1047" s="56"/>
      <c r="F1047" s="19"/>
      <c r="G1047" s="4" t="str">
        <f t="shared" si="128"/>
        <v/>
      </c>
      <c r="H1047" s="11" t="str">
        <f t="shared" si="129"/>
        <v/>
      </c>
      <c r="I1047" s="55" t="str">
        <f t="shared" si="130"/>
        <v/>
      </c>
      <c r="J1047" s="55" t="str">
        <f t="shared" si="131"/>
        <v/>
      </c>
      <c r="K1047" s="4" t="str">
        <f t="shared" si="132"/>
        <v/>
      </c>
      <c r="L1047" s="19" t="str">
        <f t="shared" si="133"/>
        <v/>
      </c>
      <c r="M1047" s="12" t="str">
        <f>IF(A1047="","",IFERROR(INDEX(المدخلات!$M$4:$M$15,MATCH(A1047,المدخلات!$L$4:$L$15,0)),""))</f>
        <v/>
      </c>
      <c r="N1047" s="4" t="str">
        <f t="shared" si="134"/>
        <v/>
      </c>
      <c r="O1047" s="4" t="str">
        <f t="shared" si="135"/>
        <v/>
      </c>
    </row>
    <row r="1048" spans="1:15">
      <c r="A1048" s="11"/>
      <c r="B1048" s="19"/>
      <c r="C1048" s="19"/>
      <c r="D1048" s="55"/>
      <c r="E1048" s="56"/>
      <c r="F1048" s="19"/>
      <c r="G1048" s="4" t="str">
        <f t="shared" si="128"/>
        <v/>
      </c>
      <c r="H1048" s="11" t="str">
        <f t="shared" si="129"/>
        <v/>
      </c>
      <c r="I1048" s="55" t="str">
        <f t="shared" si="130"/>
        <v/>
      </c>
      <c r="J1048" s="55" t="str">
        <f t="shared" si="131"/>
        <v/>
      </c>
      <c r="K1048" s="4" t="str">
        <f t="shared" si="132"/>
        <v/>
      </c>
      <c r="L1048" s="19" t="str">
        <f t="shared" si="133"/>
        <v/>
      </c>
      <c r="M1048" s="12" t="str">
        <f>IF(A1048="","",IFERROR(INDEX(المدخلات!$M$4:$M$15,MATCH(A1048,المدخلات!$L$4:$L$15,0)),""))</f>
        <v/>
      </c>
      <c r="N1048" s="4" t="str">
        <f t="shared" si="134"/>
        <v/>
      </c>
      <c r="O1048" s="4" t="str">
        <f t="shared" si="135"/>
        <v/>
      </c>
    </row>
    <row r="1049" spans="1:15">
      <c r="A1049" s="11"/>
      <c r="B1049" s="19"/>
      <c r="C1049" s="19"/>
      <c r="D1049" s="55"/>
      <c r="E1049" s="56"/>
      <c r="F1049" s="19"/>
      <c r="G1049" s="4" t="str">
        <f t="shared" si="128"/>
        <v/>
      </c>
      <c r="H1049" s="11" t="str">
        <f t="shared" si="129"/>
        <v/>
      </c>
      <c r="I1049" s="55" t="str">
        <f t="shared" si="130"/>
        <v/>
      </c>
      <c r="J1049" s="55" t="str">
        <f t="shared" si="131"/>
        <v/>
      </c>
      <c r="K1049" s="4" t="str">
        <f t="shared" si="132"/>
        <v/>
      </c>
      <c r="L1049" s="19" t="str">
        <f t="shared" si="133"/>
        <v/>
      </c>
      <c r="M1049" s="12" t="str">
        <f>IF(A1049="","",IFERROR(INDEX(المدخلات!$M$4:$M$15,MATCH(A1049,المدخلات!$L$4:$L$15,0)),""))</f>
        <v/>
      </c>
      <c r="N1049" s="4" t="str">
        <f t="shared" si="134"/>
        <v/>
      </c>
      <c r="O1049" s="4" t="str">
        <f t="shared" si="135"/>
        <v/>
      </c>
    </row>
    <row r="1050" spans="1:15">
      <c r="A1050" s="11"/>
      <c r="B1050" s="19"/>
      <c r="C1050" s="19"/>
      <c r="D1050" s="55"/>
      <c r="E1050" s="56"/>
      <c r="F1050" s="19"/>
      <c r="G1050" s="4" t="str">
        <f t="shared" si="128"/>
        <v/>
      </c>
      <c r="H1050" s="11" t="str">
        <f t="shared" si="129"/>
        <v/>
      </c>
      <c r="I1050" s="55" t="str">
        <f t="shared" si="130"/>
        <v/>
      </c>
      <c r="J1050" s="55" t="str">
        <f t="shared" si="131"/>
        <v/>
      </c>
      <c r="K1050" s="4" t="str">
        <f t="shared" si="132"/>
        <v/>
      </c>
      <c r="L1050" s="19" t="str">
        <f t="shared" si="133"/>
        <v/>
      </c>
      <c r="M1050" s="12" t="str">
        <f>IF(A1050="","",IFERROR(INDEX(المدخلات!$M$4:$M$15,MATCH(A1050,المدخلات!$L$4:$L$15,0)),""))</f>
        <v/>
      </c>
      <c r="N1050" s="4" t="str">
        <f t="shared" si="134"/>
        <v/>
      </c>
      <c r="O1050" s="4" t="str">
        <f t="shared" si="135"/>
        <v/>
      </c>
    </row>
    <row r="1051" spans="1:15">
      <c r="A1051" s="11"/>
      <c r="B1051" s="19"/>
      <c r="C1051" s="19"/>
      <c r="D1051" s="55"/>
      <c r="E1051" s="56"/>
      <c r="F1051" s="19"/>
      <c r="G1051" s="4" t="str">
        <f t="shared" si="128"/>
        <v/>
      </c>
      <c r="H1051" s="11" t="str">
        <f t="shared" si="129"/>
        <v/>
      </c>
      <c r="I1051" s="55" t="str">
        <f t="shared" si="130"/>
        <v/>
      </c>
      <c r="J1051" s="55" t="str">
        <f t="shared" si="131"/>
        <v/>
      </c>
      <c r="K1051" s="4" t="str">
        <f t="shared" si="132"/>
        <v/>
      </c>
      <c r="L1051" s="19" t="str">
        <f t="shared" si="133"/>
        <v/>
      </c>
      <c r="M1051" s="12" t="str">
        <f>IF(A1051="","",IFERROR(INDEX(المدخلات!$M$4:$M$15,MATCH(A1051,المدخلات!$L$4:$L$15,0)),""))</f>
        <v/>
      </c>
      <c r="N1051" s="4" t="str">
        <f t="shared" si="134"/>
        <v/>
      </c>
      <c r="O1051" s="4" t="str">
        <f t="shared" si="135"/>
        <v/>
      </c>
    </row>
    <row r="1052" spans="1:15">
      <c r="A1052" s="11"/>
      <c r="B1052" s="19"/>
      <c r="C1052" s="19"/>
      <c r="D1052" s="55"/>
      <c r="E1052" s="56"/>
      <c r="F1052" s="19"/>
      <c r="G1052" s="4" t="str">
        <f t="shared" si="128"/>
        <v/>
      </c>
      <c r="H1052" s="11" t="str">
        <f t="shared" si="129"/>
        <v/>
      </c>
      <c r="I1052" s="55" t="str">
        <f t="shared" si="130"/>
        <v/>
      </c>
      <c r="J1052" s="55" t="str">
        <f t="shared" si="131"/>
        <v/>
      </c>
      <c r="K1052" s="4" t="str">
        <f t="shared" si="132"/>
        <v/>
      </c>
      <c r="L1052" s="19" t="str">
        <f t="shared" si="133"/>
        <v/>
      </c>
      <c r="M1052" s="12" t="str">
        <f>IF(A1052="","",IFERROR(INDEX(المدخلات!$M$4:$M$15,MATCH(A1052,المدخلات!$L$4:$L$15,0)),""))</f>
        <v/>
      </c>
      <c r="N1052" s="4" t="str">
        <f t="shared" si="134"/>
        <v/>
      </c>
      <c r="O1052" s="4" t="str">
        <f t="shared" si="135"/>
        <v/>
      </c>
    </row>
    <row r="1053" spans="1:15">
      <c r="A1053" s="11"/>
      <c r="B1053" s="19"/>
      <c r="C1053" s="19"/>
      <c r="D1053" s="55"/>
      <c r="E1053" s="56"/>
      <c r="F1053" s="19"/>
      <c r="G1053" s="4" t="str">
        <f t="shared" si="128"/>
        <v/>
      </c>
      <c r="H1053" s="11" t="str">
        <f t="shared" si="129"/>
        <v/>
      </c>
      <c r="I1053" s="55" t="str">
        <f t="shared" si="130"/>
        <v/>
      </c>
      <c r="J1053" s="55" t="str">
        <f t="shared" si="131"/>
        <v/>
      </c>
      <c r="K1053" s="4" t="str">
        <f t="shared" si="132"/>
        <v/>
      </c>
      <c r="L1053" s="19" t="str">
        <f t="shared" si="133"/>
        <v/>
      </c>
      <c r="M1053" s="12" t="str">
        <f>IF(A1053="","",IFERROR(INDEX(المدخلات!$M$4:$M$15,MATCH(A1053,المدخلات!$L$4:$L$15,0)),""))</f>
        <v/>
      </c>
      <c r="N1053" s="4" t="str">
        <f t="shared" si="134"/>
        <v/>
      </c>
      <c r="O1053" s="4" t="str">
        <f t="shared" si="135"/>
        <v/>
      </c>
    </row>
    <row r="1054" spans="1:15">
      <c r="A1054" s="11"/>
      <c r="B1054" s="19"/>
      <c r="C1054" s="19"/>
      <c r="D1054" s="55"/>
      <c r="E1054" s="56"/>
      <c r="F1054" s="19"/>
      <c r="G1054" s="4" t="str">
        <f t="shared" si="128"/>
        <v/>
      </c>
      <c r="H1054" s="11" t="str">
        <f t="shared" si="129"/>
        <v/>
      </c>
      <c r="I1054" s="55" t="str">
        <f t="shared" si="130"/>
        <v/>
      </c>
      <c r="J1054" s="55" t="str">
        <f t="shared" si="131"/>
        <v/>
      </c>
      <c r="K1054" s="4" t="str">
        <f t="shared" si="132"/>
        <v/>
      </c>
      <c r="L1054" s="19" t="str">
        <f t="shared" si="133"/>
        <v/>
      </c>
      <c r="M1054" s="12" t="str">
        <f>IF(A1054="","",IFERROR(INDEX(المدخلات!$M$4:$M$15,MATCH(A1054,المدخلات!$L$4:$L$15,0)),""))</f>
        <v/>
      </c>
      <c r="N1054" s="4" t="str">
        <f t="shared" si="134"/>
        <v/>
      </c>
      <c r="O1054" s="4" t="str">
        <f t="shared" si="135"/>
        <v/>
      </c>
    </row>
    <row r="1055" spans="1:15">
      <c r="A1055" s="11"/>
      <c r="B1055" s="19"/>
      <c r="C1055" s="19"/>
      <c r="D1055" s="55"/>
      <c r="E1055" s="56"/>
      <c r="F1055" s="19"/>
      <c r="G1055" s="4" t="str">
        <f t="shared" si="128"/>
        <v/>
      </c>
      <c r="H1055" s="11" t="str">
        <f t="shared" si="129"/>
        <v/>
      </c>
      <c r="I1055" s="55" t="str">
        <f t="shared" si="130"/>
        <v/>
      </c>
      <c r="J1055" s="55" t="str">
        <f t="shared" si="131"/>
        <v/>
      </c>
      <c r="K1055" s="4" t="str">
        <f t="shared" si="132"/>
        <v/>
      </c>
      <c r="L1055" s="19" t="str">
        <f t="shared" si="133"/>
        <v/>
      </c>
      <c r="M1055" s="12" t="str">
        <f>IF(A1055="","",IFERROR(INDEX(المدخلات!$M$4:$M$15,MATCH(A1055,المدخلات!$L$4:$L$15,0)),""))</f>
        <v/>
      </c>
      <c r="N1055" s="4" t="str">
        <f t="shared" si="134"/>
        <v/>
      </c>
      <c r="O1055" s="4" t="str">
        <f t="shared" si="135"/>
        <v/>
      </c>
    </row>
    <row r="1056" spans="1:15">
      <c r="A1056" s="11"/>
      <c r="B1056" s="19"/>
      <c r="C1056" s="19"/>
      <c r="D1056" s="55"/>
      <c r="E1056" s="56"/>
      <c r="F1056" s="19"/>
      <c r="G1056" s="4" t="str">
        <f t="shared" si="128"/>
        <v/>
      </c>
      <c r="H1056" s="11" t="str">
        <f t="shared" si="129"/>
        <v/>
      </c>
      <c r="I1056" s="55" t="str">
        <f t="shared" si="130"/>
        <v/>
      </c>
      <c r="J1056" s="55" t="str">
        <f t="shared" si="131"/>
        <v/>
      </c>
      <c r="K1056" s="4" t="str">
        <f t="shared" si="132"/>
        <v/>
      </c>
      <c r="L1056" s="19" t="str">
        <f t="shared" si="133"/>
        <v/>
      </c>
      <c r="M1056" s="12" t="str">
        <f>IF(A1056="","",IFERROR(INDEX(المدخلات!$M$4:$M$15,MATCH(A1056,المدخلات!$L$4:$L$15,0)),""))</f>
        <v/>
      </c>
      <c r="N1056" s="4" t="str">
        <f t="shared" si="134"/>
        <v/>
      </c>
      <c r="O1056" s="4" t="str">
        <f t="shared" si="135"/>
        <v/>
      </c>
    </row>
    <row r="1057" spans="1:15">
      <c r="A1057" s="11"/>
      <c r="B1057" s="19"/>
      <c r="C1057" s="19"/>
      <c r="D1057" s="55"/>
      <c r="E1057" s="56"/>
      <c r="F1057" s="19"/>
      <c r="G1057" s="4" t="str">
        <f t="shared" si="128"/>
        <v/>
      </c>
      <c r="H1057" s="11" t="str">
        <f t="shared" si="129"/>
        <v/>
      </c>
      <c r="I1057" s="55" t="str">
        <f t="shared" si="130"/>
        <v/>
      </c>
      <c r="J1057" s="55" t="str">
        <f t="shared" si="131"/>
        <v/>
      </c>
      <c r="K1057" s="4" t="str">
        <f t="shared" si="132"/>
        <v/>
      </c>
      <c r="L1057" s="19" t="str">
        <f t="shared" si="133"/>
        <v/>
      </c>
      <c r="M1057" s="12" t="str">
        <f>IF(A1057="","",IFERROR(INDEX(المدخلات!$M$4:$M$15,MATCH(A1057,المدخلات!$L$4:$L$15,0)),""))</f>
        <v/>
      </c>
      <c r="N1057" s="4" t="str">
        <f t="shared" si="134"/>
        <v/>
      </c>
      <c r="O1057" s="4" t="str">
        <f t="shared" si="135"/>
        <v/>
      </c>
    </row>
    <row r="1058" spans="1:15">
      <c r="A1058" s="11"/>
      <c r="B1058" s="19"/>
      <c r="C1058" s="19"/>
      <c r="D1058" s="55"/>
      <c r="E1058" s="56"/>
      <c r="F1058" s="19"/>
      <c r="G1058" s="4" t="str">
        <f t="shared" si="128"/>
        <v/>
      </c>
      <c r="H1058" s="11" t="str">
        <f t="shared" si="129"/>
        <v/>
      </c>
      <c r="I1058" s="55" t="str">
        <f t="shared" si="130"/>
        <v/>
      </c>
      <c r="J1058" s="55" t="str">
        <f t="shared" si="131"/>
        <v/>
      </c>
      <c r="K1058" s="4" t="str">
        <f t="shared" si="132"/>
        <v/>
      </c>
      <c r="L1058" s="19" t="str">
        <f t="shared" si="133"/>
        <v/>
      </c>
      <c r="M1058" s="12" t="str">
        <f>IF(A1058="","",IFERROR(INDEX(المدخلات!$M$4:$M$15,MATCH(A1058,المدخلات!$L$4:$L$15,0)),""))</f>
        <v/>
      </c>
      <c r="N1058" s="4" t="str">
        <f t="shared" si="134"/>
        <v/>
      </c>
      <c r="O1058" s="4" t="str">
        <f t="shared" si="135"/>
        <v/>
      </c>
    </row>
    <row r="1059" spans="1:15">
      <c r="A1059" s="11"/>
      <c r="B1059" s="19"/>
      <c r="C1059" s="19"/>
      <c r="D1059" s="55"/>
      <c r="E1059" s="56"/>
      <c r="F1059" s="19"/>
      <c r="G1059" s="4" t="str">
        <f t="shared" si="128"/>
        <v/>
      </c>
      <c r="H1059" s="11" t="str">
        <f t="shared" si="129"/>
        <v/>
      </c>
      <c r="I1059" s="55" t="str">
        <f t="shared" si="130"/>
        <v/>
      </c>
      <c r="J1059" s="55" t="str">
        <f t="shared" si="131"/>
        <v/>
      </c>
      <c r="K1059" s="4" t="str">
        <f t="shared" si="132"/>
        <v/>
      </c>
      <c r="L1059" s="19" t="str">
        <f t="shared" si="133"/>
        <v/>
      </c>
      <c r="M1059" s="12" t="str">
        <f>IF(A1059="","",IFERROR(INDEX(المدخلات!$M$4:$M$15,MATCH(A1059,المدخلات!$L$4:$L$15,0)),""))</f>
        <v/>
      </c>
      <c r="N1059" s="4" t="str">
        <f t="shared" si="134"/>
        <v/>
      </c>
      <c r="O1059" s="4" t="str">
        <f t="shared" si="135"/>
        <v/>
      </c>
    </row>
    <row r="1060" spans="1:15">
      <c r="A1060" s="11"/>
      <c r="B1060" s="19"/>
      <c r="C1060" s="19"/>
      <c r="D1060" s="55"/>
      <c r="E1060" s="56"/>
      <c r="F1060" s="19"/>
      <c r="G1060" s="4" t="str">
        <f t="shared" si="128"/>
        <v/>
      </c>
      <c r="H1060" s="11" t="str">
        <f t="shared" si="129"/>
        <v/>
      </c>
      <c r="I1060" s="55" t="str">
        <f t="shared" si="130"/>
        <v/>
      </c>
      <c r="J1060" s="55" t="str">
        <f t="shared" si="131"/>
        <v/>
      </c>
      <c r="K1060" s="4" t="str">
        <f t="shared" si="132"/>
        <v/>
      </c>
      <c r="L1060" s="19" t="str">
        <f t="shared" si="133"/>
        <v/>
      </c>
      <c r="M1060" s="12" t="str">
        <f>IF(A1060="","",IFERROR(INDEX(المدخلات!$M$4:$M$15,MATCH(A1060,المدخلات!$L$4:$L$15,0)),""))</f>
        <v/>
      </c>
      <c r="N1060" s="4" t="str">
        <f t="shared" si="134"/>
        <v/>
      </c>
      <c r="O1060" s="4" t="str">
        <f t="shared" si="135"/>
        <v/>
      </c>
    </row>
    <row r="1061" spans="1:15">
      <c r="A1061" s="11"/>
      <c r="B1061" s="19"/>
      <c r="C1061" s="19"/>
      <c r="D1061" s="55"/>
      <c r="E1061" s="56"/>
      <c r="F1061" s="19"/>
      <c r="G1061" s="4" t="str">
        <f t="shared" si="128"/>
        <v/>
      </c>
      <c r="H1061" s="11" t="str">
        <f t="shared" si="129"/>
        <v/>
      </c>
      <c r="I1061" s="55" t="str">
        <f t="shared" si="130"/>
        <v/>
      </c>
      <c r="J1061" s="55" t="str">
        <f t="shared" si="131"/>
        <v/>
      </c>
      <c r="K1061" s="4" t="str">
        <f t="shared" si="132"/>
        <v/>
      </c>
      <c r="L1061" s="19" t="str">
        <f t="shared" si="133"/>
        <v/>
      </c>
      <c r="M1061" s="12" t="str">
        <f>IF(A1061="","",IFERROR(INDEX(المدخلات!$M$4:$M$15,MATCH(A1061,المدخلات!$L$4:$L$15,0)),""))</f>
        <v/>
      </c>
      <c r="N1061" s="4" t="str">
        <f t="shared" si="134"/>
        <v/>
      </c>
      <c r="O1061" s="4" t="str">
        <f t="shared" si="135"/>
        <v/>
      </c>
    </row>
    <row r="1062" spans="1:15">
      <c r="A1062" s="11"/>
      <c r="B1062" s="19"/>
      <c r="C1062" s="19"/>
      <c r="D1062" s="55"/>
      <c r="E1062" s="56"/>
      <c r="F1062" s="19"/>
      <c r="G1062" s="4" t="str">
        <f t="shared" si="128"/>
        <v/>
      </c>
      <c r="H1062" s="11" t="str">
        <f t="shared" si="129"/>
        <v/>
      </c>
      <c r="I1062" s="55" t="str">
        <f t="shared" si="130"/>
        <v/>
      </c>
      <c r="J1062" s="55" t="str">
        <f t="shared" si="131"/>
        <v/>
      </c>
      <c r="K1062" s="4" t="str">
        <f t="shared" si="132"/>
        <v/>
      </c>
      <c r="L1062" s="19" t="str">
        <f t="shared" si="133"/>
        <v/>
      </c>
      <c r="M1062" s="12" t="str">
        <f>IF(A1062="","",IFERROR(INDEX(المدخلات!$M$4:$M$15,MATCH(A1062,المدخلات!$L$4:$L$15,0)),""))</f>
        <v/>
      </c>
      <c r="N1062" s="4" t="str">
        <f t="shared" si="134"/>
        <v/>
      </c>
      <c r="O1062" s="4" t="str">
        <f t="shared" si="135"/>
        <v/>
      </c>
    </row>
    <row r="1063" spans="1:15">
      <c r="A1063" s="11"/>
      <c r="B1063" s="19"/>
      <c r="C1063" s="19"/>
      <c r="D1063" s="55"/>
      <c r="E1063" s="56"/>
      <c r="F1063" s="19"/>
      <c r="G1063" s="4" t="str">
        <f t="shared" si="128"/>
        <v/>
      </c>
      <c r="H1063" s="11" t="str">
        <f t="shared" si="129"/>
        <v/>
      </c>
      <c r="I1063" s="55" t="str">
        <f t="shared" si="130"/>
        <v/>
      </c>
      <c r="J1063" s="55" t="str">
        <f t="shared" si="131"/>
        <v/>
      </c>
      <c r="K1063" s="4" t="str">
        <f t="shared" si="132"/>
        <v/>
      </c>
      <c r="L1063" s="19" t="str">
        <f t="shared" si="133"/>
        <v/>
      </c>
      <c r="M1063" s="12" t="str">
        <f>IF(A1063="","",IFERROR(INDEX(المدخلات!$M$4:$M$15,MATCH(A1063,المدخلات!$L$4:$L$15,0)),""))</f>
        <v/>
      </c>
      <c r="N1063" s="4" t="str">
        <f t="shared" si="134"/>
        <v/>
      </c>
      <c r="O1063" s="4" t="str">
        <f t="shared" si="135"/>
        <v/>
      </c>
    </row>
    <row r="1064" spans="1:15">
      <c r="A1064" s="11"/>
      <c r="B1064" s="19"/>
      <c r="C1064" s="19"/>
      <c r="D1064" s="55"/>
      <c r="E1064" s="56"/>
      <c r="F1064" s="19"/>
      <c r="G1064" s="4" t="str">
        <f t="shared" si="128"/>
        <v/>
      </c>
      <c r="H1064" s="11" t="str">
        <f t="shared" si="129"/>
        <v/>
      </c>
      <c r="I1064" s="55" t="str">
        <f t="shared" si="130"/>
        <v/>
      </c>
      <c r="J1064" s="55" t="str">
        <f t="shared" si="131"/>
        <v/>
      </c>
      <c r="K1064" s="4" t="str">
        <f t="shared" si="132"/>
        <v/>
      </c>
      <c r="L1064" s="19" t="str">
        <f t="shared" si="133"/>
        <v/>
      </c>
      <c r="M1064" s="12" t="str">
        <f>IF(A1064="","",IFERROR(INDEX(المدخلات!$M$4:$M$15,MATCH(A1064,المدخلات!$L$4:$L$15,0)),""))</f>
        <v/>
      </c>
      <c r="N1064" s="4" t="str">
        <f t="shared" si="134"/>
        <v/>
      </c>
      <c r="O1064" s="4" t="str">
        <f t="shared" si="135"/>
        <v/>
      </c>
    </row>
    <row r="1065" spans="1:15">
      <c r="A1065" s="11"/>
      <c r="B1065" s="19"/>
      <c r="C1065" s="19"/>
      <c r="D1065" s="55"/>
      <c r="E1065" s="56"/>
      <c r="F1065" s="19"/>
      <c r="G1065" s="4" t="str">
        <f t="shared" si="128"/>
        <v/>
      </c>
      <c r="H1065" s="11" t="str">
        <f t="shared" si="129"/>
        <v/>
      </c>
      <c r="I1065" s="55" t="str">
        <f t="shared" si="130"/>
        <v/>
      </c>
      <c r="J1065" s="55" t="str">
        <f t="shared" si="131"/>
        <v/>
      </c>
      <c r="K1065" s="4" t="str">
        <f t="shared" si="132"/>
        <v/>
      </c>
      <c r="L1065" s="19" t="str">
        <f t="shared" si="133"/>
        <v/>
      </c>
      <c r="M1065" s="12" t="str">
        <f>IF(A1065="","",IFERROR(INDEX(المدخلات!$M$4:$M$15,MATCH(A1065,المدخلات!$L$4:$L$15,0)),""))</f>
        <v/>
      </c>
      <c r="N1065" s="4" t="str">
        <f t="shared" si="134"/>
        <v/>
      </c>
      <c r="O1065" s="4" t="str">
        <f t="shared" si="135"/>
        <v/>
      </c>
    </row>
    <row r="1066" spans="1:15">
      <c r="A1066" s="11"/>
      <c r="B1066" s="19"/>
      <c r="C1066" s="19"/>
      <c r="D1066" s="55"/>
      <c r="E1066" s="56"/>
      <c r="F1066" s="19"/>
      <c r="G1066" s="4" t="str">
        <f t="shared" si="128"/>
        <v/>
      </c>
      <c r="H1066" s="11" t="str">
        <f t="shared" si="129"/>
        <v/>
      </c>
      <c r="I1066" s="55" t="str">
        <f t="shared" si="130"/>
        <v/>
      </c>
      <c r="J1066" s="55" t="str">
        <f t="shared" si="131"/>
        <v/>
      </c>
      <c r="K1066" s="4" t="str">
        <f t="shared" si="132"/>
        <v/>
      </c>
      <c r="L1066" s="19" t="str">
        <f t="shared" si="133"/>
        <v/>
      </c>
      <c r="M1066" s="12" t="str">
        <f>IF(A1066="","",IFERROR(INDEX(المدخلات!$M$4:$M$15,MATCH(A1066,المدخلات!$L$4:$L$15,0)),""))</f>
        <v/>
      </c>
      <c r="N1066" s="4" t="str">
        <f t="shared" si="134"/>
        <v/>
      </c>
      <c r="O1066" s="4" t="str">
        <f t="shared" si="135"/>
        <v/>
      </c>
    </row>
    <row r="1067" spans="1:15">
      <c r="A1067" s="11"/>
      <c r="B1067" s="19"/>
      <c r="C1067" s="19"/>
      <c r="D1067" s="55"/>
      <c r="E1067" s="56"/>
      <c r="F1067" s="19"/>
      <c r="G1067" s="4" t="str">
        <f t="shared" si="128"/>
        <v/>
      </c>
      <c r="H1067" s="11" t="str">
        <f t="shared" si="129"/>
        <v/>
      </c>
      <c r="I1067" s="55" t="str">
        <f t="shared" si="130"/>
        <v/>
      </c>
      <c r="J1067" s="55" t="str">
        <f t="shared" si="131"/>
        <v/>
      </c>
      <c r="K1067" s="4" t="str">
        <f t="shared" si="132"/>
        <v/>
      </c>
      <c r="L1067" s="19" t="str">
        <f t="shared" si="133"/>
        <v/>
      </c>
      <c r="M1067" s="12" t="str">
        <f>IF(A1067="","",IFERROR(INDEX(المدخلات!$M$4:$M$15,MATCH(A1067,المدخلات!$L$4:$L$15,0)),""))</f>
        <v/>
      </c>
      <c r="N1067" s="4" t="str">
        <f t="shared" si="134"/>
        <v/>
      </c>
      <c r="O1067" s="4" t="str">
        <f t="shared" si="135"/>
        <v/>
      </c>
    </row>
    <row r="1068" spans="1:15">
      <c r="A1068" s="11"/>
      <c r="B1068" s="19"/>
      <c r="C1068" s="19"/>
      <c r="D1068" s="55"/>
      <c r="E1068" s="56"/>
      <c r="F1068" s="19"/>
      <c r="G1068" s="4" t="str">
        <f t="shared" si="128"/>
        <v/>
      </c>
      <c r="H1068" s="11" t="str">
        <f t="shared" si="129"/>
        <v/>
      </c>
      <c r="I1068" s="55" t="str">
        <f t="shared" si="130"/>
        <v/>
      </c>
      <c r="J1068" s="55" t="str">
        <f t="shared" si="131"/>
        <v/>
      </c>
      <c r="K1068" s="4" t="str">
        <f t="shared" si="132"/>
        <v/>
      </c>
      <c r="L1068" s="19" t="str">
        <f t="shared" si="133"/>
        <v/>
      </c>
      <c r="M1068" s="12" t="str">
        <f>IF(A1068="","",IFERROR(INDEX(المدخلات!$M$4:$M$15,MATCH(A1068,المدخلات!$L$4:$L$15,0)),""))</f>
        <v/>
      </c>
      <c r="N1068" s="4" t="str">
        <f t="shared" si="134"/>
        <v/>
      </c>
      <c r="O1068" s="4" t="str">
        <f t="shared" si="135"/>
        <v/>
      </c>
    </row>
    <row r="1069" spans="1:15">
      <c r="A1069" s="11"/>
      <c r="B1069" s="19"/>
      <c r="C1069" s="19"/>
      <c r="D1069" s="55"/>
      <c r="E1069" s="56"/>
      <c r="F1069" s="19"/>
      <c r="G1069" s="4" t="str">
        <f t="shared" si="128"/>
        <v/>
      </c>
      <c r="H1069" s="11" t="str">
        <f t="shared" si="129"/>
        <v/>
      </c>
      <c r="I1069" s="55" t="str">
        <f t="shared" si="130"/>
        <v/>
      </c>
      <c r="J1069" s="55" t="str">
        <f t="shared" si="131"/>
        <v/>
      </c>
      <c r="K1069" s="4" t="str">
        <f t="shared" si="132"/>
        <v/>
      </c>
      <c r="L1069" s="19" t="str">
        <f t="shared" si="133"/>
        <v/>
      </c>
      <c r="M1069" s="12" t="str">
        <f>IF(A1069="","",IFERROR(INDEX(المدخلات!$M$4:$M$15,MATCH(A1069,المدخلات!$L$4:$L$15,0)),""))</f>
        <v/>
      </c>
      <c r="N1069" s="4" t="str">
        <f t="shared" si="134"/>
        <v/>
      </c>
      <c r="O1069" s="4" t="str">
        <f t="shared" si="135"/>
        <v/>
      </c>
    </row>
    <row r="1070" spans="1:15">
      <c r="A1070" s="11"/>
      <c r="B1070" s="19"/>
      <c r="C1070" s="19"/>
      <c r="D1070" s="55"/>
      <c r="E1070" s="56"/>
      <c r="F1070" s="19"/>
      <c r="G1070" s="4" t="str">
        <f t="shared" si="128"/>
        <v/>
      </c>
      <c r="H1070" s="11" t="str">
        <f t="shared" si="129"/>
        <v/>
      </c>
      <c r="I1070" s="55" t="str">
        <f t="shared" si="130"/>
        <v/>
      </c>
      <c r="J1070" s="55" t="str">
        <f t="shared" si="131"/>
        <v/>
      </c>
      <c r="K1070" s="4" t="str">
        <f t="shared" si="132"/>
        <v/>
      </c>
      <c r="L1070" s="19" t="str">
        <f t="shared" si="133"/>
        <v/>
      </c>
      <c r="M1070" s="12" t="str">
        <f>IF(A1070="","",IFERROR(INDEX(المدخلات!$M$4:$M$15,MATCH(A1070,المدخلات!$L$4:$L$15,0)),""))</f>
        <v/>
      </c>
      <c r="N1070" s="4" t="str">
        <f t="shared" si="134"/>
        <v/>
      </c>
      <c r="O1070" s="4" t="str">
        <f t="shared" si="135"/>
        <v/>
      </c>
    </row>
    <row r="1071" spans="1:15">
      <c r="A1071" s="11"/>
      <c r="B1071" s="19"/>
      <c r="C1071" s="19"/>
      <c r="D1071" s="55"/>
      <c r="E1071" s="56"/>
      <c r="F1071" s="19"/>
      <c r="G1071" s="4" t="str">
        <f t="shared" si="128"/>
        <v/>
      </c>
      <c r="H1071" s="11" t="str">
        <f t="shared" si="129"/>
        <v/>
      </c>
      <c r="I1071" s="55" t="str">
        <f t="shared" si="130"/>
        <v/>
      </c>
      <c r="J1071" s="55" t="str">
        <f t="shared" si="131"/>
        <v/>
      </c>
      <c r="K1071" s="4" t="str">
        <f t="shared" si="132"/>
        <v/>
      </c>
      <c r="L1071" s="19" t="str">
        <f t="shared" si="133"/>
        <v/>
      </c>
      <c r="M1071" s="12" t="str">
        <f>IF(A1071="","",IFERROR(INDEX(المدخلات!$M$4:$M$15,MATCH(A1071,المدخلات!$L$4:$L$15,0)),""))</f>
        <v/>
      </c>
      <c r="N1071" s="4" t="str">
        <f t="shared" si="134"/>
        <v/>
      </c>
      <c r="O1071" s="4" t="str">
        <f t="shared" si="135"/>
        <v/>
      </c>
    </row>
    <row r="1072" spans="1:15">
      <c r="A1072" s="11"/>
      <c r="B1072" s="19"/>
      <c r="C1072" s="19"/>
      <c r="D1072" s="55"/>
      <c r="E1072" s="56"/>
      <c r="F1072" s="19"/>
      <c r="G1072" s="4" t="str">
        <f t="shared" si="128"/>
        <v/>
      </c>
      <c r="H1072" s="11" t="str">
        <f t="shared" si="129"/>
        <v/>
      </c>
      <c r="I1072" s="55" t="str">
        <f t="shared" si="130"/>
        <v/>
      </c>
      <c r="J1072" s="55" t="str">
        <f t="shared" si="131"/>
        <v/>
      </c>
      <c r="K1072" s="4" t="str">
        <f t="shared" si="132"/>
        <v/>
      </c>
      <c r="L1072" s="19" t="str">
        <f t="shared" si="133"/>
        <v/>
      </c>
      <c r="M1072" s="12" t="str">
        <f>IF(A1072="","",IFERROR(INDEX(المدخلات!$M$4:$M$15,MATCH(A1072,المدخلات!$L$4:$L$15,0)),""))</f>
        <v/>
      </c>
      <c r="N1072" s="4" t="str">
        <f t="shared" si="134"/>
        <v/>
      </c>
      <c r="O1072" s="4" t="str">
        <f t="shared" si="135"/>
        <v/>
      </c>
    </row>
    <row r="1073" spans="1:15">
      <c r="A1073" s="11"/>
      <c r="B1073" s="19"/>
      <c r="C1073" s="19"/>
      <c r="D1073" s="55"/>
      <c r="E1073" s="56"/>
      <c r="F1073" s="19"/>
      <c r="G1073" s="4" t="str">
        <f t="shared" si="128"/>
        <v/>
      </c>
      <c r="H1073" s="11" t="str">
        <f t="shared" si="129"/>
        <v/>
      </c>
      <c r="I1073" s="55" t="str">
        <f t="shared" si="130"/>
        <v/>
      </c>
      <c r="J1073" s="55" t="str">
        <f t="shared" si="131"/>
        <v/>
      </c>
      <c r="K1073" s="4" t="str">
        <f t="shared" si="132"/>
        <v/>
      </c>
      <c r="L1073" s="19" t="str">
        <f t="shared" si="133"/>
        <v/>
      </c>
      <c r="M1073" s="12" t="str">
        <f>IF(A1073="","",IFERROR(INDEX(المدخلات!$M$4:$M$15,MATCH(A1073,المدخلات!$L$4:$L$15,0)),""))</f>
        <v/>
      </c>
      <c r="N1073" s="4" t="str">
        <f t="shared" si="134"/>
        <v/>
      </c>
      <c r="O1073" s="4" t="str">
        <f t="shared" si="135"/>
        <v/>
      </c>
    </row>
    <row r="1074" spans="1:15">
      <c r="A1074" s="11"/>
      <c r="B1074" s="19"/>
      <c r="C1074" s="19"/>
      <c r="D1074" s="55"/>
      <c r="E1074" s="56"/>
      <c r="F1074" s="19"/>
      <c r="G1074" s="4" t="str">
        <f t="shared" si="128"/>
        <v/>
      </c>
      <c r="H1074" s="11" t="str">
        <f t="shared" si="129"/>
        <v/>
      </c>
      <c r="I1074" s="55" t="str">
        <f t="shared" si="130"/>
        <v/>
      </c>
      <c r="J1074" s="55" t="str">
        <f t="shared" si="131"/>
        <v/>
      </c>
      <c r="K1074" s="4" t="str">
        <f t="shared" si="132"/>
        <v/>
      </c>
      <c r="L1074" s="19" t="str">
        <f t="shared" si="133"/>
        <v/>
      </c>
      <c r="M1074" s="12" t="str">
        <f>IF(A1074="","",IFERROR(INDEX(المدخلات!$M$4:$M$15,MATCH(A1074,المدخلات!$L$4:$L$15,0)),""))</f>
        <v/>
      </c>
      <c r="N1074" s="4" t="str">
        <f t="shared" si="134"/>
        <v/>
      </c>
      <c r="O1074" s="4" t="str">
        <f t="shared" si="135"/>
        <v/>
      </c>
    </row>
    <row r="1075" spans="1:15">
      <c r="A1075" s="11"/>
      <c r="B1075" s="19"/>
      <c r="C1075" s="19"/>
      <c r="D1075" s="55"/>
      <c r="E1075" s="56"/>
      <c r="F1075" s="19"/>
      <c r="G1075" s="4" t="str">
        <f t="shared" si="128"/>
        <v/>
      </c>
      <c r="H1075" s="11" t="str">
        <f t="shared" si="129"/>
        <v/>
      </c>
      <c r="I1075" s="55" t="str">
        <f t="shared" si="130"/>
        <v/>
      </c>
      <c r="J1075" s="55" t="str">
        <f t="shared" si="131"/>
        <v/>
      </c>
      <c r="K1075" s="4" t="str">
        <f t="shared" si="132"/>
        <v/>
      </c>
      <c r="L1075" s="19" t="str">
        <f t="shared" si="133"/>
        <v/>
      </c>
      <c r="M1075" s="12" t="str">
        <f>IF(A1075="","",IFERROR(INDEX(المدخلات!$M$4:$M$15,MATCH(A1075,المدخلات!$L$4:$L$15,0)),""))</f>
        <v/>
      </c>
      <c r="N1075" s="4" t="str">
        <f t="shared" si="134"/>
        <v/>
      </c>
      <c r="O1075" s="4" t="str">
        <f t="shared" si="135"/>
        <v/>
      </c>
    </row>
    <row r="1076" spans="1:15">
      <c r="A1076" s="11"/>
      <c r="B1076" s="19"/>
      <c r="C1076" s="19"/>
      <c r="D1076" s="55"/>
      <c r="E1076" s="56"/>
      <c r="F1076" s="19"/>
      <c r="G1076" s="4" t="str">
        <f t="shared" si="128"/>
        <v/>
      </c>
      <c r="H1076" s="11" t="str">
        <f t="shared" si="129"/>
        <v/>
      </c>
      <c r="I1076" s="55" t="str">
        <f t="shared" si="130"/>
        <v/>
      </c>
      <c r="J1076" s="55" t="str">
        <f t="shared" si="131"/>
        <v/>
      </c>
      <c r="K1076" s="4" t="str">
        <f t="shared" si="132"/>
        <v/>
      </c>
      <c r="L1076" s="19" t="str">
        <f t="shared" si="133"/>
        <v/>
      </c>
      <c r="M1076" s="12" t="str">
        <f>IF(A1076="","",IFERROR(INDEX(المدخلات!$M$4:$M$15,MATCH(A1076,المدخلات!$L$4:$L$15,0)),""))</f>
        <v/>
      </c>
      <c r="N1076" s="4" t="str">
        <f t="shared" si="134"/>
        <v/>
      </c>
      <c r="O1076" s="4" t="str">
        <f t="shared" si="135"/>
        <v/>
      </c>
    </row>
    <row r="1077" spans="1:15">
      <c r="A1077" s="11"/>
      <c r="B1077" s="19"/>
      <c r="C1077" s="19"/>
      <c r="D1077" s="55"/>
      <c r="E1077" s="56"/>
      <c r="F1077" s="19"/>
      <c r="G1077" s="4" t="str">
        <f t="shared" si="128"/>
        <v/>
      </c>
      <c r="H1077" s="11" t="str">
        <f t="shared" si="129"/>
        <v/>
      </c>
      <c r="I1077" s="55" t="str">
        <f t="shared" si="130"/>
        <v/>
      </c>
      <c r="J1077" s="55" t="str">
        <f t="shared" si="131"/>
        <v/>
      </c>
      <c r="K1077" s="4" t="str">
        <f t="shared" si="132"/>
        <v/>
      </c>
      <c r="L1077" s="19" t="str">
        <f t="shared" si="133"/>
        <v/>
      </c>
      <c r="M1077" s="12" t="str">
        <f>IF(A1077="","",IFERROR(INDEX(المدخلات!$M$4:$M$15,MATCH(A1077,المدخلات!$L$4:$L$15,0)),""))</f>
        <v/>
      </c>
      <c r="N1077" s="4" t="str">
        <f t="shared" si="134"/>
        <v/>
      </c>
      <c r="O1077" s="4" t="str">
        <f t="shared" si="135"/>
        <v/>
      </c>
    </row>
    <row r="1078" spans="1:15">
      <c r="A1078" s="11"/>
      <c r="B1078" s="19"/>
      <c r="C1078" s="19"/>
      <c r="D1078" s="55"/>
      <c r="E1078" s="56"/>
      <c r="F1078" s="19"/>
      <c r="G1078" s="4" t="str">
        <f t="shared" si="128"/>
        <v/>
      </c>
      <c r="H1078" s="11" t="str">
        <f t="shared" si="129"/>
        <v/>
      </c>
      <c r="I1078" s="55" t="str">
        <f t="shared" si="130"/>
        <v/>
      </c>
      <c r="J1078" s="55" t="str">
        <f t="shared" si="131"/>
        <v/>
      </c>
      <c r="K1078" s="4" t="str">
        <f t="shared" si="132"/>
        <v/>
      </c>
      <c r="L1078" s="19" t="str">
        <f t="shared" si="133"/>
        <v/>
      </c>
      <c r="M1078" s="12" t="str">
        <f>IF(A1078="","",IFERROR(INDEX(المدخلات!$M$4:$M$15,MATCH(A1078,المدخلات!$L$4:$L$15,0)),""))</f>
        <v/>
      </c>
      <c r="N1078" s="4" t="str">
        <f t="shared" si="134"/>
        <v/>
      </c>
      <c r="O1078" s="4" t="str">
        <f t="shared" si="135"/>
        <v/>
      </c>
    </row>
    <row r="1079" spans="1:15">
      <c r="A1079" s="11"/>
      <c r="B1079" s="19"/>
      <c r="C1079" s="19"/>
      <c r="D1079" s="55"/>
      <c r="E1079" s="56"/>
      <c r="F1079" s="19"/>
      <c r="G1079" s="4" t="str">
        <f t="shared" si="128"/>
        <v/>
      </c>
      <c r="H1079" s="11" t="str">
        <f t="shared" si="129"/>
        <v/>
      </c>
      <c r="I1079" s="55" t="str">
        <f t="shared" si="130"/>
        <v/>
      </c>
      <c r="J1079" s="55" t="str">
        <f t="shared" si="131"/>
        <v/>
      </c>
      <c r="K1079" s="4" t="str">
        <f t="shared" si="132"/>
        <v/>
      </c>
      <c r="L1079" s="19" t="str">
        <f t="shared" si="133"/>
        <v/>
      </c>
      <c r="M1079" s="12" t="str">
        <f>IF(A1079="","",IFERROR(INDEX(المدخلات!$M$4:$M$15,MATCH(A1079,المدخلات!$L$4:$L$15,0)),""))</f>
        <v/>
      </c>
      <c r="N1079" s="4" t="str">
        <f t="shared" si="134"/>
        <v/>
      </c>
      <c r="O1079" s="4" t="str">
        <f t="shared" si="135"/>
        <v/>
      </c>
    </row>
    <row r="1080" spans="1:15">
      <c r="A1080" s="11"/>
      <c r="B1080" s="19"/>
      <c r="C1080" s="19"/>
      <c r="D1080" s="55"/>
      <c r="E1080" s="56"/>
      <c r="F1080" s="19"/>
      <c r="G1080" s="4" t="str">
        <f t="shared" si="128"/>
        <v/>
      </c>
      <c r="H1080" s="11" t="str">
        <f t="shared" si="129"/>
        <v/>
      </c>
      <c r="I1080" s="55" t="str">
        <f t="shared" si="130"/>
        <v/>
      </c>
      <c r="J1080" s="55" t="str">
        <f t="shared" si="131"/>
        <v/>
      </c>
      <c r="K1080" s="4" t="str">
        <f t="shared" si="132"/>
        <v/>
      </c>
      <c r="L1080" s="19" t="str">
        <f t="shared" si="133"/>
        <v/>
      </c>
      <c r="M1080" s="12" t="str">
        <f>IF(A1080="","",IFERROR(INDEX(المدخلات!$M$4:$M$15,MATCH(A1080,المدخلات!$L$4:$L$15,0)),""))</f>
        <v/>
      </c>
      <c r="N1080" s="4" t="str">
        <f t="shared" si="134"/>
        <v/>
      </c>
      <c r="O1080" s="4" t="str">
        <f t="shared" si="135"/>
        <v/>
      </c>
    </row>
    <row r="1081" spans="1:15">
      <c r="A1081" s="11"/>
      <c r="B1081" s="19"/>
      <c r="C1081" s="19"/>
      <c r="D1081" s="55"/>
      <c r="E1081" s="56"/>
      <c r="F1081" s="19"/>
      <c r="G1081" s="4" t="str">
        <f t="shared" si="128"/>
        <v/>
      </c>
      <c r="H1081" s="11" t="str">
        <f t="shared" si="129"/>
        <v/>
      </c>
      <c r="I1081" s="55" t="str">
        <f t="shared" si="130"/>
        <v/>
      </c>
      <c r="J1081" s="55" t="str">
        <f t="shared" si="131"/>
        <v/>
      </c>
      <c r="K1081" s="4" t="str">
        <f t="shared" si="132"/>
        <v/>
      </c>
      <c r="L1081" s="19" t="str">
        <f t="shared" si="133"/>
        <v/>
      </c>
      <c r="M1081" s="12" t="str">
        <f>IF(A1081="","",IFERROR(INDEX(المدخلات!$M$4:$M$15,MATCH(A1081,المدخلات!$L$4:$L$15,0)),""))</f>
        <v/>
      </c>
      <c r="N1081" s="4" t="str">
        <f t="shared" si="134"/>
        <v/>
      </c>
      <c r="O1081" s="4" t="str">
        <f t="shared" si="135"/>
        <v/>
      </c>
    </row>
    <row r="1082" spans="1:15">
      <c r="A1082" s="11"/>
      <c r="B1082" s="19"/>
      <c r="C1082" s="19"/>
      <c r="D1082" s="55"/>
      <c r="E1082" s="56"/>
      <c r="F1082" s="19"/>
      <c r="G1082" s="4" t="str">
        <f t="shared" si="128"/>
        <v/>
      </c>
      <c r="H1082" s="11" t="str">
        <f t="shared" si="129"/>
        <v/>
      </c>
      <c r="I1082" s="55" t="str">
        <f t="shared" si="130"/>
        <v/>
      </c>
      <c r="J1082" s="55" t="str">
        <f t="shared" si="131"/>
        <v/>
      </c>
      <c r="K1082" s="4" t="str">
        <f t="shared" si="132"/>
        <v/>
      </c>
      <c r="L1082" s="19" t="str">
        <f t="shared" si="133"/>
        <v/>
      </c>
      <c r="M1082" s="12" t="str">
        <f>IF(A1082="","",IFERROR(INDEX(المدخلات!$M$4:$M$15,MATCH(A1082,المدخلات!$L$4:$L$15,0)),""))</f>
        <v/>
      </c>
      <c r="N1082" s="4" t="str">
        <f t="shared" si="134"/>
        <v/>
      </c>
      <c r="O1082" s="4" t="str">
        <f t="shared" si="135"/>
        <v/>
      </c>
    </row>
    <row r="1083" spans="1:15">
      <c r="A1083" s="11"/>
      <c r="B1083" s="19"/>
      <c r="C1083" s="19"/>
      <c r="D1083" s="55"/>
      <c r="E1083" s="56"/>
      <c r="F1083" s="19"/>
      <c r="G1083" s="4" t="str">
        <f t="shared" si="128"/>
        <v/>
      </c>
      <c r="H1083" s="11" t="str">
        <f t="shared" si="129"/>
        <v/>
      </c>
      <c r="I1083" s="55" t="str">
        <f t="shared" si="130"/>
        <v/>
      </c>
      <c r="J1083" s="55" t="str">
        <f t="shared" si="131"/>
        <v/>
      </c>
      <c r="K1083" s="4" t="str">
        <f t="shared" si="132"/>
        <v/>
      </c>
      <c r="L1083" s="19" t="str">
        <f t="shared" si="133"/>
        <v/>
      </c>
      <c r="M1083" s="12" t="str">
        <f>IF(A1083="","",IFERROR(INDEX(المدخلات!$M$4:$M$15,MATCH(A1083,المدخلات!$L$4:$L$15,0)),""))</f>
        <v/>
      </c>
      <c r="N1083" s="4" t="str">
        <f t="shared" si="134"/>
        <v/>
      </c>
      <c r="O1083" s="4" t="str">
        <f t="shared" si="135"/>
        <v/>
      </c>
    </row>
    <row r="1084" spans="1:15">
      <c r="A1084" s="11"/>
      <c r="B1084" s="19"/>
      <c r="C1084" s="19"/>
      <c r="D1084" s="55"/>
      <c r="E1084" s="56"/>
      <c r="F1084" s="19"/>
      <c r="G1084" s="4" t="str">
        <f t="shared" si="128"/>
        <v/>
      </c>
      <c r="H1084" s="11" t="str">
        <f t="shared" si="129"/>
        <v/>
      </c>
      <c r="I1084" s="55" t="str">
        <f t="shared" si="130"/>
        <v/>
      </c>
      <c r="J1084" s="55" t="str">
        <f t="shared" si="131"/>
        <v/>
      </c>
      <c r="K1084" s="4" t="str">
        <f t="shared" si="132"/>
        <v/>
      </c>
      <c r="L1084" s="19" t="str">
        <f t="shared" si="133"/>
        <v/>
      </c>
      <c r="M1084" s="12" t="str">
        <f>IF(A1084="","",IFERROR(INDEX(المدخلات!$M$4:$M$15,MATCH(A1084,المدخلات!$L$4:$L$15,0)),""))</f>
        <v/>
      </c>
      <c r="N1084" s="4" t="str">
        <f t="shared" si="134"/>
        <v/>
      </c>
      <c r="O1084" s="4" t="str">
        <f t="shared" si="135"/>
        <v/>
      </c>
    </row>
    <row r="1085" spans="1:15">
      <c r="A1085" s="11"/>
      <c r="B1085" s="19"/>
      <c r="C1085" s="19"/>
      <c r="D1085" s="55"/>
      <c r="E1085" s="56"/>
      <c r="F1085" s="19"/>
      <c r="G1085" s="4" t="str">
        <f t="shared" si="128"/>
        <v/>
      </c>
      <c r="H1085" s="11" t="str">
        <f t="shared" si="129"/>
        <v/>
      </c>
      <c r="I1085" s="55" t="str">
        <f t="shared" si="130"/>
        <v/>
      </c>
      <c r="J1085" s="55" t="str">
        <f t="shared" si="131"/>
        <v/>
      </c>
      <c r="K1085" s="4" t="str">
        <f t="shared" si="132"/>
        <v/>
      </c>
      <c r="L1085" s="19" t="str">
        <f t="shared" si="133"/>
        <v/>
      </c>
      <c r="M1085" s="12" t="str">
        <f>IF(A1085="","",IFERROR(INDEX(المدخلات!$M$4:$M$15,MATCH(A1085,المدخلات!$L$4:$L$15,0)),""))</f>
        <v/>
      </c>
      <c r="N1085" s="4" t="str">
        <f t="shared" si="134"/>
        <v/>
      </c>
      <c r="O1085" s="4" t="str">
        <f t="shared" si="135"/>
        <v/>
      </c>
    </row>
    <row r="1086" spans="1:15">
      <c r="A1086" s="11"/>
      <c r="B1086" s="19"/>
      <c r="C1086" s="19"/>
      <c r="D1086" s="55"/>
      <c r="E1086" s="56"/>
      <c r="F1086" s="19"/>
      <c r="G1086" s="4" t="str">
        <f t="shared" si="128"/>
        <v/>
      </c>
      <c r="H1086" s="11" t="str">
        <f t="shared" si="129"/>
        <v/>
      </c>
      <c r="I1086" s="55" t="str">
        <f t="shared" si="130"/>
        <v/>
      </c>
      <c r="J1086" s="55" t="str">
        <f t="shared" si="131"/>
        <v/>
      </c>
      <c r="K1086" s="4" t="str">
        <f t="shared" si="132"/>
        <v/>
      </c>
      <c r="L1086" s="19" t="str">
        <f t="shared" si="133"/>
        <v/>
      </c>
      <c r="M1086" s="12" t="str">
        <f>IF(A1086="","",IFERROR(INDEX(المدخلات!$M$4:$M$15,MATCH(A1086,المدخلات!$L$4:$L$15,0)),""))</f>
        <v/>
      </c>
      <c r="N1086" s="4" t="str">
        <f t="shared" si="134"/>
        <v/>
      </c>
      <c r="O1086" s="4" t="str">
        <f t="shared" si="135"/>
        <v/>
      </c>
    </row>
    <row r="1087" spans="1:15">
      <c r="A1087" s="11"/>
      <c r="B1087" s="19"/>
      <c r="C1087" s="19"/>
      <c r="D1087" s="55"/>
      <c r="E1087" s="56"/>
      <c r="F1087" s="19"/>
      <c r="G1087" s="4" t="str">
        <f t="shared" si="128"/>
        <v/>
      </c>
      <c r="H1087" s="11" t="str">
        <f t="shared" si="129"/>
        <v/>
      </c>
      <c r="I1087" s="55" t="str">
        <f t="shared" si="130"/>
        <v/>
      </c>
      <c r="J1087" s="55" t="str">
        <f t="shared" si="131"/>
        <v/>
      </c>
      <c r="K1087" s="4" t="str">
        <f t="shared" si="132"/>
        <v/>
      </c>
      <c r="L1087" s="19" t="str">
        <f t="shared" si="133"/>
        <v/>
      </c>
      <c r="M1087" s="12" t="str">
        <f>IF(A1087="","",IFERROR(INDEX(المدخلات!$M$4:$M$15,MATCH(A1087,المدخلات!$L$4:$L$15,0)),""))</f>
        <v/>
      </c>
      <c r="N1087" s="4" t="str">
        <f t="shared" si="134"/>
        <v/>
      </c>
      <c r="O1087" s="4" t="str">
        <f t="shared" si="135"/>
        <v/>
      </c>
    </row>
    <row r="1088" spans="1:15">
      <c r="A1088" s="11"/>
      <c r="B1088" s="19"/>
      <c r="C1088" s="19"/>
      <c r="D1088" s="55"/>
      <c r="E1088" s="56"/>
      <c r="F1088" s="19"/>
      <c r="G1088" s="4" t="str">
        <f t="shared" si="128"/>
        <v/>
      </c>
      <c r="H1088" s="11" t="str">
        <f t="shared" si="129"/>
        <v/>
      </c>
      <c r="I1088" s="55" t="str">
        <f t="shared" si="130"/>
        <v/>
      </c>
      <c r="J1088" s="55" t="str">
        <f t="shared" si="131"/>
        <v/>
      </c>
      <c r="K1088" s="4" t="str">
        <f t="shared" si="132"/>
        <v/>
      </c>
      <c r="L1088" s="19" t="str">
        <f t="shared" si="133"/>
        <v/>
      </c>
      <c r="M1088" s="12" t="str">
        <f>IF(A1088="","",IFERROR(INDEX(المدخلات!$M$4:$M$15,MATCH(A1088,المدخلات!$L$4:$L$15,0)),""))</f>
        <v/>
      </c>
      <c r="N1088" s="4" t="str">
        <f t="shared" si="134"/>
        <v/>
      </c>
      <c r="O1088" s="4" t="str">
        <f t="shared" si="135"/>
        <v/>
      </c>
    </row>
    <row r="1089" spans="1:15">
      <c r="A1089" s="11"/>
      <c r="B1089" s="19"/>
      <c r="C1089" s="19"/>
      <c r="D1089" s="55"/>
      <c r="E1089" s="56"/>
      <c r="F1089" s="19"/>
      <c r="G1089" s="4" t="str">
        <f t="shared" si="128"/>
        <v/>
      </c>
      <c r="H1089" s="11" t="str">
        <f t="shared" si="129"/>
        <v/>
      </c>
      <c r="I1089" s="55" t="str">
        <f t="shared" si="130"/>
        <v/>
      </c>
      <c r="J1089" s="55" t="str">
        <f t="shared" si="131"/>
        <v/>
      </c>
      <c r="K1089" s="4" t="str">
        <f t="shared" si="132"/>
        <v/>
      </c>
      <c r="L1089" s="19" t="str">
        <f t="shared" si="133"/>
        <v/>
      </c>
      <c r="M1089" s="12" t="str">
        <f>IF(A1089="","",IFERROR(INDEX(المدخلات!$M$4:$M$15,MATCH(A1089,المدخلات!$L$4:$L$15,0)),""))</f>
        <v/>
      </c>
      <c r="N1089" s="4" t="str">
        <f t="shared" si="134"/>
        <v/>
      </c>
      <c r="O1089" s="4" t="str">
        <f t="shared" si="135"/>
        <v/>
      </c>
    </row>
    <row r="1090" spans="1:15">
      <c r="A1090" s="11"/>
      <c r="B1090" s="19"/>
      <c r="C1090" s="19"/>
      <c r="D1090" s="55"/>
      <c r="E1090" s="56"/>
      <c r="F1090" s="19"/>
      <c r="G1090" s="4" t="str">
        <f t="shared" si="128"/>
        <v/>
      </c>
      <c r="H1090" s="11" t="str">
        <f t="shared" si="129"/>
        <v/>
      </c>
      <c r="I1090" s="55" t="str">
        <f t="shared" si="130"/>
        <v/>
      </c>
      <c r="J1090" s="55" t="str">
        <f t="shared" si="131"/>
        <v/>
      </c>
      <c r="K1090" s="4" t="str">
        <f t="shared" si="132"/>
        <v/>
      </c>
      <c r="L1090" s="19" t="str">
        <f t="shared" si="133"/>
        <v/>
      </c>
      <c r="M1090" s="12" t="str">
        <f>IF(A1090="","",IFERROR(INDEX(المدخلات!$M$4:$M$15,MATCH(A1090,المدخلات!$L$4:$L$15,0)),""))</f>
        <v/>
      </c>
      <c r="N1090" s="4" t="str">
        <f t="shared" si="134"/>
        <v/>
      </c>
      <c r="O1090" s="4" t="str">
        <f t="shared" si="135"/>
        <v/>
      </c>
    </row>
    <row r="1091" spans="1:15">
      <c r="A1091" s="11"/>
      <c r="B1091" s="19"/>
      <c r="C1091" s="19"/>
      <c r="D1091" s="55"/>
      <c r="E1091" s="56"/>
      <c r="F1091" s="19"/>
      <c r="G1091" s="4" t="str">
        <f t="shared" si="128"/>
        <v/>
      </c>
      <c r="H1091" s="11" t="str">
        <f t="shared" si="129"/>
        <v/>
      </c>
      <c r="I1091" s="55" t="str">
        <f t="shared" si="130"/>
        <v/>
      </c>
      <c r="J1091" s="55" t="str">
        <f t="shared" si="131"/>
        <v/>
      </c>
      <c r="K1091" s="4" t="str">
        <f t="shared" si="132"/>
        <v/>
      </c>
      <c r="L1091" s="19" t="str">
        <f t="shared" si="133"/>
        <v/>
      </c>
      <c r="M1091" s="12" t="str">
        <f>IF(A1091="","",IFERROR(INDEX(المدخلات!$M$4:$M$15,MATCH(A1091,المدخلات!$L$4:$L$15,0)),""))</f>
        <v/>
      </c>
      <c r="N1091" s="4" t="str">
        <f t="shared" si="134"/>
        <v/>
      </c>
      <c r="O1091" s="4" t="str">
        <f t="shared" si="135"/>
        <v/>
      </c>
    </row>
    <row r="1092" spans="1:15">
      <c r="A1092" s="11"/>
      <c r="B1092" s="19"/>
      <c r="C1092" s="19"/>
      <c r="D1092" s="55"/>
      <c r="E1092" s="56"/>
      <c r="F1092" s="19"/>
      <c r="G1092" s="4" t="str">
        <f t="shared" si="128"/>
        <v/>
      </c>
      <c r="H1092" s="11" t="str">
        <f t="shared" si="129"/>
        <v/>
      </c>
      <c r="I1092" s="55" t="str">
        <f t="shared" si="130"/>
        <v/>
      </c>
      <c r="J1092" s="55" t="str">
        <f t="shared" si="131"/>
        <v/>
      </c>
      <c r="K1092" s="4" t="str">
        <f t="shared" si="132"/>
        <v/>
      </c>
      <c r="L1092" s="19" t="str">
        <f t="shared" si="133"/>
        <v/>
      </c>
      <c r="M1092" s="12" t="str">
        <f>IF(A1092="","",IFERROR(INDEX(المدخلات!$M$4:$M$15,MATCH(A1092,المدخلات!$L$4:$L$15,0)),""))</f>
        <v/>
      </c>
      <c r="N1092" s="4" t="str">
        <f t="shared" si="134"/>
        <v/>
      </c>
      <c r="O1092" s="4" t="str">
        <f t="shared" si="135"/>
        <v/>
      </c>
    </row>
    <row r="1093" spans="1:15">
      <c r="A1093" s="11"/>
      <c r="B1093" s="19"/>
      <c r="C1093" s="19"/>
      <c r="D1093" s="55"/>
      <c r="E1093" s="56"/>
      <c r="F1093" s="19"/>
      <c r="G1093" s="4" t="str">
        <f t="shared" ref="G1093:G1156" si="136">IF(OR(D1093="",E1093=""),"",D1093*E1093)</f>
        <v/>
      </c>
      <c r="H1093" s="11" t="str">
        <f t="shared" ref="H1093:H1156" si="137">IF(C1093="","",IFERROR(_xlfn.MAXIFS($A$5:$A$2003,$C$5:$C$2003,C1093,$A$5:$A$2003,"&lt;"&amp;A1093),0))</f>
        <v/>
      </c>
      <c r="I1093" s="55" t="str">
        <f t="shared" ref="I1093:I1156" si="138">IF(OR(H1093="",H1093=0),"",IFERROR(SUMIFS($D$5:$D$2003,$C$5:$C$2003,C1093,$A$5:$A$2003,H1093),""))</f>
        <v/>
      </c>
      <c r="J1093" s="55" t="str">
        <f t="shared" ref="J1093:J1156" si="139">IF(C1093="","",IF(I1093="",0,MAX(I1093-D1093,0)))</f>
        <v/>
      </c>
      <c r="K1093" s="4" t="str">
        <f t="shared" ref="K1093:K1156" si="140">IF(J1093="","",J1093*E1093)</f>
        <v/>
      </c>
      <c r="L1093" s="19" t="str">
        <f t="shared" ref="L1093:L1156" si="141">IF(C1093="","",IF(COUNTIFS($A$5:$A$2003,A1093,$C$5:$C$2003,C1093)&gt;1,"⚠️ مادة مكررة بنفس الشهر",IF(OR(H1093="",H1093=0),"🆕 أول ظهور لهذه المادة",IF(D1093&gt;I1093,"ℹ️ زيادة كمية (شراء/تصحيح) - لا تُحتسب استهلاكاً",IF(D1093=I1093,"➖ لا تغيير","")))))</f>
        <v/>
      </c>
      <c r="M1093" s="12" t="str">
        <f>IF(A1093="","",IFERROR(INDEX(المدخلات!$M$4:$M$15,MATCH(A1093,المدخلات!$L$4:$L$15,0)),""))</f>
        <v/>
      </c>
      <c r="N1093" s="4" t="str">
        <f t="shared" ref="N1093:N1156" si="142">IF(OR(G1093="",F1093=""),"",IF(F1093="دولار أمريكي",IF(M1093="","⚠️ لا يوجد سعر صرف",G1093*M1093),G1093))</f>
        <v/>
      </c>
      <c r="O1093" s="4" t="str">
        <f t="shared" ref="O1093:O1156" si="143">IF(OR(K1093="",F1093=""),"",IF(F1093="دولار أمريكي",IF(M1093="","⚠️ لا يوجد سعر صرف",K1093*M1093),K1093))</f>
        <v/>
      </c>
    </row>
    <row r="1094" spans="1:15">
      <c r="A1094" s="11"/>
      <c r="B1094" s="19"/>
      <c r="C1094" s="19"/>
      <c r="D1094" s="55"/>
      <c r="E1094" s="56"/>
      <c r="F1094" s="19"/>
      <c r="G1094" s="4" t="str">
        <f t="shared" si="136"/>
        <v/>
      </c>
      <c r="H1094" s="11" t="str">
        <f t="shared" si="137"/>
        <v/>
      </c>
      <c r="I1094" s="55" t="str">
        <f t="shared" si="138"/>
        <v/>
      </c>
      <c r="J1094" s="55" t="str">
        <f t="shared" si="139"/>
        <v/>
      </c>
      <c r="K1094" s="4" t="str">
        <f t="shared" si="140"/>
        <v/>
      </c>
      <c r="L1094" s="19" t="str">
        <f t="shared" si="141"/>
        <v/>
      </c>
      <c r="M1094" s="12" t="str">
        <f>IF(A1094="","",IFERROR(INDEX(المدخلات!$M$4:$M$15,MATCH(A1094,المدخلات!$L$4:$L$15,0)),""))</f>
        <v/>
      </c>
      <c r="N1094" s="4" t="str">
        <f t="shared" si="142"/>
        <v/>
      </c>
      <c r="O1094" s="4" t="str">
        <f t="shared" si="143"/>
        <v/>
      </c>
    </row>
    <row r="1095" spans="1:15">
      <c r="A1095" s="11"/>
      <c r="B1095" s="19"/>
      <c r="C1095" s="19"/>
      <c r="D1095" s="55"/>
      <c r="E1095" s="56"/>
      <c r="F1095" s="19"/>
      <c r="G1095" s="4" t="str">
        <f t="shared" si="136"/>
        <v/>
      </c>
      <c r="H1095" s="11" t="str">
        <f t="shared" si="137"/>
        <v/>
      </c>
      <c r="I1095" s="55" t="str">
        <f t="shared" si="138"/>
        <v/>
      </c>
      <c r="J1095" s="55" t="str">
        <f t="shared" si="139"/>
        <v/>
      </c>
      <c r="K1095" s="4" t="str">
        <f t="shared" si="140"/>
        <v/>
      </c>
      <c r="L1095" s="19" t="str">
        <f t="shared" si="141"/>
        <v/>
      </c>
      <c r="M1095" s="12" t="str">
        <f>IF(A1095="","",IFERROR(INDEX(المدخلات!$M$4:$M$15,MATCH(A1095,المدخلات!$L$4:$L$15,0)),""))</f>
        <v/>
      </c>
      <c r="N1095" s="4" t="str">
        <f t="shared" si="142"/>
        <v/>
      </c>
      <c r="O1095" s="4" t="str">
        <f t="shared" si="143"/>
        <v/>
      </c>
    </row>
    <row r="1096" spans="1:15">
      <c r="A1096" s="11"/>
      <c r="B1096" s="19"/>
      <c r="C1096" s="19"/>
      <c r="D1096" s="55"/>
      <c r="E1096" s="56"/>
      <c r="F1096" s="19"/>
      <c r="G1096" s="4" t="str">
        <f t="shared" si="136"/>
        <v/>
      </c>
      <c r="H1096" s="11" t="str">
        <f t="shared" si="137"/>
        <v/>
      </c>
      <c r="I1096" s="55" t="str">
        <f t="shared" si="138"/>
        <v/>
      </c>
      <c r="J1096" s="55" t="str">
        <f t="shared" si="139"/>
        <v/>
      </c>
      <c r="K1096" s="4" t="str">
        <f t="shared" si="140"/>
        <v/>
      </c>
      <c r="L1096" s="19" t="str">
        <f t="shared" si="141"/>
        <v/>
      </c>
      <c r="M1096" s="12" t="str">
        <f>IF(A1096="","",IFERROR(INDEX(المدخلات!$M$4:$M$15,MATCH(A1096,المدخلات!$L$4:$L$15,0)),""))</f>
        <v/>
      </c>
      <c r="N1096" s="4" t="str">
        <f t="shared" si="142"/>
        <v/>
      </c>
      <c r="O1096" s="4" t="str">
        <f t="shared" si="143"/>
        <v/>
      </c>
    </row>
    <row r="1097" spans="1:15">
      <c r="A1097" s="11"/>
      <c r="B1097" s="19"/>
      <c r="C1097" s="19"/>
      <c r="D1097" s="55"/>
      <c r="E1097" s="56"/>
      <c r="F1097" s="19"/>
      <c r="G1097" s="4" t="str">
        <f t="shared" si="136"/>
        <v/>
      </c>
      <c r="H1097" s="11" t="str">
        <f t="shared" si="137"/>
        <v/>
      </c>
      <c r="I1097" s="55" t="str">
        <f t="shared" si="138"/>
        <v/>
      </c>
      <c r="J1097" s="55" t="str">
        <f t="shared" si="139"/>
        <v/>
      </c>
      <c r="K1097" s="4" t="str">
        <f t="shared" si="140"/>
        <v/>
      </c>
      <c r="L1097" s="19" t="str">
        <f t="shared" si="141"/>
        <v/>
      </c>
      <c r="M1097" s="12" t="str">
        <f>IF(A1097="","",IFERROR(INDEX(المدخلات!$M$4:$M$15,MATCH(A1097,المدخلات!$L$4:$L$15,0)),""))</f>
        <v/>
      </c>
      <c r="N1097" s="4" t="str">
        <f t="shared" si="142"/>
        <v/>
      </c>
      <c r="O1097" s="4" t="str">
        <f t="shared" si="143"/>
        <v/>
      </c>
    </row>
    <row r="1098" spans="1:15">
      <c r="A1098" s="11"/>
      <c r="B1098" s="19"/>
      <c r="C1098" s="19"/>
      <c r="D1098" s="55"/>
      <c r="E1098" s="56"/>
      <c r="F1098" s="19"/>
      <c r="G1098" s="4" t="str">
        <f t="shared" si="136"/>
        <v/>
      </c>
      <c r="H1098" s="11" t="str">
        <f t="shared" si="137"/>
        <v/>
      </c>
      <c r="I1098" s="55" t="str">
        <f t="shared" si="138"/>
        <v/>
      </c>
      <c r="J1098" s="55" t="str">
        <f t="shared" si="139"/>
        <v/>
      </c>
      <c r="K1098" s="4" t="str">
        <f t="shared" si="140"/>
        <v/>
      </c>
      <c r="L1098" s="19" t="str">
        <f t="shared" si="141"/>
        <v/>
      </c>
      <c r="M1098" s="12" t="str">
        <f>IF(A1098="","",IFERROR(INDEX(المدخلات!$M$4:$M$15,MATCH(A1098,المدخلات!$L$4:$L$15,0)),""))</f>
        <v/>
      </c>
      <c r="N1098" s="4" t="str">
        <f t="shared" si="142"/>
        <v/>
      </c>
      <c r="O1098" s="4" t="str">
        <f t="shared" si="143"/>
        <v/>
      </c>
    </row>
    <row r="1099" spans="1:15">
      <c r="A1099" s="11"/>
      <c r="B1099" s="19"/>
      <c r="C1099" s="19"/>
      <c r="D1099" s="55"/>
      <c r="E1099" s="56"/>
      <c r="F1099" s="19"/>
      <c r="G1099" s="4" t="str">
        <f t="shared" si="136"/>
        <v/>
      </c>
      <c r="H1099" s="11" t="str">
        <f t="shared" si="137"/>
        <v/>
      </c>
      <c r="I1099" s="55" t="str">
        <f t="shared" si="138"/>
        <v/>
      </c>
      <c r="J1099" s="55" t="str">
        <f t="shared" si="139"/>
        <v/>
      </c>
      <c r="K1099" s="4" t="str">
        <f t="shared" si="140"/>
        <v/>
      </c>
      <c r="L1099" s="19" t="str">
        <f t="shared" si="141"/>
        <v/>
      </c>
      <c r="M1099" s="12" t="str">
        <f>IF(A1099="","",IFERROR(INDEX(المدخلات!$M$4:$M$15,MATCH(A1099,المدخلات!$L$4:$L$15,0)),""))</f>
        <v/>
      </c>
      <c r="N1099" s="4" t="str">
        <f t="shared" si="142"/>
        <v/>
      </c>
      <c r="O1099" s="4" t="str">
        <f t="shared" si="143"/>
        <v/>
      </c>
    </row>
    <row r="1100" spans="1:15">
      <c r="A1100" s="11"/>
      <c r="B1100" s="19"/>
      <c r="C1100" s="19"/>
      <c r="D1100" s="55"/>
      <c r="E1100" s="56"/>
      <c r="F1100" s="19"/>
      <c r="G1100" s="4" t="str">
        <f t="shared" si="136"/>
        <v/>
      </c>
      <c r="H1100" s="11" t="str">
        <f t="shared" si="137"/>
        <v/>
      </c>
      <c r="I1100" s="55" t="str">
        <f t="shared" si="138"/>
        <v/>
      </c>
      <c r="J1100" s="55" t="str">
        <f t="shared" si="139"/>
        <v/>
      </c>
      <c r="K1100" s="4" t="str">
        <f t="shared" si="140"/>
        <v/>
      </c>
      <c r="L1100" s="19" t="str">
        <f t="shared" si="141"/>
        <v/>
      </c>
      <c r="M1100" s="12" t="str">
        <f>IF(A1100="","",IFERROR(INDEX(المدخلات!$M$4:$M$15,MATCH(A1100,المدخلات!$L$4:$L$15,0)),""))</f>
        <v/>
      </c>
      <c r="N1100" s="4" t="str">
        <f t="shared" si="142"/>
        <v/>
      </c>
      <c r="O1100" s="4" t="str">
        <f t="shared" si="143"/>
        <v/>
      </c>
    </row>
    <row r="1101" spans="1:15">
      <c r="A1101" s="11"/>
      <c r="B1101" s="19"/>
      <c r="C1101" s="19"/>
      <c r="D1101" s="55"/>
      <c r="E1101" s="56"/>
      <c r="F1101" s="19"/>
      <c r="G1101" s="4" t="str">
        <f t="shared" si="136"/>
        <v/>
      </c>
      <c r="H1101" s="11" t="str">
        <f t="shared" si="137"/>
        <v/>
      </c>
      <c r="I1101" s="55" t="str">
        <f t="shared" si="138"/>
        <v/>
      </c>
      <c r="J1101" s="55" t="str">
        <f t="shared" si="139"/>
        <v/>
      </c>
      <c r="K1101" s="4" t="str">
        <f t="shared" si="140"/>
        <v/>
      </c>
      <c r="L1101" s="19" t="str">
        <f t="shared" si="141"/>
        <v/>
      </c>
      <c r="M1101" s="12" t="str">
        <f>IF(A1101="","",IFERROR(INDEX(المدخلات!$M$4:$M$15,MATCH(A1101,المدخلات!$L$4:$L$15,0)),""))</f>
        <v/>
      </c>
      <c r="N1101" s="4" t="str">
        <f t="shared" si="142"/>
        <v/>
      </c>
      <c r="O1101" s="4" t="str">
        <f t="shared" si="143"/>
        <v/>
      </c>
    </row>
    <row r="1102" spans="1:15">
      <c r="A1102" s="11"/>
      <c r="B1102" s="19"/>
      <c r="C1102" s="19"/>
      <c r="D1102" s="55"/>
      <c r="E1102" s="56"/>
      <c r="F1102" s="19"/>
      <c r="G1102" s="4" t="str">
        <f t="shared" si="136"/>
        <v/>
      </c>
      <c r="H1102" s="11" t="str">
        <f t="shared" si="137"/>
        <v/>
      </c>
      <c r="I1102" s="55" t="str">
        <f t="shared" si="138"/>
        <v/>
      </c>
      <c r="J1102" s="55" t="str">
        <f t="shared" si="139"/>
        <v/>
      </c>
      <c r="K1102" s="4" t="str">
        <f t="shared" si="140"/>
        <v/>
      </c>
      <c r="L1102" s="19" t="str">
        <f t="shared" si="141"/>
        <v/>
      </c>
      <c r="M1102" s="12" t="str">
        <f>IF(A1102="","",IFERROR(INDEX(المدخلات!$M$4:$M$15,MATCH(A1102,المدخلات!$L$4:$L$15,0)),""))</f>
        <v/>
      </c>
      <c r="N1102" s="4" t="str">
        <f t="shared" si="142"/>
        <v/>
      </c>
      <c r="O1102" s="4" t="str">
        <f t="shared" si="143"/>
        <v/>
      </c>
    </row>
    <row r="1103" spans="1:15">
      <c r="A1103" s="11"/>
      <c r="B1103" s="19"/>
      <c r="C1103" s="19"/>
      <c r="D1103" s="55"/>
      <c r="E1103" s="56"/>
      <c r="F1103" s="19"/>
      <c r="G1103" s="4" t="str">
        <f t="shared" si="136"/>
        <v/>
      </c>
      <c r="H1103" s="11" t="str">
        <f t="shared" si="137"/>
        <v/>
      </c>
      <c r="I1103" s="55" t="str">
        <f t="shared" si="138"/>
        <v/>
      </c>
      <c r="J1103" s="55" t="str">
        <f t="shared" si="139"/>
        <v/>
      </c>
      <c r="K1103" s="4" t="str">
        <f t="shared" si="140"/>
        <v/>
      </c>
      <c r="L1103" s="19" t="str">
        <f t="shared" si="141"/>
        <v/>
      </c>
      <c r="M1103" s="12" t="str">
        <f>IF(A1103="","",IFERROR(INDEX(المدخلات!$M$4:$M$15,MATCH(A1103,المدخلات!$L$4:$L$15,0)),""))</f>
        <v/>
      </c>
      <c r="N1103" s="4" t="str">
        <f t="shared" si="142"/>
        <v/>
      </c>
      <c r="O1103" s="4" t="str">
        <f t="shared" si="143"/>
        <v/>
      </c>
    </row>
    <row r="1104" spans="1:15">
      <c r="A1104" s="11"/>
      <c r="B1104" s="19"/>
      <c r="C1104" s="19"/>
      <c r="D1104" s="55"/>
      <c r="E1104" s="56"/>
      <c r="F1104" s="19"/>
      <c r="G1104" s="4" t="str">
        <f t="shared" si="136"/>
        <v/>
      </c>
      <c r="H1104" s="11" t="str">
        <f t="shared" si="137"/>
        <v/>
      </c>
      <c r="I1104" s="55" t="str">
        <f t="shared" si="138"/>
        <v/>
      </c>
      <c r="J1104" s="55" t="str">
        <f t="shared" si="139"/>
        <v/>
      </c>
      <c r="K1104" s="4" t="str">
        <f t="shared" si="140"/>
        <v/>
      </c>
      <c r="L1104" s="19" t="str">
        <f t="shared" si="141"/>
        <v/>
      </c>
      <c r="M1104" s="12" t="str">
        <f>IF(A1104="","",IFERROR(INDEX(المدخلات!$M$4:$M$15,MATCH(A1104,المدخلات!$L$4:$L$15,0)),""))</f>
        <v/>
      </c>
      <c r="N1104" s="4" t="str">
        <f t="shared" si="142"/>
        <v/>
      </c>
      <c r="O1104" s="4" t="str">
        <f t="shared" si="143"/>
        <v/>
      </c>
    </row>
    <row r="1105" spans="1:15">
      <c r="A1105" s="11"/>
      <c r="B1105" s="19"/>
      <c r="C1105" s="19"/>
      <c r="D1105" s="55"/>
      <c r="E1105" s="56"/>
      <c r="F1105" s="19"/>
      <c r="G1105" s="4" t="str">
        <f t="shared" si="136"/>
        <v/>
      </c>
      <c r="H1105" s="11" t="str">
        <f t="shared" si="137"/>
        <v/>
      </c>
      <c r="I1105" s="55" t="str">
        <f t="shared" si="138"/>
        <v/>
      </c>
      <c r="J1105" s="55" t="str">
        <f t="shared" si="139"/>
        <v/>
      </c>
      <c r="K1105" s="4" t="str">
        <f t="shared" si="140"/>
        <v/>
      </c>
      <c r="L1105" s="19" t="str">
        <f t="shared" si="141"/>
        <v/>
      </c>
      <c r="M1105" s="12" t="str">
        <f>IF(A1105="","",IFERROR(INDEX(المدخلات!$M$4:$M$15,MATCH(A1105,المدخلات!$L$4:$L$15,0)),""))</f>
        <v/>
      </c>
      <c r="N1105" s="4" t="str">
        <f t="shared" si="142"/>
        <v/>
      </c>
      <c r="O1105" s="4" t="str">
        <f t="shared" si="143"/>
        <v/>
      </c>
    </row>
    <row r="1106" spans="1:15">
      <c r="A1106" s="11"/>
      <c r="B1106" s="19"/>
      <c r="C1106" s="19"/>
      <c r="D1106" s="55"/>
      <c r="E1106" s="56"/>
      <c r="F1106" s="19"/>
      <c r="G1106" s="4" t="str">
        <f t="shared" si="136"/>
        <v/>
      </c>
      <c r="H1106" s="11" t="str">
        <f t="shared" si="137"/>
        <v/>
      </c>
      <c r="I1106" s="55" t="str">
        <f t="shared" si="138"/>
        <v/>
      </c>
      <c r="J1106" s="55" t="str">
        <f t="shared" si="139"/>
        <v/>
      </c>
      <c r="K1106" s="4" t="str">
        <f t="shared" si="140"/>
        <v/>
      </c>
      <c r="L1106" s="19" t="str">
        <f t="shared" si="141"/>
        <v/>
      </c>
      <c r="M1106" s="12" t="str">
        <f>IF(A1106="","",IFERROR(INDEX(المدخلات!$M$4:$M$15,MATCH(A1106,المدخلات!$L$4:$L$15,0)),""))</f>
        <v/>
      </c>
      <c r="N1106" s="4" t="str">
        <f t="shared" si="142"/>
        <v/>
      </c>
      <c r="O1106" s="4" t="str">
        <f t="shared" si="143"/>
        <v/>
      </c>
    </row>
    <row r="1107" spans="1:15">
      <c r="A1107" s="11"/>
      <c r="B1107" s="19"/>
      <c r="C1107" s="19"/>
      <c r="D1107" s="55"/>
      <c r="E1107" s="56"/>
      <c r="F1107" s="19"/>
      <c r="G1107" s="4" t="str">
        <f t="shared" si="136"/>
        <v/>
      </c>
      <c r="H1107" s="11" t="str">
        <f t="shared" si="137"/>
        <v/>
      </c>
      <c r="I1107" s="55" t="str">
        <f t="shared" si="138"/>
        <v/>
      </c>
      <c r="J1107" s="55" t="str">
        <f t="shared" si="139"/>
        <v/>
      </c>
      <c r="K1107" s="4" t="str">
        <f t="shared" si="140"/>
        <v/>
      </c>
      <c r="L1107" s="19" t="str">
        <f t="shared" si="141"/>
        <v/>
      </c>
      <c r="M1107" s="12" t="str">
        <f>IF(A1107="","",IFERROR(INDEX(المدخلات!$M$4:$M$15,MATCH(A1107,المدخلات!$L$4:$L$15,0)),""))</f>
        <v/>
      </c>
      <c r="N1107" s="4" t="str">
        <f t="shared" si="142"/>
        <v/>
      </c>
      <c r="O1107" s="4" t="str">
        <f t="shared" si="143"/>
        <v/>
      </c>
    </row>
    <row r="1108" spans="1:15">
      <c r="A1108" s="11"/>
      <c r="B1108" s="19"/>
      <c r="C1108" s="19"/>
      <c r="D1108" s="55"/>
      <c r="E1108" s="56"/>
      <c r="F1108" s="19"/>
      <c r="G1108" s="4" t="str">
        <f t="shared" si="136"/>
        <v/>
      </c>
      <c r="H1108" s="11" t="str">
        <f t="shared" si="137"/>
        <v/>
      </c>
      <c r="I1108" s="55" t="str">
        <f t="shared" si="138"/>
        <v/>
      </c>
      <c r="J1108" s="55" t="str">
        <f t="shared" si="139"/>
        <v/>
      </c>
      <c r="K1108" s="4" t="str">
        <f t="shared" si="140"/>
        <v/>
      </c>
      <c r="L1108" s="19" t="str">
        <f t="shared" si="141"/>
        <v/>
      </c>
      <c r="M1108" s="12" t="str">
        <f>IF(A1108="","",IFERROR(INDEX(المدخلات!$M$4:$M$15,MATCH(A1108,المدخلات!$L$4:$L$15,0)),""))</f>
        <v/>
      </c>
      <c r="N1108" s="4" t="str">
        <f t="shared" si="142"/>
        <v/>
      </c>
      <c r="O1108" s="4" t="str">
        <f t="shared" si="143"/>
        <v/>
      </c>
    </row>
    <row r="1109" spans="1:15">
      <c r="A1109" s="11"/>
      <c r="B1109" s="19"/>
      <c r="C1109" s="19"/>
      <c r="D1109" s="55"/>
      <c r="E1109" s="56"/>
      <c r="F1109" s="19"/>
      <c r="G1109" s="4" t="str">
        <f t="shared" si="136"/>
        <v/>
      </c>
      <c r="H1109" s="11" t="str">
        <f t="shared" si="137"/>
        <v/>
      </c>
      <c r="I1109" s="55" t="str">
        <f t="shared" si="138"/>
        <v/>
      </c>
      <c r="J1109" s="55" t="str">
        <f t="shared" si="139"/>
        <v/>
      </c>
      <c r="K1109" s="4" t="str">
        <f t="shared" si="140"/>
        <v/>
      </c>
      <c r="L1109" s="19" t="str">
        <f t="shared" si="141"/>
        <v/>
      </c>
      <c r="M1109" s="12" t="str">
        <f>IF(A1109="","",IFERROR(INDEX(المدخلات!$M$4:$M$15,MATCH(A1109,المدخلات!$L$4:$L$15,0)),""))</f>
        <v/>
      </c>
      <c r="N1109" s="4" t="str">
        <f t="shared" si="142"/>
        <v/>
      </c>
      <c r="O1109" s="4" t="str">
        <f t="shared" si="143"/>
        <v/>
      </c>
    </row>
    <row r="1110" spans="1:15">
      <c r="A1110" s="11"/>
      <c r="B1110" s="19"/>
      <c r="C1110" s="19"/>
      <c r="D1110" s="55"/>
      <c r="E1110" s="56"/>
      <c r="F1110" s="19"/>
      <c r="G1110" s="4" t="str">
        <f t="shared" si="136"/>
        <v/>
      </c>
      <c r="H1110" s="11" t="str">
        <f t="shared" si="137"/>
        <v/>
      </c>
      <c r="I1110" s="55" t="str">
        <f t="shared" si="138"/>
        <v/>
      </c>
      <c r="J1110" s="55" t="str">
        <f t="shared" si="139"/>
        <v/>
      </c>
      <c r="K1110" s="4" t="str">
        <f t="shared" si="140"/>
        <v/>
      </c>
      <c r="L1110" s="19" t="str">
        <f t="shared" si="141"/>
        <v/>
      </c>
      <c r="M1110" s="12" t="str">
        <f>IF(A1110="","",IFERROR(INDEX(المدخلات!$M$4:$M$15,MATCH(A1110,المدخلات!$L$4:$L$15,0)),""))</f>
        <v/>
      </c>
      <c r="N1110" s="4" t="str">
        <f t="shared" si="142"/>
        <v/>
      </c>
      <c r="O1110" s="4" t="str">
        <f t="shared" si="143"/>
        <v/>
      </c>
    </row>
    <row r="1111" spans="1:15">
      <c r="A1111" s="11"/>
      <c r="B1111" s="19"/>
      <c r="C1111" s="19"/>
      <c r="D1111" s="55"/>
      <c r="E1111" s="56"/>
      <c r="F1111" s="19"/>
      <c r="G1111" s="4" t="str">
        <f t="shared" si="136"/>
        <v/>
      </c>
      <c r="H1111" s="11" t="str">
        <f t="shared" si="137"/>
        <v/>
      </c>
      <c r="I1111" s="55" t="str">
        <f t="shared" si="138"/>
        <v/>
      </c>
      <c r="J1111" s="55" t="str">
        <f t="shared" si="139"/>
        <v/>
      </c>
      <c r="K1111" s="4" t="str">
        <f t="shared" si="140"/>
        <v/>
      </c>
      <c r="L1111" s="19" t="str">
        <f t="shared" si="141"/>
        <v/>
      </c>
      <c r="M1111" s="12" t="str">
        <f>IF(A1111="","",IFERROR(INDEX(المدخلات!$M$4:$M$15,MATCH(A1111,المدخلات!$L$4:$L$15,0)),""))</f>
        <v/>
      </c>
      <c r="N1111" s="4" t="str">
        <f t="shared" si="142"/>
        <v/>
      </c>
      <c r="O1111" s="4" t="str">
        <f t="shared" si="143"/>
        <v/>
      </c>
    </row>
    <row r="1112" spans="1:15">
      <c r="A1112" s="11"/>
      <c r="B1112" s="19"/>
      <c r="C1112" s="19"/>
      <c r="D1112" s="55"/>
      <c r="E1112" s="56"/>
      <c r="F1112" s="19"/>
      <c r="G1112" s="4" t="str">
        <f t="shared" si="136"/>
        <v/>
      </c>
      <c r="H1112" s="11" t="str">
        <f t="shared" si="137"/>
        <v/>
      </c>
      <c r="I1112" s="55" t="str">
        <f t="shared" si="138"/>
        <v/>
      </c>
      <c r="J1112" s="55" t="str">
        <f t="shared" si="139"/>
        <v/>
      </c>
      <c r="K1112" s="4" t="str">
        <f t="shared" si="140"/>
        <v/>
      </c>
      <c r="L1112" s="19" t="str">
        <f t="shared" si="141"/>
        <v/>
      </c>
      <c r="M1112" s="12" t="str">
        <f>IF(A1112="","",IFERROR(INDEX(المدخلات!$M$4:$M$15,MATCH(A1112,المدخلات!$L$4:$L$15,0)),""))</f>
        <v/>
      </c>
      <c r="N1112" s="4" t="str">
        <f t="shared" si="142"/>
        <v/>
      </c>
      <c r="O1112" s="4" t="str">
        <f t="shared" si="143"/>
        <v/>
      </c>
    </row>
    <row r="1113" spans="1:15">
      <c r="A1113" s="11"/>
      <c r="B1113" s="19"/>
      <c r="C1113" s="19"/>
      <c r="D1113" s="55"/>
      <c r="E1113" s="56"/>
      <c r="F1113" s="19"/>
      <c r="G1113" s="4" t="str">
        <f t="shared" si="136"/>
        <v/>
      </c>
      <c r="H1113" s="11" t="str">
        <f t="shared" si="137"/>
        <v/>
      </c>
      <c r="I1113" s="55" t="str">
        <f t="shared" si="138"/>
        <v/>
      </c>
      <c r="J1113" s="55" t="str">
        <f t="shared" si="139"/>
        <v/>
      </c>
      <c r="K1113" s="4" t="str">
        <f t="shared" si="140"/>
        <v/>
      </c>
      <c r="L1113" s="19" t="str">
        <f t="shared" si="141"/>
        <v/>
      </c>
      <c r="M1113" s="12" t="str">
        <f>IF(A1113="","",IFERROR(INDEX(المدخلات!$M$4:$M$15,MATCH(A1113,المدخلات!$L$4:$L$15,0)),""))</f>
        <v/>
      </c>
      <c r="N1113" s="4" t="str">
        <f t="shared" si="142"/>
        <v/>
      </c>
      <c r="O1113" s="4" t="str">
        <f t="shared" si="143"/>
        <v/>
      </c>
    </row>
    <row r="1114" spans="1:15">
      <c r="A1114" s="11"/>
      <c r="B1114" s="19"/>
      <c r="C1114" s="19"/>
      <c r="D1114" s="55"/>
      <c r="E1114" s="56"/>
      <c r="F1114" s="19"/>
      <c r="G1114" s="4" t="str">
        <f t="shared" si="136"/>
        <v/>
      </c>
      <c r="H1114" s="11" t="str">
        <f t="shared" si="137"/>
        <v/>
      </c>
      <c r="I1114" s="55" t="str">
        <f t="shared" si="138"/>
        <v/>
      </c>
      <c r="J1114" s="55" t="str">
        <f t="shared" si="139"/>
        <v/>
      </c>
      <c r="K1114" s="4" t="str">
        <f t="shared" si="140"/>
        <v/>
      </c>
      <c r="L1114" s="19" t="str">
        <f t="shared" si="141"/>
        <v/>
      </c>
      <c r="M1114" s="12" t="str">
        <f>IF(A1114="","",IFERROR(INDEX(المدخلات!$M$4:$M$15,MATCH(A1114,المدخلات!$L$4:$L$15,0)),""))</f>
        <v/>
      </c>
      <c r="N1114" s="4" t="str">
        <f t="shared" si="142"/>
        <v/>
      </c>
      <c r="O1114" s="4" t="str">
        <f t="shared" si="143"/>
        <v/>
      </c>
    </row>
    <row r="1115" spans="1:15">
      <c r="A1115" s="11"/>
      <c r="B1115" s="19"/>
      <c r="C1115" s="19"/>
      <c r="D1115" s="55"/>
      <c r="E1115" s="56"/>
      <c r="F1115" s="19"/>
      <c r="G1115" s="4" t="str">
        <f t="shared" si="136"/>
        <v/>
      </c>
      <c r="H1115" s="11" t="str">
        <f t="shared" si="137"/>
        <v/>
      </c>
      <c r="I1115" s="55" t="str">
        <f t="shared" si="138"/>
        <v/>
      </c>
      <c r="J1115" s="55" t="str">
        <f t="shared" si="139"/>
        <v/>
      </c>
      <c r="K1115" s="4" t="str">
        <f t="shared" si="140"/>
        <v/>
      </c>
      <c r="L1115" s="19" t="str">
        <f t="shared" si="141"/>
        <v/>
      </c>
      <c r="M1115" s="12" t="str">
        <f>IF(A1115="","",IFERROR(INDEX(المدخلات!$M$4:$M$15,MATCH(A1115,المدخلات!$L$4:$L$15,0)),""))</f>
        <v/>
      </c>
      <c r="N1115" s="4" t="str">
        <f t="shared" si="142"/>
        <v/>
      </c>
      <c r="O1115" s="4" t="str">
        <f t="shared" si="143"/>
        <v/>
      </c>
    </row>
    <row r="1116" spans="1:15">
      <c r="A1116" s="11"/>
      <c r="B1116" s="19"/>
      <c r="C1116" s="19"/>
      <c r="D1116" s="55"/>
      <c r="E1116" s="56"/>
      <c r="F1116" s="19"/>
      <c r="G1116" s="4" t="str">
        <f t="shared" si="136"/>
        <v/>
      </c>
      <c r="H1116" s="11" t="str">
        <f t="shared" si="137"/>
        <v/>
      </c>
      <c r="I1116" s="55" t="str">
        <f t="shared" si="138"/>
        <v/>
      </c>
      <c r="J1116" s="55" t="str">
        <f t="shared" si="139"/>
        <v/>
      </c>
      <c r="K1116" s="4" t="str">
        <f t="shared" si="140"/>
        <v/>
      </c>
      <c r="L1116" s="19" t="str">
        <f t="shared" si="141"/>
        <v/>
      </c>
      <c r="M1116" s="12" t="str">
        <f>IF(A1116="","",IFERROR(INDEX(المدخلات!$M$4:$M$15,MATCH(A1116,المدخلات!$L$4:$L$15,0)),""))</f>
        <v/>
      </c>
      <c r="N1116" s="4" t="str">
        <f t="shared" si="142"/>
        <v/>
      </c>
      <c r="O1116" s="4" t="str">
        <f t="shared" si="143"/>
        <v/>
      </c>
    </row>
    <row r="1117" spans="1:15">
      <c r="A1117" s="11"/>
      <c r="B1117" s="19"/>
      <c r="C1117" s="19"/>
      <c r="D1117" s="55"/>
      <c r="E1117" s="56"/>
      <c r="F1117" s="19"/>
      <c r="G1117" s="4" t="str">
        <f t="shared" si="136"/>
        <v/>
      </c>
      <c r="H1117" s="11" t="str">
        <f t="shared" si="137"/>
        <v/>
      </c>
      <c r="I1117" s="55" t="str">
        <f t="shared" si="138"/>
        <v/>
      </c>
      <c r="J1117" s="55" t="str">
        <f t="shared" si="139"/>
        <v/>
      </c>
      <c r="K1117" s="4" t="str">
        <f t="shared" si="140"/>
        <v/>
      </c>
      <c r="L1117" s="19" t="str">
        <f t="shared" si="141"/>
        <v/>
      </c>
      <c r="M1117" s="12" t="str">
        <f>IF(A1117="","",IFERROR(INDEX(المدخلات!$M$4:$M$15,MATCH(A1117,المدخلات!$L$4:$L$15,0)),""))</f>
        <v/>
      </c>
      <c r="N1117" s="4" t="str">
        <f t="shared" si="142"/>
        <v/>
      </c>
      <c r="O1117" s="4" t="str">
        <f t="shared" si="143"/>
        <v/>
      </c>
    </row>
    <row r="1118" spans="1:15">
      <c r="A1118" s="11"/>
      <c r="B1118" s="19"/>
      <c r="C1118" s="19"/>
      <c r="D1118" s="55"/>
      <c r="E1118" s="56"/>
      <c r="F1118" s="19"/>
      <c r="G1118" s="4" t="str">
        <f t="shared" si="136"/>
        <v/>
      </c>
      <c r="H1118" s="11" t="str">
        <f t="shared" si="137"/>
        <v/>
      </c>
      <c r="I1118" s="55" t="str">
        <f t="shared" si="138"/>
        <v/>
      </c>
      <c r="J1118" s="55" t="str">
        <f t="shared" si="139"/>
        <v/>
      </c>
      <c r="K1118" s="4" t="str">
        <f t="shared" si="140"/>
        <v/>
      </c>
      <c r="L1118" s="19" t="str">
        <f t="shared" si="141"/>
        <v/>
      </c>
      <c r="M1118" s="12" t="str">
        <f>IF(A1118="","",IFERROR(INDEX(المدخلات!$M$4:$M$15,MATCH(A1118,المدخلات!$L$4:$L$15,0)),""))</f>
        <v/>
      </c>
      <c r="N1118" s="4" t="str">
        <f t="shared" si="142"/>
        <v/>
      </c>
      <c r="O1118" s="4" t="str">
        <f t="shared" si="143"/>
        <v/>
      </c>
    </row>
    <row r="1119" spans="1:15">
      <c r="A1119" s="11"/>
      <c r="B1119" s="19"/>
      <c r="C1119" s="19"/>
      <c r="D1119" s="55"/>
      <c r="E1119" s="56"/>
      <c r="F1119" s="19"/>
      <c r="G1119" s="4" t="str">
        <f t="shared" si="136"/>
        <v/>
      </c>
      <c r="H1119" s="11" t="str">
        <f t="shared" si="137"/>
        <v/>
      </c>
      <c r="I1119" s="55" t="str">
        <f t="shared" si="138"/>
        <v/>
      </c>
      <c r="J1119" s="55" t="str">
        <f t="shared" si="139"/>
        <v/>
      </c>
      <c r="K1119" s="4" t="str">
        <f t="shared" si="140"/>
        <v/>
      </c>
      <c r="L1119" s="19" t="str">
        <f t="shared" si="141"/>
        <v/>
      </c>
      <c r="M1119" s="12" t="str">
        <f>IF(A1119="","",IFERROR(INDEX(المدخلات!$M$4:$M$15,MATCH(A1119,المدخلات!$L$4:$L$15,0)),""))</f>
        <v/>
      </c>
      <c r="N1119" s="4" t="str">
        <f t="shared" si="142"/>
        <v/>
      </c>
      <c r="O1119" s="4" t="str">
        <f t="shared" si="143"/>
        <v/>
      </c>
    </row>
    <row r="1120" spans="1:15">
      <c r="A1120" s="11"/>
      <c r="B1120" s="19"/>
      <c r="C1120" s="19"/>
      <c r="D1120" s="55"/>
      <c r="E1120" s="56"/>
      <c r="F1120" s="19"/>
      <c r="G1120" s="4" t="str">
        <f t="shared" si="136"/>
        <v/>
      </c>
      <c r="H1120" s="11" t="str">
        <f t="shared" si="137"/>
        <v/>
      </c>
      <c r="I1120" s="55" t="str">
        <f t="shared" si="138"/>
        <v/>
      </c>
      <c r="J1120" s="55" t="str">
        <f t="shared" si="139"/>
        <v/>
      </c>
      <c r="K1120" s="4" t="str">
        <f t="shared" si="140"/>
        <v/>
      </c>
      <c r="L1120" s="19" t="str">
        <f t="shared" si="141"/>
        <v/>
      </c>
      <c r="M1120" s="12" t="str">
        <f>IF(A1120="","",IFERROR(INDEX(المدخلات!$M$4:$M$15,MATCH(A1120,المدخلات!$L$4:$L$15,0)),""))</f>
        <v/>
      </c>
      <c r="N1120" s="4" t="str">
        <f t="shared" si="142"/>
        <v/>
      </c>
      <c r="O1120" s="4" t="str">
        <f t="shared" si="143"/>
        <v/>
      </c>
    </row>
    <row r="1121" spans="1:15">
      <c r="A1121" s="11"/>
      <c r="B1121" s="19"/>
      <c r="C1121" s="19"/>
      <c r="D1121" s="55"/>
      <c r="E1121" s="56"/>
      <c r="F1121" s="19"/>
      <c r="G1121" s="4" t="str">
        <f t="shared" si="136"/>
        <v/>
      </c>
      <c r="H1121" s="11" t="str">
        <f t="shared" si="137"/>
        <v/>
      </c>
      <c r="I1121" s="55" t="str">
        <f t="shared" si="138"/>
        <v/>
      </c>
      <c r="J1121" s="55" t="str">
        <f t="shared" si="139"/>
        <v/>
      </c>
      <c r="K1121" s="4" t="str">
        <f t="shared" si="140"/>
        <v/>
      </c>
      <c r="L1121" s="19" t="str">
        <f t="shared" si="141"/>
        <v/>
      </c>
      <c r="M1121" s="12" t="str">
        <f>IF(A1121="","",IFERROR(INDEX(المدخلات!$M$4:$M$15,MATCH(A1121,المدخلات!$L$4:$L$15,0)),""))</f>
        <v/>
      </c>
      <c r="N1121" s="4" t="str">
        <f t="shared" si="142"/>
        <v/>
      </c>
      <c r="O1121" s="4" t="str">
        <f t="shared" si="143"/>
        <v/>
      </c>
    </row>
    <row r="1122" spans="1:15">
      <c r="A1122" s="11"/>
      <c r="B1122" s="19"/>
      <c r="C1122" s="19"/>
      <c r="D1122" s="55"/>
      <c r="E1122" s="56"/>
      <c r="F1122" s="19"/>
      <c r="G1122" s="4" t="str">
        <f t="shared" si="136"/>
        <v/>
      </c>
      <c r="H1122" s="11" t="str">
        <f t="shared" si="137"/>
        <v/>
      </c>
      <c r="I1122" s="55" t="str">
        <f t="shared" si="138"/>
        <v/>
      </c>
      <c r="J1122" s="55" t="str">
        <f t="shared" si="139"/>
        <v/>
      </c>
      <c r="K1122" s="4" t="str">
        <f t="shared" si="140"/>
        <v/>
      </c>
      <c r="L1122" s="19" t="str">
        <f t="shared" si="141"/>
        <v/>
      </c>
      <c r="M1122" s="12" t="str">
        <f>IF(A1122="","",IFERROR(INDEX(المدخلات!$M$4:$M$15,MATCH(A1122,المدخلات!$L$4:$L$15,0)),""))</f>
        <v/>
      </c>
      <c r="N1122" s="4" t="str">
        <f t="shared" si="142"/>
        <v/>
      </c>
      <c r="O1122" s="4" t="str">
        <f t="shared" si="143"/>
        <v/>
      </c>
    </row>
    <row r="1123" spans="1:15">
      <c r="A1123" s="11"/>
      <c r="B1123" s="19"/>
      <c r="C1123" s="19"/>
      <c r="D1123" s="55"/>
      <c r="E1123" s="56"/>
      <c r="F1123" s="19"/>
      <c r="G1123" s="4" t="str">
        <f t="shared" si="136"/>
        <v/>
      </c>
      <c r="H1123" s="11" t="str">
        <f t="shared" si="137"/>
        <v/>
      </c>
      <c r="I1123" s="55" t="str">
        <f t="shared" si="138"/>
        <v/>
      </c>
      <c r="J1123" s="55" t="str">
        <f t="shared" si="139"/>
        <v/>
      </c>
      <c r="K1123" s="4" t="str">
        <f t="shared" si="140"/>
        <v/>
      </c>
      <c r="L1123" s="19" t="str">
        <f t="shared" si="141"/>
        <v/>
      </c>
      <c r="M1123" s="12" t="str">
        <f>IF(A1123="","",IFERROR(INDEX(المدخلات!$M$4:$M$15,MATCH(A1123,المدخلات!$L$4:$L$15,0)),""))</f>
        <v/>
      </c>
      <c r="N1123" s="4" t="str">
        <f t="shared" si="142"/>
        <v/>
      </c>
      <c r="O1123" s="4" t="str">
        <f t="shared" si="143"/>
        <v/>
      </c>
    </row>
    <row r="1124" spans="1:15">
      <c r="A1124" s="11"/>
      <c r="B1124" s="19"/>
      <c r="C1124" s="19"/>
      <c r="D1124" s="55"/>
      <c r="E1124" s="56"/>
      <c r="F1124" s="19"/>
      <c r="G1124" s="4" t="str">
        <f t="shared" si="136"/>
        <v/>
      </c>
      <c r="H1124" s="11" t="str">
        <f t="shared" si="137"/>
        <v/>
      </c>
      <c r="I1124" s="55" t="str">
        <f t="shared" si="138"/>
        <v/>
      </c>
      <c r="J1124" s="55" t="str">
        <f t="shared" si="139"/>
        <v/>
      </c>
      <c r="K1124" s="4" t="str">
        <f t="shared" si="140"/>
        <v/>
      </c>
      <c r="L1124" s="19" t="str">
        <f t="shared" si="141"/>
        <v/>
      </c>
      <c r="M1124" s="12" t="str">
        <f>IF(A1124="","",IFERROR(INDEX(المدخلات!$M$4:$M$15,MATCH(A1124,المدخلات!$L$4:$L$15,0)),""))</f>
        <v/>
      </c>
      <c r="N1124" s="4" t="str">
        <f t="shared" si="142"/>
        <v/>
      </c>
      <c r="O1124" s="4" t="str">
        <f t="shared" si="143"/>
        <v/>
      </c>
    </row>
    <row r="1125" spans="1:15">
      <c r="A1125" s="11"/>
      <c r="B1125" s="19"/>
      <c r="C1125" s="19"/>
      <c r="D1125" s="55"/>
      <c r="E1125" s="56"/>
      <c r="F1125" s="19"/>
      <c r="G1125" s="4" t="str">
        <f t="shared" si="136"/>
        <v/>
      </c>
      <c r="H1125" s="11" t="str">
        <f t="shared" si="137"/>
        <v/>
      </c>
      <c r="I1125" s="55" t="str">
        <f t="shared" si="138"/>
        <v/>
      </c>
      <c r="J1125" s="55" t="str">
        <f t="shared" si="139"/>
        <v/>
      </c>
      <c r="K1125" s="4" t="str">
        <f t="shared" si="140"/>
        <v/>
      </c>
      <c r="L1125" s="19" t="str">
        <f t="shared" si="141"/>
        <v/>
      </c>
      <c r="M1125" s="12" t="str">
        <f>IF(A1125="","",IFERROR(INDEX(المدخلات!$M$4:$M$15,MATCH(A1125,المدخلات!$L$4:$L$15,0)),""))</f>
        <v/>
      </c>
      <c r="N1125" s="4" t="str">
        <f t="shared" si="142"/>
        <v/>
      </c>
      <c r="O1125" s="4" t="str">
        <f t="shared" si="143"/>
        <v/>
      </c>
    </row>
    <row r="1126" spans="1:15">
      <c r="A1126" s="11"/>
      <c r="B1126" s="19"/>
      <c r="C1126" s="19"/>
      <c r="D1126" s="55"/>
      <c r="E1126" s="56"/>
      <c r="F1126" s="19"/>
      <c r="G1126" s="4" t="str">
        <f t="shared" si="136"/>
        <v/>
      </c>
      <c r="H1126" s="11" t="str">
        <f t="shared" si="137"/>
        <v/>
      </c>
      <c r="I1126" s="55" t="str">
        <f t="shared" si="138"/>
        <v/>
      </c>
      <c r="J1126" s="55" t="str">
        <f t="shared" si="139"/>
        <v/>
      </c>
      <c r="K1126" s="4" t="str">
        <f t="shared" si="140"/>
        <v/>
      </c>
      <c r="L1126" s="19" t="str">
        <f t="shared" si="141"/>
        <v/>
      </c>
      <c r="M1126" s="12" t="str">
        <f>IF(A1126="","",IFERROR(INDEX(المدخلات!$M$4:$M$15,MATCH(A1126,المدخلات!$L$4:$L$15,0)),""))</f>
        <v/>
      </c>
      <c r="N1126" s="4" t="str">
        <f t="shared" si="142"/>
        <v/>
      </c>
      <c r="O1126" s="4" t="str">
        <f t="shared" si="143"/>
        <v/>
      </c>
    </row>
    <row r="1127" spans="1:15">
      <c r="A1127" s="11"/>
      <c r="B1127" s="19"/>
      <c r="C1127" s="19"/>
      <c r="D1127" s="55"/>
      <c r="E1127" s="56"/>
      <c r="F1127" s="19"/>
      <c r="G1127" s="4" t="str">
        <f t="shared" si="136"/>
        <v/>
      </c>
      <c r="H1127" s="11" t="str">
        <f t="shared" si="137"/>
        <v/>
      </c>
      <c r="I1127" s="55" t="str">
        <f t="shared" si="138"/>
        <v/>
      </c>
      <c r="J1127" s="55" t="str">
        <f t="shared" si="139"/>
        <v/>
      </c>
      <c r="K1127" s="4" t="str">
        <f t="shared" si="140"/>
        <v/>
      </c>
      <c r="L1127" s="19" t="str">
        <f t="shared" si="141"/>
        <v/>
      </c>
      <c r="M1127" s="12" t="str">
        <f>IF(A1127="","",IFERROR(INDEX(المدخلات!$M$4:$M$15,MATCH(A1127,المدخلات!$L$4:$L$15,0)),""))</f>
        <v/>
      </c>
      <c r="N1127" s="4" t="str">
        <f t="shared" si="142"/>
        <v/>
      </c>
      <c r="O1127" s="4" t="str">
        <f t="shared" si="143"/>
        <v/>
      </c>
    </row>
    <row r="1128" spans="1:15">
      <c r="A1128" s="11"/>
      <c r="B1128" s="19"/>
      <c r="C1128" s="19"/>
      <c r="D1128" s="55"/>
      <c r="E1128" s="56"/>
      <c r="F1128" s="19"/>
      <c r="G1128" s="4" t="str">
        <f t="shared" si="136"/>
        <v/>
      </c>
      <c r="H1128" s="11" t="str">
        <f t="shared" si="137"/>
        <v/>
      </c>
      <c r="I1128" s="55" t="str">
        <f t="shared" si="138"/>
        <v/>
      </c>
      <c r="J1128" s="55" t="str">
        <f t="shared" si="139"/>
        <v/>
      </c>
      <c r="K1128" s="4" t="str">
        <f t="shared" si="140"/>
        <v/>
      </c>
      <c r="L1128" s="19" t="str">
        <f t="shared" si="141"/>
        <v/>
      </c>
      <c r="M1128" s="12" t="str">
        <f>IF(A1128="","",IFERROR(INDEX(المدخلات!$M$4:$M$15,MATCH(A1128,المدخلات!$L$4:$L$15,0)),""))</f>
        <v/>
      </c>
      <c r="N1128" s="4" t="str">
        <f t="shared" si="142"/>
        <v/>
      </c>
      <c r="O1128" s="4" t="str">
        <f t="shared" si="143"/>
        <v/>
      </c>
    </row>
    <row r="1129" spans="1:15">
      <c r="A1129" s="11"/>
      <c r="B1129" s="19"/>
      <c r="C1129" s="19"/>
      <c r="D1129" s="55"/>
      <c r="E1129" s="56"/>
      <c r="F1129" s="19"/>
      <c r="G1129" s="4" t="str">
        <f t="shared" si="136"/>
        <v/>
      </c>
      <c r="H1129" s="11" t="str">
        <f t="shared" si="137"/>
        <v/>
      </c>
      <c r="I1129" s="55" t="str">
        <f t="shared" si="138"/>
        <v/>
      </c>
      <c r="J1129" s="55" t="str">
        <f t="shared" si="139"/>
        <v/>
      </c>
      <c r="K1129" s="4" t="str">
        <f t="shared" si="140"/>
        <v/>
      </c>
      <c r="L1129" s="19" t="str">
        <f t="shared" si="141"/>
        <v/>
      </c>
      <c r="M1129" s="12" t="str">
        <f>IF(A1129="","",IFERROR(INDEX(المدخلات!$M$4:$M$15,MATCH(A1129,المدخلات!$L$4:$L$15,0)),""))</f>
        <v/>
      </c>
      <c r="N1129" s="4" t="str">
        <f t="shared" si="142"/>
        <v/>
      </c>
      <c r="O1129" s="4" t="str">
        <f t="shared" si="143"/>
        <v/>
      </c>
    </row>
    <row r="1130" spans="1:15">
      <c r="A1130" s="11"/>
      <c r="B1130" s="19"/>
      <c r="C1130" s="19"/>
      <c r="D1130" s="55"/>
      <c r="E1130" s="56"/>
      <c r="F1130" s="19"/>
      <c r="G1130" s="4" t="str">
        <f t="shared" si="136"/>
        <v/>
      </c>
      <c r="H1130" s="11" t="str">
        <f t="shared" si="137"/>
        <v/>
      </c>
      <c r="I1130" s="55" t="str">
        <f t="shared" si="138"/>
        <v/>
      </c>
      <c r="J1130" s="55" t="str">
        <f t="shared" si="139"/>
        <v/>
      </c>
      <c r="K1130" s="4" t="str">
        <f t="shared" si="140"/>
        <v/>
      </c>
      <c r="L1130" s="19" t="str">
        <f t="shared" si="141"/>
        <v/>
      </c>
      <c r="M1130" s="12" t="str">
        <f>IF(A1130="","",IFERROR(INDEX(المدخلات!$M$4:$M$15,MATCH(A1130,المدخلات!$L$4:$L$15,0)),""))</f>
        <v/>
      </c>
      <c r="N1130" s="4" t="str">
        <f t="shared" si="142"/>
        <v/>
      </c>
      <c r="O1130" s="4" t="str">
        <f t="shared" si="143"/>
        <v/>
      </c>
    </row>
    <row r="1131" spans="1:15">
      <c r="A1131" s="11"/>
      <c r="B1131" s="19"/>
      <c r="C1131" s="19"/>
      <c r="D1131" s="55"/>
      <c r="E1131" s="56"/>
      <c r="F1131" s="19"/>
      <c r="G1131" s="4" t="str">
        <f t="shared" si="136"/>
        <v/>
      </c>
      <c r="H1131" s="11" t="str">
        <f t="shared" si="137"/>
        <v/>
      </c>
      <c r="I1131" s="55" t="str">
        <f t="shared" si="138"/>
        <v/>
      </c>
      <c r="J1131" s="55" t="str">
        <f t="shared" si="139"/>
        <v/>
      </c>
      <c r="K1131" s="4" t="str">
        <f t="shared" si="140"/>
        <v/>
      </c>
      <c r="L1131" s="19" t="str">
        <f t="shared" si="141"/>
        <v/>
      </c>
      <c r="M1131" s="12" t="str">
        <f>IF(A1131="","",IFERROR(INDEX(المدخلات!$M$4:$M$15,MATCH(A1131,المدخلات!$L$4:$L$15,0)),""))</f>
        <v/>
      </c>
      <c r="N1131" s="4" t="str">
        <f t="shared" si="142"/>
        <v/>
      </c>
      <c r="O1131" s="4" t="str">
        <f t="shared" si="143"/>
        <v/>
      </c>
    </row>
    <row r="1132" spans="1:15">
      <c r="A1132" s="11"/>
      <c r="B1132" s="19"/>
      <c r="C1132" s="19"/>
      <c r="D1132" s="55"/>
      <c r="E1132" s="56"/>
      <c r="F1132" s="19"/>
      <c r="G1132" s="4" t="str">
        <f t="shared" si="136"/>
        <v/>
      </c>
      <c r="H1132" s="11" t="str">
        <f t="shared" si="137"/>
        <v/>
      </c>
      <c r="I1132" s="55" t="str">
        <f t="shared" si="138"/>
        <v/>
      </c>
      <c r="J1132" s="55" t="str">
        <f t="shared" si="139"/>
        <v/>
      </c>
      <c r="K1132" s="4" t="str">
        <f t="shared" si="140"/>
        <v/>
      </c>
      <c r="L1132" s="19" t="str">
        <f t="shared" si="141"/>
        <v/>
      </c>
      <c r="M1132" s="12" t="str">
        <f>IF(A1132="","",IFERROR(INDEX(المدخلات!$M$4:$M$15,MATCH(A1132,المدخلات!$L$4:$L$15,0)),""))</f>
        <v/>
      </c>
      <c r="N1132" s="4" t="str">
        <f t="shared" si="142"/>
        <v/>
      </c>
      <c r="O1132" s="4" t="str">
        <f t="shared" si="143"/>
        <v/>
      </c>
    </row>
    <row r="1133" spans="1:15">
      <c r="A1133" s="11"/>
      <c r="B1133" s="19"/>
      <c r="C1133" s="19"/>
      <c r="D1133" s="55"/>
      <c r="E1133" s="56"/>
      <c r="F1133" s="19"/>
      <c r="G1133" s="4" t="str">
        <f t="shared" si="136"/>
        <v/>
      </c>
      <c r="H1133" s="11" t="str">
        <f t="shared" si="137"/>
        <v/>
      </c>
      <c r="I1133" s="55" t="str">
        <f t="shared" si="138"/>
        <v/>
      </c>
      <c r="J1133" s="55" t="str">
        <f t="shared" si="139"/>
        <v/>
      </c>
      <c r="K1133" s="4" t="str">
        <f t="shared" si="140"/>
        <v/>
      </c>
      <c r="L1133" s="19" t="str">
        <f t="shared" si="141"/>
        <v/>
      </c>
      <c r="M1133" s="12" t="str">
        <f>IF(A1133="","",IFERROR(INDEX(المدخلات!$M$4:$M$15,MATCH(A1133,المدخلات!$L$4:$L$15,0)),""))</f>
        <v/>
      </c>
      <c r="N1133" s="4" t="str">
        <f t="shared" si="142"/>
        <v/>
      </c>
      <c r="O1133" s="4" t="str">
        <f t="shared" si="143"/>
        <v/>
      </c>
    </row>
    <row r="1134" spans="1:15">
      <c r="A1134" s="11"/>
      <c r="B1134" s="19"/>
      <c r="C1134" s="19"/>
      <c r="D1134" s="55"/>
      <c r="E1134" s="56"/>
      <c r="F1134" s="19"/>
      <c r="G1134" s="4" t="str">
        <f t="shared" si="136"/>
        <v/>
      </c>
      <c r="H1134" s="11" t="str">
        <f t="shared" si="137"/>
        <v/>
      </c>
      <c r="I1134" s="55" t="str">
        <f t="shared" si="138"/>
        <v/>
      </c>
      <c r="J1134" s="55" t="str">
        <f t="shared" si="139"/>
        <v/>
      </c>
      <c r="K1134" s="4" t="str">
        <f t="shared" si="140"/>
        <v/>
      </c>
      <c r="L1134" s="19" t="str">
        <f t="shared" si="141"/>
        <v/>
      </c>
      <c r="M1134" s="12" t="str">
        <f>IF(A1134="","",IFERROR(INDEX(المدخلات!$M$4:$M$15,MATCH(A1134,المدخلات!$L$4:$L$15,0)),""))</f>
        <v/>
      </c>
      <c r="N1134" s="4" t="str">
        <f t="shared" si="142"/>
        <v/>
      </c>
      <c r="O1134" s="4" t="str">
        <f t="shared" si="143"/>
        <v/>
      </c>
    </row>
    <row r="1135" spans="1:15">
      <c r="A1135" s="11"/>
      <c r="B1135" s="19"/>
      <c r="C1135" s="19"/>
      <c r="D1135" s="55"/>
      <c r="E1135" s="56"/>
      <c r="F1135" s="19"/>
      <c r="G1135" s="4" t="str">
        <f t="shared" si="136"/>
        <v/>
      </c>
      <c r="H1135" s="11" t="str">
        <f t="shared" si="137"/>
        <v/>
      </c>
      <c r="I1135" s="55" t="str">
        <f t="shared" si="138"/>
        <v/>
      </c>
      <c r="J1135" s="55" t="str">
        <f t="shared" si="139"/>
        <v/>
      </c>
      <c r="K1135" s="4" t="str">
        <f t="shared" si="140"/>
        <v/>
      </c>
      <c r="L1135" s="19" t="str">
        <f t="shared" si="141"/>
        <v/>
      </c>
      <c r="M1135" s="12" t="str">
        <f>IF(A1135="","",IFERROR(INDEX(المدخلات!$M$4:$M$15,MATCH(A1135,المدخلات!$L$4:$L$15,0)),""))</f>
        <v/>
      </c>
      <c r="N1135" s="4" t="str">
        <f t="shared" si="142"/>
        <v/>
      </c>
      <c r="O1135" s="4" t="str">
        <f t="shared" si="143"/>
        <v/>
      </c>
    </row>
    <row r="1136" spans="1:15">
      <c r="A1136" s="11"/>
      <c r="B1136" s="19"/>
      <c r="C1136" s="19"/>
      <c r="D1136" s="55"/>
      <c r="E1136" s="56"/>
      <c r="F1136" s="19"/>
      <c r="G1136" s="4" t="str">
        <f t="shared" si="136"/>
        <v/>
      </c>
      <c r="H1136" s="11" t="str">
        <f t="shared" si="137"/>
        <v/>
      </c>
      <c r="I1136" s="55" t="str">
        <f t="shared" si="138"/>
        <v/>
      </c>
      <c r="J1136" s="55" t="str">
        <f t="shared" si="139"/>
        <v/>
      </c>
      <c r="K1136" s="4" t="str">
        <f t="shared" si="140"/>
        <v/>
      </c>
      <c r="L1136" s="19" t="str">
        <f t="shared" si="141"/>
        <v/>
      </c>
      <c r="M1136" s="12" t="str">
        <f>IF(A1136="","",IFERROR(INDEX(المدخلات!$M$4:$M$15,MATCH(A1136,المدخلات!$L$4:$L$15,0)),""))</f>
        <v/>
      </c>
      <c r="N1136" s="4" t="str">
        <f t="shared" si="142"/>
        <v/>
      </c>
      <c r="O1136" s="4" t="str">
        <f t="shared" si="143"/>
        <v/>
      </c>
    </row>
    <row r="1137" spans="1:15">
      <c r="A1137" s="11"/>
      <c r="B1137" s="19"/>
      <c r="C1137" s="19"/>
      <c r="D1137" s="55"/>
      <c r="E1137" s="56"/>
      <c r="F1137" s="19"/>
      <c r="G1137" s="4" t="str">
        <f t="shared" si="136"/>
        <v/>
      </c>
      <c r="H1137" s="11" t="str">
        <f t="shared" si="137"/>
        <v/>
      </c>
      <c r="I1137" s="55" t="str">
        <f t="shared" si="138"/>
        <v/>
      </c>
      <c r="J1137" s="55" t="str">
        <f t="shared" si="139"/>
        <v/>
      </c>
      <c r="K1137" s="4" t="str">
        <f t="shared" si="140"/>
        <v/>
      </c>
      <c r="L1137" s="19" t="str">
        <f t="shared" si="141"/>
        <v/>
      </c>
      <c r="M1137" s="12" t="str">
        <f>IF(A1137="","",IFERROR(INDEX(المدخلات!$M$4:$M$15,MATCH(A1137,المدخلات!$L$4:$L$15,0)),""))</f>
        <v/>
      </c>
      <c r="N1137" s="4" t="str">
        <f t="shared" si="142"/>
        <v/>
      </c>
      <c r="O1137" s="4" t="str">
        <f t="shared" si="143"/>
        <v/>
      </c>
    </row>
    <row r="1138" spans="1:15">
      <c r="A1138" s="11"/>
      <c r="B1138" s="19"/>
      <c r="C1138" s="19"/>
      <c r="D1138" s="55"/>
      <c r="E1138" s="56"/>
      <c r="F1138" s="19"/>
      <c r="G1138" s="4" t="str">
        <f t="shared" si="136"/>
        <v/>
      </c>
      <c r="H1138" s="11" t="str">
        <f t="shared" si="137"/>
        <v/>
      </c>
      <c r="I1138" s="55" t="str">
        <f t="shared" si="138"/>
        <v/>
      </c>
      <c r="J1138" s="55" t="str">
        <f t="shared" si="139"/>
        <v/>
      </c>
      <c r="K1138" s="4" t="str">
        <f t="shared" si="140"/>
        <v/>
      </c>
      <c r="L1138" s="19" t="str">
        <f t="shared" si="141"/>
        <v/>
      </c>
      <c r="M1138" s="12" t="str">
        <f>IF(A1138="","",IFERROR(INDEX(المدخلات!$M$4:$M$15,MATCH(A1138,المدخلات!$L$4:$L$15,0)),""))</f>
        <v/>
      </c>
      <c r="N1138" s="4" t="str">
        <f t="shared" si="142"/>
        <v/>
      </c>
      <c r="O1138" s="4" t="str">
        <f t="shared" si="143"/>
        <v/>
      </c>
    </row>
    <row r="1139" spans="1:15">
      <c r="A1139" s="11"/>
      <c r="B1139" s="19"/>
      <c r="C1139" s="19"/>
      <c r="D1139" s="55"/>
      <c r="E1139" s="56"/>
      <c r="F1139" s="19"/>
      <c r="G1139" s="4" t="str">
        <f t="shared" si="136"/>
        <v/>
      </c>
      <c r="H1139" s="11" t="str">
        <f t="shared" si="137"/>
        <v/>
      </c>
      <c r="I1139" s="55" t="str">
        <f t="shared" si="138"/>
        <v/>
      </c>
      <c r="J1139" s="55" t="str">
        <f t="shared" si="139"/>
        <v/>
      </c>
      <c r="K1139" s="4" t="str">
        <f t="shared" si="140"/>
        <v/>
      </c>
      <c r="L1139" s="19" t="str">
        <f t="shared" si="141"/>
        <v/>
      </c>
      <c r="M1139" s="12" t="str">
        <f>IF(A1139="","",IFERROR(INDEX(المدخلات!$M$4:$M$15,MATCH(A1139,المدخلات!$L$4:$L$15,0)),""))</f>
        <v/>
      </c>
      <c r="N1139" s="4" t="str">
        <f t="shared" si="142"/>
        <v/>
      </c>
      <c r="O1139" s="4" t="str">
        <f t="shared" si="143"/>
        <v/>
      </c>
    </row>
    <row r="1140" spans="1:15">
      <c r="A1140" s="11"/>
      <c r="B1140" s="19"/>
      <c r="C1140" s="19"/>
      <c r="D1140" s="55"/>
      <c r="E1140" s="56"/>
      <c r="F1140" s="19"/>
      <c r="G1140" s="4" t="str">
        <f t="shared" si="136"/>
        <v/>
      </c>
      <c r="H1140" s="11" t="str">
        <f t="shared" si="137"/>
        <v/>
      </c>
      <c r="I1140" s="55" t="str">
        <f t="shared" si="138"/>
        <v/>
      </c>
      <c r="J1140" s="55" t="str">
        <f t="shared" si="139"/>
        <v/>
      </c>
      <c r="K1140" s="4" t="str">
        <f t="shared" si="140"/>
        <v/>
      </c>
      <c r="L1140" s="19" t="str">
        <f t="shared" si="141"/>
        <v/>
      </c>
      <c r="M1140" s="12" t="str">
        <f>IF(A1140="","",IFERROR(INDEX(المدخلات!$M$4:$M$15,MATCH(A1140,المدخلات!$L$4:$L$15,0)),""))</f>
        <v/>
      </c>
      <c r="N1140" s="4" t="str">
        <f t="shared" si="142"/>
        <v/>
      </c>
      <c r="O1140" s="4" t="str">
        <f t="shared" si="143"/>
        <v/>
      </c>
    </row>
    <row r="1141" spans="1:15">
      <c r="A1141" s="11"/>
      <c r="B1141" s="19"/>
      <c r="C1141" s="19"/>
      <c r="D1141" s="55"/>
      <c r="E1141" s="56"/>
      <c r="F1141" s="19"/>
      <c r="G1141" s="4" t="str">
        <f t="shared" si="136"/>
        <v/>
      </c>
      <c r="H1141" s="11" t="str">
        <f t="shared" si="137"/>
        <v/>
      </c>
      <c r="I1141" s="55" t="str">
        <f t="shared" si="138"/>
        <v/>
      </c>
      <c r="J1141" s="55" t="str">
        <f t="shared" si="139"/>
        <v/>
      </c>
      <c r="K1141" s="4" t="str">
        <f t="shared" si="140"/>
        <v/>
      </c>
      <c r="L1141" s="19" t="str">
        <f t="shared" si="141"/>
        <v/>
      </c>
      <c r="M1141" s="12" t="str">
        <f>IF(A1141="","",IFERROR(INDEX(المدخلات!$M$4:$M$15,MATCH(A1141,المدخلات!$L$4:$L$15,0)),""))</f>
        <v/>
      </c>
      <c r="N1141" s="4" t="str">
        <f t="shared" si="142"/>
        <v/>
      </c>
      <c r="O1141" s="4" t="str">
        <f t="shared" si="143"/>
        <v/>
      </c>
    </row>
    <row r="1142" spans="1:15">
      <c r="A1142" s="11"/>
      <c r="B1142" s="19"/>
      <c r="C1142" s="19"/>
      <c r="D1142" s="55"/>
      <c r="E1142" s="56"/>
      <c r="F1142" s="19"/>
      <c r="G1142" s="4" t="str">
        <f t="shared" si="136"/>
        <v/>
      </c>
      <c r="H1142" s="11" t="str">
        <f t="shared" si="137"/>
        <v/>
      </c>
      <c r="I1142" s="55" t="str">
        <f t="shared" si="138"/>
        <v/>
      </c>
      <c r="J1142" s="55" t="str">
        <f t="shared" si="139"/>
        <v/>
      </c>
      <c r="K1142" s="4" t="str">
        <f t="shared" si="140"/>
        <v/>
      </c>
      <c r="L1142" s="19" t="str">
        <f t="shared" si="141"/>
        <v/>
      </c>
      <c r="M1142" s="12" t="str">
        <f>IF(A1142="","",IFERROR(INDEX(المدخلات!$M$4:$M$15,MATCH(A1142,المدخلات!$L$4:$L$15,0)),""))</f>
        <v/>
      </c>
      <c r="N1142" s="4" t="str">
        <f t="shared" si="142"/>
        <v/>
      </c>
      <c r="O1142" s="4" t="str">
        <f t="shared" si="143"/>
        <v/>
      </c>
    </row>
    <row r="1143" spans="1:15">
      <c r="A1143" s="11"/>
      <c r="B1143" s="19"/>
      <c r="C1143" s="19"/>
      <c r="D1143" s="55"/>
      <c r="E1143" s="56"/>
      <c r="F1143" s="19"/>
      <c r="G1143" s="4" t="str">
        <f t="shared" si="136"/>
        <v/>
      </c>
      <c r="H1143" s="11" t="str">
        <f t="shared" si="137"/>
        <v/>
      </c>
      <c r="I1143" s="55" t="str">
        <f t="shared" si="138"/>
        <v/>
      </c>
      <c r="J1143" s="55" t="str">
        <f t="shared" si="139"/>
        <v/>
      </c>
      <c r="K1143" s="4" t="str">
        <f t="shared" si="140"/>
        <v/>
      </c>
      <c r="L1143" s="19" t="str">
        <f t="shared" si="141"/>
        <v/>
      </c>
      <c r="M1143" s="12" t="str">
        <f>IF(A1143="","",IFERROR(INDEX(المدخلات!$M$4:$M$15,MATCH(A1143,المدخلات!$L$4:$L$15,0)),""))</f>
        <v/>
      </c>
      <c r="N1143" s="4" t="str">
        <f t="shared" si="142"/>
        <v/>
      </c>
      <c r="O1143" s="4" t="str">
        <f t="shared" si="143"/>
        <v/>
      </c>
    </row>
    <row r="1144" spans="1:15">
      <c r="A1144" s="11"/>
      <c r="B1144" s="19"/>
      <c r="C1144" s="19"/>
      <c r="D1144" s="55"/>
      <c r="E1144" s="56"/>
      <c r="F1144" s="19"/>
      <c r="G1144" s="4" t="str">
        <f t="shared" si="136"/>
        <v/>
      </c>
      <c r="H1144" s="11" t="str">
        <f t="shared" si="137"/>
        <v/>
      </c>
      <c r="I1144" s="55" t="str">
        <f t="shared" si="138"/>
        <v/>
      </c>
      <c r="J1144" s="55" t="str">
        <f t="shared" si="139"/>
        <v/>
      </c>
      <c r="K1144" s="4" t="str">
        <f t="shared" si="140"/>
        <v/>
      </c>
      <c r="L1144" s="19" t="str">
        <f t="shared" si="141"/>
        <v/>
      </c>
      <c r="M1144" s="12" t="str">
        <f>IF(A1144="","",IFERROR(INDEX(المدخلات!$M$4:$M$15,MATCH(A1144,المدخلات!$L$4:$L$15,0)),""))</f>
        <v/>
      </c>
      <c r="N1144" s="4" t="str">
        <f t="shared" si="142"/>
        <v/>
      </c>
      <c r="O1144" s="4" t="str">
        <f t="shared" si="143"/>
        <v/>
      </c>
    </row>
    <row r="1145" spans="1:15">
      <c r="A1145" s="11"/>
      <c r="B1145" s="19"/>
      <c r="C1145" s="19"/>
      <c r="D1145" s="55"/>
      <c r="E1145" s="56"/>
      <c r="F1145" s="19"/>
      <c r="G1145" s="4" t="str">
        <f t="shared" si="136"/>
        <v/>
      </c>
      <c r="H1145" s="11" t="str">
        <f t="shared" si="137"/>
        <v/>
      </c>
      <c r="I1145" s="55" t="str">
        <f t="shared" si="138"/>
        <v/>
      </c>
      <c r="J1145" s="55" t="str">
        <f t="shared" si="139"/>
        <v/>
      </c>
      <c r="K1145" s="4" t="str">
        <f t="shared" si="140"/>
        <v/>
      </c>
      <c r="L1145" s="19" t="str">
        <f t="shared" si="141"/>
        <v/>
      </c>
      <c r="M1145" s="12" t="str">
        <f>IF(A1145="","",IFERROR(INDEX(المدخلات!$M$4:$M$15,MATCH(A1145,المدخلات!$L$4:$L$15,0)),""))</f>
        <v/>
      </c>
      <c r="N1145" s="4" t="str">
        <f t="shared" si="142"/>
        <v/>
      </c>
      <c r="O1145" s="4" t="str">
        <f t="shared" si="143"/>
        <v/>
      </c>
    </row>
    <row r="1146" spans="1:15">
      <c r="A1146" s="11"/>
      <c r="B1146" s="19"/>
      <c r="C1146" s="19"/>
      <c r="D1146" s="55"/>
      <c r="E1146" s="56"/>
      <c r="F1146" s="19"/>
      <c r="G1146" s="4" t="str">
        <f t="shared" si="136"/>
        <v/>
      </c>
      <c r="H1146" s="11" t="str">
        <f t="shared" si="137"/>
        <v/>
      </c>
      <c r="I1146" s="55" t="str">
        <f t="shared" si="138"/>
        <v/>
      </c>
      <c r="J1146" s="55" t="str">
        <f t="shared" si="139"/>
        <v/>
      </c>
      <c r="K1146" s="4" t="str">
        <f t="shared" si="140"/>
        <v/>
      </c>
      <c r="L1146" s="19" t="str">
        <f t="shared" si="141"/>
        <v/>
      </c>
      <c r="M1146" s="12" t="str">
        <f>IF(A1146="","",IFERROR(INDEX(المدخلات!$M$4:$M$15,MATCH(A1146,المدخلات!$L$4:$L$15,0)),""))</f>
        <v/>
      </c>
      <c r="N1146" s="4" t="str">
        <f t="shared" si="142"/>
        <v/>
      </c>
      <c r="O1146" s="4" t="str">
        <f t="shared" si="143"/>
        <v/>
      </c>
    </row>
    <row r="1147" spans="1:15">
      <c r="A1147" s="11"/>
      <c r="B1147" s="19"/>
      <c r="C1147" s="19"/>
      <c r="D1147" s="55"/>
      <c r="E1147" s="56"/>
      <c r="F1147" s="19"/>
      <c r="G1147" s="4" t="str">
        <f t="shared" si="136"/>
        <v/>
      </c>
      <c r="H1147" s="11" t="str">
        <f t="shared" si="137"/>
        <v/>
      </c>
      <c r="I1147" s="55" t="str">
        <f t="shared" si="138"/>
        <v/>
      </c>
      <c r="J1147" s="55" t="str">
        <f t="shared" si="139"/>
        <v/>
      </c>
      <c r="K1147" s="4" t="str">
        <f t="shared" si="140"/>
        <v/>
      </c>
      <c r="L1147" s="19" t="str">
        <f t="shared" si="141"/>
        <v/>
      </c>
      <c r="M1147" s="12" t="str">
        <f>IF(A1147="","",IFERROR(INDEX(المدخلات!$M$4:$M$15,MATCH(A1147,المدخلات!$L$4:$L$15,0)),""))</f>
        <v/>
      </c>
      <c r="N1147" s="4" t="str">
        <f t="shared" si="142"/>
        <v/>
      </c>
      <c r="O1147" s="4" t="str">
        <f t="shared" si="143"/>
        <v/>
      </c>
    </row>
    <row r="1148" spans="1:15">
      <c r="A1148" s="11"/>
      <c r="B1148" s="19"/>
      <c r="C1148" s="19"/>
      <c r="D1148" s="55"/>
      <c r="E1148" s="56"/>
      <c r="F1148" s="19"/>
      <c r="G1148" s="4" t="str">
        <f t="shared" si="136"/>
        <v/>
      </c>
      <c r="H1148" s="11" t="str">
        <f t="shared" si="137"/>
        <v/>
      </c>
      <c r="I1148" s="55" t="str">
        <f t="shared" si="138"/>
        <v/>
      </c>
      <c r="J1148" s="55" t="str">
        <f t="shared" si="139"/>
        <v/>
      </c>
      <c r="K1148" s="4" t="str">
        <f t="shared" si="140"/>
        <v/>
      </c>
      <c r="L1148" s="19" t="str">
        <f t="shared" si="141"/>
        <v/>
      </c>
      <c r="M1148" s="12" t="str">
        <f>IF(A1148="","",IFERROR(INDEX(المدخلات!$M$4:$M$15,MATCH(A1148,المدخلات!$L$4:$L$15,0)),""))</f>
        <v/>
      </c>
      <c r="N1148" s="4" t="str">
        <f t="shared" si="142"/>
        <v/>
      </c>
      <c r="O1148" s="4" t="str">
        <f t="shared" si="143"/>
        <v/>
      </c>
    </row>
    <row r="1149" spans="1:15">
      <c r="A1149" s="11"/>
      <c r="B1149" s="19"/>
      <c r="C1149" s="19"/>
      <c r="D1149" s="55"/>
      <c r="E1149" s="56"/>
      <c r="F1149" s="19"/>
      <c r="G1149" s="4" t="str">
        <f t="shared" si="136"/>
        <v/>
      </c>
      <c r="H1149" s="11" t="str">
        <f t="shared" si="137"/>
        <v/>
      </c>
      <c r="I1149" s="55" t="str">
        <f t="shared" si="138"/>
        <v/>
      </c>
      <c r="J1149" s="55" t="str">
        <f t="shared" si="139"/>
        <v/>
      </c>
      <c r="K1149" s="4" t="str">
        <f t="shared" si="140"/>
        <v/>
      </c>
      <c r="L1149" s="19" t="str">
        <f t="shared" si="141"/>
        <v/>
      </c>
      <c r="M1149" s="12" t="str">
        <f>IF(A1149="","",IFERROR(INDEX(المدخلات!$M$4:$M$15,MATCH(A1149,المدخلات!$L$4:$L$15,0)),""))</f>
        <v/>
      </c>
      <c r="N1149" s="4" t="str">
        <f t="shared" si="142"/>
        <v/>
      </c>
      <c r="O1149" s="4" t="str">
        <f t="shared" si="143"/>
        <v/>
      </c>
    </row>
    <row r="1150" spans="1:15">
      <c r="A1150" s="11"/>
      <c r="B1150" s="19"/>
      <c r="C1150" s="19"/>
      <c r="D1150" s="55"/>
      <c r="E1150" s="56"/>
      <c r="F1150" s="19"/>
      <c r="G1150" s="4" t="str">
        <f t="shared" si="136"/>
        <v/>
      </c>
      <c r="H1150" s="11" t="str">
        <f t="shared" si="137"/>
        <v/>
      </c>
      <c r="I1150" s="55" t="str">
        <f t="shared" si="138"/>
        <v/>
      </c>
      <c r="J1150" s="55" t="str">
        <f t="shared" si="139"/>
        <v/>
      </c>
      <c r="K1150" s="4" t="str">
        <f t="shared" si="140"/>
        <v/>
      </c>
      <c r="L1150" s="19" t="str">
        <f t="shared" si="141"/>
        <v/>
      </c>
      <c r="M1150" s="12" t="str">
        <f>IF(A1150="","",IFERROR(INDEX(المدخلات!$M$4:$M$15,MATCH(A1150,المدخلات!$L$4:$L$15,0)),""))</f>
        <v/>
      </c>
      <c r="N1150" s="4" t="str">
        <f t="shared" si="142"/>
        <v/>
      </c>
      <c r="O1150" s="4" t="str">
        <f t="shared" si="143"/>
        <v/>
      </c>
    </row>
    <row r="1151" spans="1:15">
      <c r="A1151" s="11"/>
      <c r="B1151" s="19"/>
      <c r="C1151" s="19"/>
      <c r="D1151" s="55"/>
      <c r="E1151" s="56"/>
      <c r="F1151" s="19"/>
      <c r="G1151" s="4" t="str">
        <f t="shared" si="136"/>
        <v/>
      </c>
      <c r="H1151" s="11" t="str">
        <f t="shared" si="137"/>
        <v/>
      </c>
      <c r="I1151" s="55" t="str">
        <f t="shared" si="138"/>
        <v/>
      </c>
      <c r="J1151" s="55" t="str">
        <f t="shared" si="139"/>
        <v/>
      </c>
      <c r="K1151" s="4" t="str">
        <f t="shared" si="140"/>
        <v/>
      </c>
      <c r="L1151" s="19" t="str">
        <f t="shared" si="141"/>
        <v/>
      </c>
      <c r="M1151" s="12" t="str">
        <f>IF(A1151="","",IFERROR(INDEX(المدخلات!$M$4:$M$15,MATCH(A1151,المدخلات!$L$4:$L$15,0)),""))</f>
        <v/>
      </c>
      <c r="N1151" s="4" t="str">
        <f t="shared" si="142"/>
        <v/>
      </c>
      <c r="O1151" s="4" t="str">
        <f t="shared" si="143"/>
        <v/>
      </c>
    </row>
    <row r="1152" spans="1:15">
      <c r="A1152" s="11"/>
      <c r="B1152" s="19"/>
      <c r="C1152" s="19"/>
      <c r="D1152" s="55"/>
      <c r="E1152" s="56"/>
      <c r="F1152" s="19"/>
      <c r="G1152" s="4" t="str">
        <f t="shared" si="136"/>
        <v/>
      </c>
      <c r="H1152" s="11" t="str">
        <f t="shared" si="137"/>
        <v/>
      </c>
      <c r="I1152" s="55" t="str">
        <f t="shared" si="138"/>
        <v/>
      </c>
      <c r="J1152" s="55" t="str">
        <f t="shared" si="139"/>
        <v/>
      </c>
      <c r="K1152" s="4" t="str">
        <f t="shared" si="140"/>
        <v/>
      </c>
      <c r="L1152" s="19" t="str">
        <f t="shared" si="141"/>
        <v/>
      </c>
      <c r="M1152" s="12" t="str">
        <f>IF(A1152="","",IFERROR(INDEX(المدخلات!$M$4:$M$15,MATCH(A1152,المدخلات!$L$4:$L$15,0)),""))</f>
        <v/>
      </c>
      <c r="N1152" s="4" t="str">
        <f t="shared" si="142"/>
        <v/>
      </c>
      <c r="O1152" s="4" t="str">
        <f t="shared" si="143"/>
        <v/>
      </c>
    </row>
    <row r="1153" spans="1:15">
      <c r="A1153" s="11"/>
      <c r="B1153" s="19"/>
      <c r="C1153" s="19"/>
      <c r="D1153" s="55"/>
      <c r="E1153" s="56"/>
      <c r="F1153" s="19"/>
      <c r="G1153" s="4" t="str">
        <f t="shared" si="136"/>
        <v/>
      </c>
      <c r="H1153" s="11" t="str">
        <f t="shared" si="137"/>
        <v/>
      </c>
      <c r="I1153" s="55" t="str">
        <f t="shared" si="138"/>
        <v/>
      </c>
      <c r="J1153" s="55" t="str">
        <f t="shared" si="139"/>
        <v/>
      </c>
      <c r="K1153" s="4" t="str">
        <f t="shared" si="140"/>
        <v/>
      </c>
      <c r="L1153" s="19" t="str">
        <f t="shared" si="141"/>
        <v/>
      </c>
      <c r="M1153" s="12" t="str">
        <f>IF(A1153="","",IFERROR(INDEX(المدخلات!$M$4:$M$15,MATCH(A1153,المدخلات!$L$4:$L$15,0)),""))</f>
        <v/>
      </c>
      <c r="N1153" s="4" t="str">
        <f t="shared" si="142"/>
        <v/>
      </c>
      <c r="O1153" s="4" t="str">
        <f t="shared" si="143"/>
        <v/>
      </c>
    </row>
    <row r="1154" spans="1:15">
      <c r="A1154" s="11"/>
      <c r="B1154" s="19"/>
      <c r="C1154" s="19"/>
      <c r="D1154" s="55"/>
      <c r="E1154" s="56"/>
      <c r="F1154" s="19"/>
      <c r="G1154" s="4" t="str">
        <f t="shared" si="136"/>
        <v/>
      </c>
      <c r="H1154" s="11" t="str">
        <f t="shared" si="137"/>
        <v/>
      </c>
      <c r="I1154" s="55" t="str">
        <f t="shared" si="138"/>
        <v/>
      </c>
      <c r="J1154" s="55" t="str">
        <f t="shared" si="139"/>
        <v/>
      </c>
      <c r="K1154" s="4" t="str">
        <f t="shared" si="140"/>
        <v/>
      </c>
      <c r="L1154" s="19" t="str">
        <f t="shared" si="141"/>
        <v/>
      </c>
      <c r="M1154" s="12" t="str">
        <f>IF(A1154="","",IFERROR(INDEX(المدخلات!$M$4:$M$15,MATCH(A1154,المدخلات!$L$4:$L$15,0)),""))</f>
        <v/>
      </c>
      <c r="N1154" s="4" t="str">
        <f t="shared" si="142"/>
        <v/>
      </c>
      <c r="O1154" s="4" t="str">
        <f t="shared" si="143"/>
        <v/>
      </c>
    </row>
    <row r="1155" spans="1:15">
      <c r="A1155" s="11"/>
      <c r="B1155" s="19"/>
      <c r="C1155" s="19"/>
      <c r="D1155" s="55"/>
      <c r="E1155" s="56"/>
      <c r="F1155" s="19"/>
      <c r="G1155" s="4" t="str">
        <f t="shared" si="136"/>
        <v/>
      </c>
      <c r="H1155" s="11" t="str">
        <f t="shared" si="137"/>
        <v/>
      </c>
      <c r="I1155" s="55" t="str">
        <f t="shared" si="138"/>
        <v/>
      </c>
      <c r="J1155" s="55" t="str">
        <f t="shared" si="139"/>
        <v/>
      </c>
      <c r="K1155" s="4" t="str">
        <f t="shared" si="140"/>
        <v/>
      </c>
      <c r="L1155" s="19" t="str">
        <f t="shared" si="141"/>
        <v/>
      </c>
      <c r="M1155" s="12" t="str">
        <f>IF(A1155="","",IFERROR(INDEX(المدخلات!$M$4:$M$15,MATCH(A1155,المدخلات!$L$4:$L$15,0)),""))</f>
        <v/>
      </c>
      <c r="N1155" s="4" t="str">
        <f t="shared" si="142"/>
        <v/>
      </c>
      <c r="O1155" s="4" t="str">
        <f t="shared" si="143"/>
        <v/>
      </c>
    </row>
    <row r="1156" spans="1:15">
      <c r="A1156" s="11"/>
      <c r="B1156" s="19"/>
      <c r="C1156" s="19"/>
      <c r="D1156" s="55"/>
      <c r="E1156" s="56"/>
      <c r="F1156" s="19"/>
      <c r="G1156" s="4" t="str">
        <f t="shared" si="136"/>
        <v/>
      </c>
      <c r="H1156" s="11" t="str">
        <f t="shared" si="137"/>
        <v/>
      </c>
      <c r="I1156" s="55" t="str">
        <f t="shared" si="138"/>
        <v/>
      </c>
      <c r="J1156" s="55" t="str">
        <f t="shared" si="139"/>
        <v/>
      </c>
      <c r="K1156" s="4" t="str">
        <f t="shared" si="140"/>
        <v/>
      </c>
      <c r="L1156" s="19" t="str">
        <f t="shared" si="141"/>
        <v/>
      </c>
      <c r="M1156" s="12" t="str">
        <f>IF(A1156="","",IFERROR(INDEX(المدخلات!$M$4:$M$15,MATCH(A1156,المدخلات!$L$4:$L$15,0)),""))</f>
        <v/>
      </c>
      <c r="N1156" s="4" t="str">
        <f t="shared" si="142"/>
        <v/>
      </c>
      <c r="O1156" s="4" t="str">
        <f t="shared" si="143"/>
        <v/>
      </c>
    </row>
    <row r="1157" spans="1:15">
      <c r="A1157" s="11"/>
      <c r="B1157" s="19"/>
      <c r="C1157" s="19"/>
      <c r="D1157" s="55"/>
      <c r="E1157" s="56"/>
      <c r="F1157" s="19"/>
      <c r="G1157" s="4" t="str">
        <f t="shared" ref="G1157:G1220" si="144">IF(OR(D1157="",E1157=""),"",D1157*E1157)</f>
        <v/>
      </c>
      <c r="H1157" s="11" t="str">
        <f t="shared" ref="H1157:H1220" si="145">IF(C1157="","",IFERROR(_xlfn.MAXIFS($A$5:$A$2003,$C$5:$C$2003,C1157,$A$5:$A$2003,"&lt;"&amp;A1157),0))</f>
        <v/>
      </c>
      <c r="I1157" s="55" t="str">
        <f t="shared" ref="I1157:I1220" si="146">IF(OR(H1157="",H1157=0),"",IFERROR(SUMIFS($D$5:$D$2003,$C$5:$C$2003,C1157,$A$5:$A$2003,H1157),""))</f>
        <v/>
      </c>
      <c r="J1157" s="55" t="str">
        <f t="shared" ref="J1157:J1220" si="147">IF(C1157="","",IF(I1157="",0,MAX(I1157-D1157,0)))</f>
        <v/>
      </c>
      <c r="K1157" s="4" t="str">
        <f t="shared" ref="K1157:K1220" si="148">IF(J1157="","",J1157*E1157)</f>
        <v/>
      </c>
      <c r="L1157" s="19" t="str">
        <f t="shared" ref="L1157:L1220" si="149">IF(C1157="","",IF(COUNTIFS($A$5:$A$2003,A1157,$C$5:$C$2003,C1157)&gt;1,"⚠️ مادة مكررة بنفس الشهر",IF(OR(H1157="",H1157=0),"🆕 أول ظهور لهذه المادة",IF(D1157&gt;I1157,"ℹ️ زيادة كمية (شراء/تصحيح) - لا تُحتسب استهلاكاً",IF(D1157=I1157,"➖ لا تغيير","")))))</f>
        <v/>
      </c>
      <c r="M1157" s="12" t="str">
        <f>IF(A1157="","",IFERROR(INDEX(المدخلات!$M$4:$M$15,MATCH(A1157,المدخلات!$L$4:$L$15,0)),""))</f>
        <v/>
      </c>
      <c r="N1157" s="4" t="str">
        <f t="shared" ref="N1157:N1220" si="150">IF(OR(G1157="",F1157=""),"",IF(F1157="دولار أمريكي",IF(M1157="","⚠️ لا يوجد سعر صرف",G1157*M1157),G1157))</f>
        <v/>
      </c>
      <c r="O1157" s="4" t="str">
        <f t="shared" ref="O1157:O1220" si="151">IF(OR(K1157="",F1157=""),"",IF(F1157="دولار أمريكي",IF(M1157="","⚠️ لا يوجد سعر صرف",K1157*M1157),K1157))</f>
        <v/>
      </c>
    </row>
    <row r="1158" spans="1:15">
      <c r="A1158" s="11"/>
      <c r="B1158" s="19"/>
      <c r="C1158" s="19"/>
      <c r="D1158" s="55"/>
      <c r="E1158" s="56"/>
      <c r="F1158" s="19"/>
      <c r="G1158" s="4" t="str">
        <f t="shared" si="144"/>
        <v/>
      </c>
      <c r="H1158" s="11" t="str">
        <f t="shared" si="145"/>
        <v/>
      </c>
      <c r="I1158" s="55" t="str">
        <f t="shared" si="146"/>
        <v/>
      </c>
      <c r="J1158" s="55" t="str">
        <f t="shared" si="147"/>
        <v/>
      </c>
      <c r="K1158" s="4" t="str">
        <f t="shared" si="148"/>
        <v/>
      </c>
      <c r="L1158" s="19" t="str">
        <f t="shared" si="149"/>
        <v/>
      </c>
      <c r="M1158" s="12" t="str">
        <f>IF(A1158="","",IFERROR(INDEX(المدخلات!$M$4:$M$15,MATCH(A1158,المدخلات!$L$4:$L$15,0)),""))</f>
        <v/>
      </c>
      <c r="N1158" s="4" t="str">
        <f t="shared" si="150"/>
        <v/>
      </c>
      <c r="O1158" s="4" t="str">
        <f t="shared" si="151"/>
        <v/>
      </c>
    </row>
    <row r="1159" spans="1:15">
      <c r="A1159" s="11"/>
      <c r="B1159" s="19"/>
      <c r="C1159" s="19"/>
      <c r="D1159" s="55"/>
      <c r="E1159" s="56"/>
      <c r="F1159" s="19"/>
      <c r="G1159" s="4" t="str">
        <f t="shared" si="144"/>
        <v/>
      </c>
      <c r="H1159" s="11" t="str">
        <f t="shared" si="145"/>
        <v/>
      </c>
      <c r="I1159" s="55" t="str">
        <f t="shared" si="146"/>
        <v/>
      </c>
      <c r="J1159" s="55" t="str">
        <f t="shared" si="147"/>
        <v/>
      </c>
      <c r="K1159" s="4" t="str">
        <f t="shared" si="148"/>
        <v/>
      </c>
      <c r="L1159" s="19" t="str">
        <f t="shared" si="149"/>
        <v/>
      </c>
      <c r="M1159" s="12" t="str">
        <f>IF(A1159="","",IFERROR(INDEX(المدخلات!$M$4:$M$15,MATCH(A1159,المدخلات!$L$4:$L$15,0)),""))</f>
        <v/>
      </c>
      <c r="N1159" s="4" t="str">
        <f t="shared" si="150"/>
        <v/>
      </c>
      <c r="O1159" s="4" t="str">
        <f t="shared" si="151"/>
        <v/>
      </c>
    </row>
    <row r="1160" spans="1:15">
      <c r="A1160" s="11"/>
      <c r="B1160" s="19"/>
      <c r="C1160" s="19"/>
      <c r="D1160" s="55"/>
      <c r="E1160" s="56"/>
      <c r="F1160" s="19"/>
      <c r="G1160" s="4" t="str">
        <f t="shared" si="144"/>
        <v/>
      </c>
      <c r="H1160" s="11" t="str">
        <f t="shared" si="145"/>
        <v/>
      </c>
      <c r="I1160" s="55" t="str">
        <f t="shared" si="146"/>
        <v/>
      </c>
      <c r="J1160" s="55" t="str">
        <f t="shared" si="147"/>
        <v/>
      </c>
      <c r="K1160" s="4" t="str">
        <f t="shared" si="148"/>
        <v/>
      </c>
      <c r="L1160" s="19" t="str">
        <f t="shared" si="149"/>
        <v/>
      </c>
      <c r="M1160" s="12" t="str">
        <f>IF(A1160="","",IFERROR(INDEX(المدخلات!$M$4:$M$15,MATCH(A1160,المدخلات!$L$4:$L$15,0)),""))</f>
        <v/>
      </c>
      <c r="N1160" s="4" t="str">
        <f t="shared" si="150"/>
        <v/>
      </c>
      <c r="O1160" s="4" t="str">
        <f t="shared" si="151"/>
        <v/>
      </c>
    </row>
    <row r="1161" spans="1:15">
      <c r="A1161" s="11"/>
      <c r="B1161" s="19"/>
      <c r="C1161" s="19"/>
      <c r="D1161" s="55"/>
      <c r="E1161" s="56"/>
      <c r="F1161" s="19"/>
      <c r="G1161" s="4" t="str">
        <f t="shared" si="144"/>
        <v/>
      </c>
      <c r="H1161" s="11" t="str">
        <f t="shared" si="145"/>
        <v/>
      </c>
      <c r="I1161" s="55" t="str">
        <f t="shared" si="146"/>
        <v/>
      </c>
      <c r="J1161" s="55" t="str">
        <f t="shared" si="147"/>
        <v/>
      </c>
      <c r="K1161" s="4" t="str">
        <f t="shared" si="148"/>
        <v/>
      </c>
      <c r="L1161" s="19" t="str">
        <f t="shared" si="149"/>
        <v/>
      </c>
      <c r="M1161" s="12" t="str">
        <f>IF(A1161="","",IFERROR(INDEX(المدخلات!$M$4:$M$15,MATCH(A1161,المدخلات!$L$4:$L$15,0)),""))</f>
        <v/>
      </c>
      <c r="N1161" s="4" t="str">
        <f t="shared" si="150"/>
        <v/>
      </c>
      <c r="O1161" s="4" t="str">
        <f t="shared" si="151"/>
        <v/>
      </c>
    </row>
    <row r="1162" spans="1:15">
      <c r="A1162" s="11"/>
      <c r="B1162" s="19"/>
      <c r="C1162" s="19"/>
      <c r="D1162" s="55"/>
      <c r="E1162" s="56"/>
      <c r="F1162" s="19"/>
      <c r="G1162" s="4" t="str">
        <f t="shared" si="144"/>
        <v/>
      </c>
      <c r="H1162" s="11" t="str">
        <f t="shared" si="145"/>
        <v/>
      </c>
      <c r="I1162" s="55" t="str">
        <f t="shared" si="146"/>
        <v/>
      </c>
      <c r="J1162" s="55" t="str">
        <f t="shared" si="147"/>
        <v/>
      </c>
      <c r="K1162" s="4" t="str">
        <f t="shared" si="148"/>
        <v/>
      </c>
      <c r="L1162" s="19" t="str">
        <f t="shared" si="149"/>
        <v/>
      </c>
      <c r="M1162" s="12" t="str">
        <f>IF(A1162="","",IFERROR(INDEX(المدخلات!$M$4:$M$15,MATCH(A1162,المدخلات!$L$4:$L$15,0)),""))</f>
        <v/>
      </c>
      <c r="N1162" s="4" t="str">
        <f t="shared" si="150"/>
        <v/>
      </c>
      <c r="O1162" s="4" t="str">
        <f t="shared" si="151"/>
        <v/>
      </c>
    </row>
    <row r="1163" spans="1:15">
      <c r="A1163" s="11"/>
      <c r="B1163" s="19"/>
      <c r="C1163" s="19"/>
      <c r="D1163" s="55"/>
      <c r="E1163" s="56"/>
      <c r="F1163" s="19"/>
      <c r="G1163" s="4" t="str">
        <f t="shared" si="144"/>
        <v/>
      </c>
      <c r="H1163" s="11" t="str">
        <f t="shared" si="145"/>
        <v/>
      </c>
      <c r="I1163" s="55" t="str">
        <f t="shared" si="146"/>
        <v/>
      </c>
      <c r="J1163" s="55" t="str">
        <f t="shared" si="147"/>
        <v/>
      </c>
      <c r="K1163" s="4" t="str">
        <f t="shared" si="148"/>
        <v/>
      </c>
      <c r="L1163" s="19" t="str">
        <f t="shared" si="149"/>
        <v/>
      </c>
      <c r="M1163" s="12" t="str">
        <f>IF(A1163="","",IFERROR(INDEX(المدخلات!$M$4:$M$15,MATCH(A1163,المدخلات!$L$4:$L$15,0)),""))</f>
        <v/>
      </c>
      <c r="N1163" s="4" t="str">
        <f t="shared" si="150"/>
        <v/>
      </c>
      <c r="O1163" s="4" t="str">
        <f t="shared" si="151"/>
        <v/>
      </c>
    </row>
    <row r="1164" spans="1:15">
      <c r="A1164" s="11"/>
      <c r="B1164" s="19"/>
      <c r="C1164" s="19"/>
      <c r="D1164" s="55"/>
      <c r="E1164" s="56"/>
      <c r="F1164" s="19"/>
      <c r="G1164" s="4" t="str">
        <f t="shared" si="144"/>
        <v/>
      </c>
      <c r="H1164" s="11" t="str">
        <f t="shared" si="145"/>
        <v/>
      </c>
      <c r="I1164" s="55" t="str">
        <f t="shared" si="146"/>
        <v/>
      </c>
      <c r="J1164" s="55" t="str">
        <f t="shared" si="147"/>
        <v/>
      </c>
      <c r="K1164" s="4" t="str">
        <f t="shared" si="148"/>
        <v/>
      </c>
      <c r="L1164" s="19" t="str">
        <f t="shared" si="149"/>
        <v/>
      </c>
      <c r="M1164" s="12" t="str">
        <f>IF(A1164="","",IFERROR(INDEX(المدخلات!$M$4:$M$15,MATCH(A1164,المدخلات!$L$4:$L$15,0)),""))</f>
        <v/>
      </c>
      <c r="N1164" s="4" t="str">
        <f t="shared" si="150"/>
        <v/>
      </c>
      <c r="O1164" s="4" t="str">
        <f t="shared" si="151"/>
        <v/>
      </c>
    </row>
    <row r="1165" spans="1:15">
      <c r="A1165" s="11"/>
      <c r="B1165" s="19"/>
      <c r="C1165" s="19"/>
      <c r="D1165" s="55"/>
      <c r="E1165" s="56"/>
      <c r="F1165" s="19"/>
      <c r="G1165" s="4" t="str">
        <f t="shared" si="144"/>
        <v/>
      </c>
      <c r="H1165" s="11" t="str">
        <f t="shared" si="145"/>
        <v/>
      </c>
      <c r="I1165" s="55" t="str">
        <f t="shared" si="146"/>
        <v/>
      </c>
      <c r="J1165" s="55" t="str">
        <f t="shared" si="147"/>
        <v/>
      </c>
      <c r="K1165" s="4" t="str">
        <f t="shared" si="148"/>
        <v/>
      </c>
      <c r="L1165" s="19" t="str">
        <f t="shared" si="149"/>
        <v/>
      </c>
      <c r="M1165" s="12" t="str">
        <f>IF(A1165="","",IFERROR(INDEX(المدخلات!$M$4:$M$15,MATCH(A1165,المدخلات!$L$4:$L$15,0)),""))</f>
        <v/>
      </c>
      <c r="N1165" s="4" t="str">
        <f t="shared" si="150"/>
        <v/>
      </c>
      <c r="O1165" s="4" t="str">
        <f t="shared" si="151"/>
        <v/>
      </c>
    </row>
    <row r="1166" spans="1:15">
      <c r="A1166" s="11"/>
      <c r="B1166" s="19"/>
      <c r="C1166" s="19"/>
      <c r="D1166" s="55"/>
      <c r="E1166" s="56"/>
      <c r="F1166" s="19"/>
      <c r="G1166" s="4" t="str">
        <f t="shared" si="144"/>
        <v/>
      </c>
      <c r="H1166" s="11" t="str">
        <f t="shared" si="145"/>
        <v/>
      </c>
      <c r="I1166" s="55" t="str">
        <f t="shared" si="146"/>
        <v/>
      </c>
      <c r="J1166" s="55" t="str">
        <f t="shared" si="147"/>
        <v/>
      </c>
      <c r="K1166" s="4" t="str">
        <f t="shared" si="148"/>
        <v/>
      </c>
      <c r="L1166" s="19" t="str">
        <f t="shared" si="149"/>
        <v/>
      </c>
      <c r="M1166" s="12" t="str">
        <f>IF(A1166="","",IFERROR(INDEX(المدخلات!$M$4:$M$15,MATCH(A1166,المدخلات!$L$4:$L$15,0)),""))</f>
        <v/>
      </c>
      <c r="N1166" s="4" t="str">
        <f t="shared" si="150"/>
        <v/>
      </c>
      <c r="O1166" s="4" t="str">
        <f t="shared" si="151"/>
        <v/>
      </c>
    </row>
    <row r="1167" spans="1:15">
      <c r="A1167" s="11"/>
      <c r="B1167" s="19"/>
      <c r="C1167" s="19"/>
      <c r="D1167" s="55"/>
      <c r="E1167" s="56"/>
      <c r="F1167" s="19"/>
      <c r="G1167" s="4" t="str">
        <f t="shared" si="144"/>
        <v/>
      </c>
      <c r="H1167" s="11" t="str">
        <f t="shared" si="145"/>
        <v/>
      </c>
      <c r="I1167" s="55" t="str">
        <f t="shared" si="146"/>
        <v/>
      </c>
      <c r="J1167" s="55" t="str">
        <f t="shared" si="147"/>
        <v/>
      </c>
      <c r="K1167" s="4" t="str">
        <f t="shared" si="148"/>
        <v/>
      </c>
      <c r="L1167" s="19" t="str">
        <f t="shared" si="149"/>
        <v/>
      </c>
      <c r="M1167" s="12" t="str">
        <f>IF(A1167="","",IFERROR(INDEX(المدخلات!$M$4:$M$15,MATCH(A1167,المدخلات!$L$4:$L$15,0)),""))</f>
        <v/>
      </c>
      <c r="N1167" s="4" t="str">
        <f t="shared" si="150"/>
        <v/>
      </c>
      <c r="O1167" s="4" t="str">
        <f t="shared" si="151"/>
        <v/>
      </c>
    </row>
    <row r="1168" spans="1:15">
      <c r="A1168" s="11"/>
      <c r="B1168" s="19"/>
      <c r="C1168" s="19"/>
      <c r="D1168" s="55"/>
      <c r="E1168" s="56"/>
      <c r="F1168" s="19"/>
      <c r="G1168" s="4" t="str">
        <f t="shared" si="144"/>
        <v/>
      </c>
      <c r="H1168" s="11" t="str">
        <f t="shared" si="145"/>
        <v/>
      </c>
      <c r="I1168" s="55" t="str">
        <f t="shared" si="146"/>
        <v/>
      </c>
      <c r="J1168" s="55" t="str">
        <f t="shared" si="147"/>
        <v/>
      </c>
      <c r="K1168" s="4" t="str">
        <f t="shared" si="148"/>
        <v/>
      </c>
      <c r="L1168" s="19" t="str">
        <f t="shared" si="149"/>
        <v/>
      </c>
      <c r="M1168" s="12" t="str">
        <f>IF(A1168="","",IFERROR(INDEX(المدخلات!$M$4:$M$15,MATCH(A1168,المدخلات!$L$4:$L$15,0)),""))</f>
        <v/>
      </c>
      <c r="N1168" s="4" t="str">
        <f t="shared" si="150"/>
        <v/>
      </c>
      <c r="O1168" s="4" t="str">
        <f t="shared" si="151"/>
        <v/>
      </c>
    </row>
    <row r="1169" spans="1:15">
      <c r="A1169" s="11"/>
      <c r="B1169" s="19"/>
      <c r="C1169" s="19"/>
      <c r="D1169" s="55"/>
      <c r="E1169" s="56"/>
      <c r="F1169" s="19"/>
      <c r="G1169" s="4" t="str">
        <f t="shared" si="144"/>
        <v/>
      </c>
      <c r="H1169" s="11" t="str">
        <f t="shared" si="145"/>
        <v/>
      </c>
      <c r="I1169" s="55" t="str">
        <f t="shared" si="146"/>
        <v/>
      </c>
      <c r="J1169" s="55" t="str">
        <f t="shared" si="147"/>
        <v/>
      </c>
      <c r="K1169" s="4" t="str">
        <f t="shared" si="148"/>
        <v/>
      </c>
      <c r="L1169" s="19" t="str">
        <f t="shared" si="149"/>
        <v/>
      </c>
      <c r="M1169" s="12" t="str">
        <f>IF(A1169="","",IFERROR(INDEX(المدخلات!$M$4:$M$15,MATCH(A1169,المدخلات!$L$4:$L$15,0)),""))</f>
        <v/>
      </c>
      <c r="N1169" s="4" t="str">
        <f t="shared" si="150"/>
        <v/>
      </c>
      <c r="O1169" s="4" t="str">
        <f t="shared" si="151"/>
        <v/>
      </c>
    </row>
    <row r="1170" spans="1:15">
      <c r="A1170" s="11"/>
      <c r="B1170" s="19"/>
      <c r="C1170" s="19"/>
      <c r="D1170" s="55"/>
      <c r="E1170" s="56"/>
      <c r="F1170" s="19"/>
      <c r="G1170" s="4" t="str">
        <f t="shared" si="144"/>
        <v/>
      </c>
      <c r="H1170" s="11" t="str">
        <f t="shared" si="145"/>
        <v/>
      </c>
      <c r="I1170" s="55" t="str">
        <f t="shared" si="146"/>
        <v/>
      </c>
      <c r="J1170" s="55" t="str">
        <f t="shared" si="147"/>
        <v/>
      </c>
      <c r="K1170" s="4" t="str">
        <f t="shared" si="148"/>
        <v/>
      </c>
      <c r="L1170" s="19" t="str">
        <f t="shared" si="149"/>
        <v/>
      </c>
      <c r="M1170" s="12" t="str">
        <f>IF(A1170="","",IFERROR(INDEX(المدخلات!$M$4:$M$15,MATCH(A1170,المدخلات!$L$4:$L$15,0)),""))</f>
        <v/>
      </c>
      <c r="N1170" s="4" t="str">
        <f t="shared" si="150"/>
        <v/>
      </c>
      <c r="O1170" s="4" t="str">
        <f t="shared" si="151"/>
        <v/>
      </c>
    </row>
    <row r="1171" spans="1:15">
      <c r="A1171" s="11"/>
      <c r="B1171" s="19"/>
      <c r="C1171" s="19"/>
      <c r="D1171" s="55"/>
      <c r="E1171" s="56"/>
      <c r="F1171" s="19"/>
      <c r="G1171" s="4" t="str">
        <f t="shared" si="144"/>
        <v/>
      </c>
      <c r="H1171" s="11" t="str">
        <f t="shared" si="145"/>
        <v/>
      </c>
      <c r="I1171" s="55" t="str">
        <f t="shared" si="146"/>
        <v/>
      </c>
      <c r="J1171" s="55" t="str">
        <f t="shared" si="147"/>
        <v/>
      </c>
      <c r="K1171" s="4" t="str">
        <f t="shared" si="148"/>
        <v/>
      </c>
      <c r="L1171" s="19" t="str">
        <f t="shared" si="149"/>
        <v/>
      </c>
      <c r="M1171" s="12" t="str">
        <f>IF(A1171="","",IFERROR(INDEX(المدخلات!$M$4:$M$15,MATCH(A1171,المدخلات!$L$4:$L$15,0)),""))</f>
        <v/>
      </c>
      <c r="N1171" s="4" t="str">
        <f t="shared" si="150"/>
        <v/>
      </c>
      <c r="O1171" s="4" t="str">
        <f t="shared" si="151"/>
        <v/>
      </c>
    </row>
    <row r="1172" spans="1:15">
      <c r="A1172" s="11"/>
      <c r="B1172" s="19"/>
      <c r="C1172" s="19"/>
      <c r="D1172" s="55"/>
      <c r="E1172" s="56"/>
      <c r="F1172" s="19"/>
      <c r="G1172" s="4" t="str">
        <f t="shared" si="144"/>
        <v/>
      </c>
      <c r="H1172" s="11" t="str">
        <f t="shared" si="145"/>
        <v/>
      </c>
      <c r="I1172" s="55" t="str">
        <f t="shared" si="146"/>
        <v/>
      </c>
      <c r="J1172" s="55" t="str">
        <f t="shared" si="147"/>
        <v/>
      </c>
      <c r="K1172" s="4" t="str">
        <f t="shared" si="148"/>
        <v/>
      </c>
      <c r="L1172" s="19" t="str">
        <f t="shared" si="149"/>
        <v/>
      </c>
      <c r="M1172" s="12" t="str">
        <f>IF(A1172="","",IFERROR(INDEX(المدخلات!$M$4:$M$15,MATCH(A1172,المدخلات!$L$4:$L$15,0)),""))</f>
        <v/>
      </c>
      <c r="N1172" s="4" t="str">
        <f t="shared" si="150"/>
        <v/>
      </c>
      <c r="O1172" s="4" t="str">
        <f t="shared" si="151"/>
        <v/>
      </c>
    </row>
    <row r="1173" spans="1:15">
      <c r="A1173" s="11"/>
      <c r="B1173" s="19"/>
      <c r="C1173" s="19"/>
      <c r="D1173" s="55"/>
      <c r="E1173" s="56"/>
      <c r="F1173" s="19"/>
      <c r="G1173" s="4" t="str">
        <f t="shared" si="144"/>
        <v/>
      </c>
      <c r="H1173" s="11" t="str">
        <f t="shared" si="145"/>
        <v/>
      </c>
      <c r="I1173" s="55" t="str">
        <f t="shared" si="146"/>
        <v/>
      </c>
      <c r="J1173" s="55" t="str">
        <f t="shared" si="147"/>
        <v/>
      </c>
      <c r="K1173" s="4" t="str">
        <f t="shared" si="148"/>
        <v/>
      </c>
      <c r="L1173" s="19" t="str">
        <f t="shared" si="149"/>
        <v/>
      </c>
      <c r="M1173" s="12" t="str">
        <f>IF(A1173="","",IFERROR(INDEX(المدخلات!$M$4:$M$15,MATCH(A1173,المدخلات!$L$4:$L$15,0)),""))</f>
        <v/>
      </c>
      <c r="N1173" s="4" t="str">
        <f t="shared" si="150"/>
        <v/>
      </c>
      <c r="O1173" s="4" t="str">
        <f t="shared" si="151"/>
        <v/>
      </c>
    </row>
    <row r="1174" spans="1:15">
      <c r="A1174" s="11"/>
      <c r="B1174" s="19"/>
      <c r="C1174" s="19"/>
      <c r="D1174" s="55"/>
      <c r="E1174" s="56"/>
      <c r="F1174" s="19"/>
      <c r="G1174" s="4" t="str">
        <f t="shared" si="144"/>
        <v/>
      </c>
      <c r="H1174" s="11" t="str">
        <f t="shared" si="145"/>
        <v/>
      </c>
      <c r="I1174" s="55" t="str">
        <f t="shared" si="146"/>
        <v/>
      </c>
      <c r="J1174" s="55" t="str">
        <f t="shared" si="147"/>
        <v/>
      </c>
      <c r="K1174" s="4" t="str">
        <f t="shared" si="148"/>
        <v/>
      </c>
      <c r="L1174" s="19" t="str">
        <f t="shared" si="149"/>
        <v/>
      </c>
      <c r="M1174" s="12" t="str">
        <f>IF(A1174="","",IFERROR(INDEX(المدخلات!$M$4:$M$15,MATCH(A1174,المدخلات!$L$4:$L$15,0)),""))</f>
        <v/>
      </c>
      <c r="N1174" s="4" t="str">
        <f t="shared" si="150"/>
        <v/>
      </c>
      <c r="O1174" s="4" t="str">
        <f t="shared" si="151"/>
        <v/>
      </c>
    </row>
    <row r="1175" spans="1:15">
      <c r="A1175" s="11"/>
      <c r="B1175" s="19"/>
      <c r="C1175" s="19"/>
      <c r="D1175" s="55"/>
      <c r="E1175" s="56"/>
      <c r="F1175" s="19"/>
      <c r="G1175" s="4" t="str">
        <f t="shared" si="144"/>
        <v/>
      </c>
      <c r="H1175" s="11" t="str">
        <f t="shared" si="145"/>
        <v/>
      </c>
      <c r="I1175" s="55" t="str">
        <f t="shared" si="146"/>
        <v/>
      </c>
      <c r="J1175" s="55" t="str">
        <f t="shared" si="147"/>
        <v/>
      </c>
      <c r="K1175" s="4" t="str">
        <f t="shared" si="148"/>
        <v/>
      </c>
      <c r="L1175" s="19" t="str">
        <f t="shared" si="149"/>
        <v/>
      </c>
      <c r="M1175" s="12" t="str">
        <f>IF(A1175="","",IFERROR(INDEX(المدخلات!$M$4:$M$15,MATCH(A1175,المدخلات!$L$4:$L$15,0)),""))</f>
        <v/>
      </c>
      <c r="N1175" s="4" t="str">
        <f t="shared" si="150"/>
        <v/>
      </c>
      <c r="O1175" s="4" t="str">
        <f t="shared" si="151"/>
        <v/>
      </c>
    </row>
    <row r="1176" spans="1:15">
      <c r="A1176" s="11"/>
      <c r="B1176" s="19"/>
      <c r="C1176" s="19"/>
      <c r="D1176" s="55"/>
      <c r="E1176" s="56"/>
      <c r="F1176" s="19"/>
      <c r="G1176" s="4" t="str">
        <f t="shared" si="144"/>
        <v/>
      </c>
      <c r="H1176" s="11" t="str">
        <f t="shared" si="145"/>
        <v/>
      </c>
      <c r="I1176" s="55" t="str">
        <f t="shared" si="146"/>
        <v/>
      </c>
      <c r="J1176" s="55" t="str">
        <f t="shared" si="147"/>
        <v/>
      </c>
      <c r="K1176" s="4" t="str">
        <f t="shared" si="148"/>
        <v/>
      </c>
      <c r="L1176" s="19" t="str">
        <f t="shared" si="149"/>
        <v/>
      </c>
      <c r="M1176" s="12" t="str">
        <f>IF(A1176="","",IFERROR(INDEX(المدخلات!$M$4:$M$15,MATCH(A1176,المدخلات!$L$4:$L$15,0)),""))</f>
        <v/>
      </c>
      <c r="N1176" s="4" t="str">
        <f t="shared" si="150"/>
        <v/>
      </c>
      <c r="O1176" s="4" t="str">
        <f t="shared" si="151"/>
        <v/>
      </c>
    </row>
    <row r="1177" spans="1:15">
      <c r="A1177" s="11"/>
      <c r="B1177" s="19"/>
      <c r="C1177" s="19"/>
      <c r="D1177" s="55"/>
      <c r="E1177" s="56"/>
      <c r="F1177" s="19"/>
      <c r="G1177" s="4" t="str">
        <f t="shared" si="144"/>
        <v/>
      </c>
      <c r="H1177" s="11" t="str">
        <f t="shared" si="145"/>
        <v/>
      </c>
      <c r="I1177" s="55" t="str">
        <f t="shared" si="146"/>
        <v/>
      </c>
      <c r="J1177" s="55" t="str">
        <f t="shared" si="147"/>
        <v/>
      </c>
      <c r="K1177" s="4" t="str">
        <f t="shared" si="148"/>
        <v/>
      </c>
      <c r="L1177" s="19" t="str">
        <f t="shared" si="149"/>
        <v/>
      </c>
      <c r="M1177" s="12" t="str">
        <f>IF(A1177="","",IFERROR(INDEX(المدخلات!$M$4:$M$15,MATCH(A1177,المدخلات!$L$4:$L$15,0)),""))</f>
        <v/>
      </c>
      <c r="N1177" s="4" t="str">
        <f t="shared" si="150"/>
        <v/>
      </c>
      <c r="O1177" s="4" t="str">
        <f t="shared" si="151"/>
        <v/>
      </c>
    </row>
    <row r="1178" spans="1:15">
      <c r="A1178" s="11"/>
      <c r="B1178" s="19"/>
      <c r="C1178" s="19"/>
      <c r="D1178" s="55"/>
      <c r="E1178" s="56"/>
      <c r="F1178" s="19"/>
      <c r="G1178" s="4" t="str">
        <f t="shared" si="144"/>
        <v/>
      </c>
      <c r="H1178" s="11" t="str">
        <f t="shared" si="145"/>
        <v/>
      </c>
      <c r="I1178" s="55" t="str">
        <f t="shared" si="146"/>
        <v/>
      </c>
      <c r="J1178" s="55" t="str">
        <f t="shared" si="147"/>
        <v/>
      </c>
      <c r="K1178" s="4" t="str">
        <f t="shared" si="148"/>
        <v/>
      </c>
      <c r="L1178" s="19" t="str">
        <f t="shared" si="149"/>
        <v/>
      </c>
      <c r="M1178" s="12" t="str">
        <f>IF(A1178="","",IFERROR(INDEX(المدخلات!$M$4:$M$15,MATCH(A1178,المدخلات!$L$4:$L$15,0)),""))</f>
        <v/>
      </c>
      <c r="N1178" s="4" t="str">
        <f t="shared" si="150"/>
        <v/>
      </c>
      <c r="O1178" s="4" t="str">
        <f t="shared" si="151"/>
        <v/>
      </c>
    </row>
    <row r="1179" spans="1:15">
      <c r="A1179" s="11"/>
      <c r="B1179" s="19"/>
      <c r="C1179" s="19"/>
      <c r="D1179" s="55"/>
      <c r="E1179" s="56"/>
      <c r="F1179" s="19"/>
      <c r="G1179" s="4" t="str">
        <f t="shared" si="144"/>
        <v/>
      </c>
      <c r="H1179" s="11" t="str">
        <f t="shared" si="145"/>
        <v/>
      </c>
      <c r="I1179" s="55" t="str">
        <f t="shared" si="146"/>
        <v/>
      </c>
      <c r="J1179" s="55" t="str">
        <f t="shared" si="147"/>
        <v/>
      </c>
      <c r="K1179" s="4" t="str">
        <f t="shared" si="148"/>
        <v/>
      </c>
      <c r="L1179" s="19" t="str">
        <f t="shared" si="149"/>
        <v/>
      </c>
      <c r="M1179" s="12" t="str">
        <f>IF(A1179="","",IFERROR(INDEX(المدخلات!$M$4:$M$15,MATCH(A1179,المدخلات!$L$4:$L$15,0)),""))</f>
        <v/>
      </c>
      <c r="N1179" s="4" t="str">
        <f t="shared" si="150"/>
        <v/>
      </c>
      <c r="O1179" s="4" t="str">
        <f t="shared" si="151"/>
        <v/>
      </c>
    </row>
    <row r="1180" spans="1:15">
      <c r="A1180" s="11"/>
      <c r="B1180" s="19"/>
      <c r="C1180" s="19"/>
      <c r="D1180" s="55"/>
      <c r="E1180" s="56"/>
      <c r="F1180" s="19"/>
      <c r="G1180" s="4" t="str">
        <f t="shared" si="144"/>
        <v/>
      </c>
      <c r="H1180" s="11" t="str">
        <f t="shared" si="145"/>
        <v/>
      </c>
      <c r="I1180" s="55" t="str">
        <f t="shared" si="146"/>
        <v/>
      </c>
      <c r="J1180" s="55" t="str">
        <f t="shared" si="147"/>
        <v/>
      </c>
      <c r="K1180" s="4" t="str">
        <f t="shared" si="148"/>
        <v/>
      </c>
      <c r="L1180" s="19" t="str">
        <f t="shared" si="149"/>
        <v/>
      </c>
      <c r="M1180" s="12" t="str">
        <f>IF(A1180="","",IFERROR(INDEX(المدخلات!$M$4:$M$15,MATCH(A1180,المدخلات!$L$4:$L$15,0)),""))</f>
        <v/>
      </c>
      <c r="N1180" s="4" t="str">
        <f t="shared" si="150"/>
        <v/>
      </c>
      <c r="O1180" s="4" t="str">
        <f t="shared" si="151"/>
        <v/>
      </c>
    </row>
    <row r="1181" spans="1:15">
      <c r="A1181" s="11"/>
      <c r="B1181" s="19"/>
      <c r="C1181" s="19"/>
      <c r="D1181" s="55"/>
      <c r="E1181" s="56"/>
      <c r="F1181" s="19"/>
      <c r="G1181" s="4" t="str">
        <f t="shared" si="144"/>
        <v/>
      </c>
      <c r="H1181" s="11" t="str">
        <f t="shared" si="145"/>
        <v/>
      </c>
      <c r="I1181" s="55" t="str">
        <f t="shared" si="146"/>
        <v/>
      </c>
      <c r="J1181" s="55" t="str">
        <f t="shared" si="147"/>
        <v/>
      </c>
      <c r="K1181" s="4" t="str">
        <f t="shared" si="148"/>
        <v/>
      </c>
      <c r="L1181" s="19" t="str">
        <f t="shared" si="149"/>
        <v/>
      </c>
      <c r="M1181" s="12" t="str">
        <f>IF(A1181="","",IFERROR(INDEX(المدخلات!$M$4:$M$15,MATCH(A1181,المدخلات!$L$4:$L$15,0)),""))</f>
        <v/>
      </c>
      <c r="N1181" s="4" t="str">
        <f t="shared" si="150"/>
        <v/>
      </c>
      <c r="O1181" s="4" t="str">
        <f t="shared" si="151"/>
        <v/>
      </c>
    </row>
    <row r="1182" spans="1:15">
      <c r="A1182" s="11"/>
      <c r="B1182" s="19"/>
      <c r="C1182" s="19"/>
      <c r="D1182" s="55"/>
      <c r="E1182" s="56"/>
      <c r="F1182" s="19"/>
      <c r="G1182" s="4" t="str">
        <f t="shared" si="144"/>
        <v/>
      </c>
      <c r="H1182" s="11" t="str">
        <f t="shared" si="145"/>
        <v/>
      </c>
      <c r="I1182" s="55" t="str">
        <f t="shared" si="146"/>
        <v/>
      </c>
      <c r="J1182" s="55" t="str">
        <f t="shared" si="147"/>
        <v/>
      </c>
      <c r="K1182" s="4" t="str">
        <f t="shared" si="148"/>
        <v/>
      </c>
      <c r="L1182" s="19" t="str">
        <f t="shared" si="149"/>
        <v/>
      </c>
      <c r="M1182" s="12" t="str">
        <f>IF(A1182="","",IFERROR(INDEX(المدخلات!$M$4:$M$15,MATCH(A1182,المدخلات!$L$4:$L$15,0)),""))</f>
        <v/>
      </c>
      <c r="N1182" s="4" t="str">
        <f t="shared" si="150"/>
        <v/>
      </c>
      <c r="O1182" s="4" t="str">
        <f t="shared" si="151"/>
        <v/>
      </c>
    </row>
    <row r="1183" spans="1:15">
      <c r="A1183" s="11"/>
      <c r="B1183" s="19"/>
      <c r="C1183" s="19"/>
      <c r="D1183" s="55"/>
      <c r="E1183" s="56"/>
      <c r="F1183" s="19"/>
      <c r="G1183" s="4" t="str">
        <f t="shared" si="144"/>
        <v/>
      </c>
      <c r="H1183" s="11" t="str">
        <f t="shared" si="145"/>
        <v/>
      </c>
      <c r="I1183" s="55" t="str">
        <f t="shared" si="146"/>
        <v/>
      </c>
      <c r="J1183" s="55" t="str">
        <f t="shared" si="147"/>
        <v/>
      </c>
      <c r="K1183" s="4" t="str">
        <f t="shared" si="148"/>
        <v/>
      </c>
      <c r="L1183" s="19" t="str">
        <f t="shared" si="149"/>
        <v/>
      </c>
      <c r="M1183" s="12" t="str">
        <f>IF(A1183="","",IFERROR(INDEX(المدخلات!$M$4:$M$15,MATCH(A1183,المدخلات!$L$4:$L$15,0)),""))</f>
        <v/>
      </c>
      <c r="N1183" s="4" t="str">
        <f t="shared" si="150"/>
        <v/>
      </c>
      <c r="O1183" s="4" t="str">
        <f t="shared" si="151"/>
        <v/>
      </c>
    </row>
    <row r="1184" spans="1:15">
      <c r="A1184" s="11"/>
      <c r="B1184" s="19"/>
      <c r="C1184" s="19"/>
      <c r="D1184" s="55"/>
      <c r="E1184" s="56"/>
      <c r="F1184" s="19"/>
      <c r="G1184" s="4" t="str">
        <f t="shared" si="144"/>
        <v/>
      </c>
      <c r="H1184" s="11" t="str">
        <f t="shared" si="145"/>
        <v/>
      </c>
      <c r="I1184" s="55" t="str">
        <f t="shared" si="146"/>
        <v/>
      </c>
      <c r="J1184" s="55" t="str">
        <f t="shared" si="147"/>
        <v/>
      </c>
      <c r="K1184" s="4" t="str">
        <f t="shared" si="148"/>
        <v/>
      </c>
      <c r="L1184" s="19" t="str">
        <f t="shared" si="149"/>
        <v/>
      </c>
      <c r="M1184" s="12" t="str">
        <f>IF(A1184="","",IFERROR(INDEX(المدخلات!$M$4:$M$15,MATCH(A1184,المدخلات!$L$4:$L$15,0)),""))</f>
        <v/>
      </c>
      <c r="N1184" s="4" t="str">
        <f t="shared" si="150"/>
        <v/>
      </c>
      <c r="O1184" s="4" t="str">
        <f t="shared" si="151"/>
        <v/>
      </c>
    </row>
    <row r="1185" spans="1:15">
      <c r="A1185" s="11"/>
      <c r="B1185" s="19"/>
      <c r="C1185" s="19"/>
      <c r="D1185" s="55"/>
      <c r="E1185" s="56"/>
      <c r="F1185" s="19"/>
      <c r="G1185" s="4" t="str">
        <f t="shared" si="144"/>
        <v/>
      </c>
      <c r="H1185" s="11" t="str">
        <f t="shared" si="145"/>
        <v/>
      </c>
      <c r="I1185" s="55" t="str">
        <f t="shared" si="146"/>
        <v/>
      </c>
      <c r="J1185" s="55" t="str">
        <f t="shared" si="147"/>
        <v/>
      </c>
      <c r="K1185" s="4" t="str">
        <f t="shared" si="148"/>
        <v/>
      </c>
      <c r="L1185" s="19" t="str">
        <f t="shared" si="149"/>
        <v/>
      </c>
      <c r="M1185" s="12" t="str">
        <f>IF(A1185="","",IFERROR(INDEX(المدخلات!$M$4:$M$15,MATCH(A1185,المدخلات!$L$4:$L$15,0)),""))</f>
        <v/>
      </c>
      <c r="N1185" s="4" t="str">
        <f t="shared" si="150"/>
        <v/>
      </c>
      <c r="O1185" s="4" t="str">
        <f t="shared" si="151"/>
        <v/>
      </c>
    </row>
    <row r="1186" spans="1:15">
      <c r="A1186" s="11"/>
      <c r="B1186" s="19"/>
      <c r="C1186" s="19"/>
      <c r="D1186" s="55"/>
      <c r="E1186" s="56"/>
      <c r="F1186" s="19"/>
      <c r="G1186" s="4" t="str">
        <f t="shared" si="144"/>
        <v/>
      </c>
      <c r="H1186" s="11" t="str">
        <f t="shared" si="145"/>
        <v/>
      </c>
      <c r="I1186" s="55" t="str">
        <f t="shared" si="146"/>
        <v/>
      </c>
      <c r="J1186" s="55" t="str">
        <f t="shared" si="147"/>
        <v/>
      </c>
      <c r="K1186" s="4" t="str">
        <f t="shared" si="148"/>
        <v/>
      </c>
      <c r="L1186" s="19" t="str">
        <f t="shared" si="149"/>
        <v/>
      </c>
      <c r="M1186" s="12" t="str">
        <f>IF(A1186="","",IFERROR(INDEX(المدخلات!$M$4:$M$15,MATCH(A1186,المدخلات!$L$4:$L$15,0)),""))</f>
        <v/>
      </c>
      <c r="N1186" s="4" t="str">
        <f t="shared" si="150"/>
        <v/>
      </c>
      <c r="O1186" s="4" t="str">
        <f t="shared" si="151"/>
        <v/>
      </c>
    </row>
    <row r="1187" spans="1:15">
      <c r="A1187" s="11"/>
      <c r="B1187" s="19"/>
      <c r="C1187" s="19"/>
      <c r="D1187" s="55"/>
      <c r="E1187" s="56"/>
      <c r="F1187" s="19"/>
      <c r="G1187" s="4" t="str">
        <f t="shared" si="144"/>
        <v/>
      </c>
      <c r="H1187" s="11" t="str">
        <f t="shared" si="145"/>
        <v/>
      </c>
      <c r="I1187" s="55" t="str">
        <f t="shared" si="146"/>
        <v/>
      </c>
      <c r="J1187" s="55" t="str">
        <f t="shared" si="147"/>
        <v/>
      </c>
      <c r="K1187" s="4" t="str">
        <f t="shared" si="148"/>
        <v/>
      </c>
      <c r="L1187" s="19" t="str">
        <f t="shared" si="149"/>
        <v/>
      </c>
      <c r="M1187" s="12" t="str">
        <f>IF(A1187="","",IFERROR(INDEX(المدخلات!$M$4:$M$15,MATCH(A1187,المدخلات!$L$4:$L$15,0)),""))</f>
        <v/>
      </c>
      <c r="N1187" s="4" t="str">
        <f t="shared" si="150"/>
        <v/>
      </c>
      <c r="O1187" s="4" t="str">
        <f t="shared" si="151"/>
        <v/>
      </c>
    </row>
    <row r="1188" spans="1:15">
      <c r="A1188" s="11"/>
      <c r="B1188" s="19"/>
      <c r="C1188" s="19"/>
      <c r="D1188" s="55"/>
      <c r="E1188" s="56"/>
      <c r="F1188" s="19"/>
      <c r="G1188" s="4" t="str">
        <f t="shared" si="144"/>
        <v/>
      </c>
      <c r="H1188" s="11" t="str">
        <f t="shared" si="145"/>
        <v/>
      </c>
      <c r="I1188" s="55" t="str">
        <f t="shared" si="146"/>
        <v/>
      </c>
      <c r="J1188" s="55" t="str">
        <f t="shared" si="147"/>
        <v/>
      </c>
      <c r="K1188" s="4" t="str">
        <f t="shared" si="148"/>
        <v/>
      </c>
      <c r="L1188" s="19" t="str">
        <f t="shared" si="149"/>
        <v/>
      </c>
      <c r="M1188" s="12" t="str">
        <f>IF(A1188="","",IFERROR(INDEX(المدخلات!$M$4:$M$15,MATCH(A1188,المدخلات!$L$4:$L$15,0)),""))</f>
        <v/>
      </c>
      <c r="N1188" s="4" t="str">
        <f t="shared" si="150"/>
        <v/>
      </c>
      <c r="O1188" s="4" t="str">
        <f t="shared" si="151"/>
        <v/>
      </c>
    </row>
    <row r="1189" spans="1:15">
      <c r="A1189" s="11"/>
      <c r="B1189" s="19"/>
      <c r="C1189" s="19"/>
      <c r="D1189" s="55"/>
      <c r="E1189" s="56"/>
      <c r="F1189" s="19"/>
      <c r="G1189" s="4" t="str">
        <f t="shared" si="144"/>
        <v/>
      </c>
      <c r="H1189" s="11" t="str">
        <f t="shared" si="145"/>
        <v/>
      </c>
      <c r="I1189" s="55" t="str">
        <f t="shared" si="146"/>
        <v/>
      </c>
      <c r="J1189" s="55" t="str">
        <f t="shared" si="147"/>
        <v/>
      </c>
      <c r="K1189" s="4" t="str">
        <f t="shared" si="148"/>
        <v/>
      </c>
      <c r="L1189" s="19" t="str">
        <f t="shared" si="149"/>
        <v/>
      </c>
      <c r="M1189" s="12" t="str">
        <f>IF(A1189="","",IFERROR(INDEX(المدخلات!$M$4:$M$15,MATCH(A1189,المدخلات!$L$4:$L$15,0)),""))</f>
        <v/>
      </c>
      <c r="N1189" s="4" t="str">
        <f t="shared" si="150"/>
        <v/>
      </c>
      <c r="O1189" s="4" t="str">
        <f t="shared" si="151"/>
        <v/>
      </c>
    </row>
    <row r="1190" spans="1:15">
      <c r="A1190" s="11"/>
      <c r="B1190" s="19"/>
      <c r="C1190" s="19"/>
      <c r="D1190" s="55"/>
      <c r="E1190" s="56"/>
      <c r="F1190" s="19"/>
      <c r="G1190" s="4" t="str">
        <f t="shared" si="144"/>
        <v/>
      </c>
      <c r="H1190" s="11" t="str">
        <f t="shared" si="145"/>
        <v/>
      </c>
      <c r="I1190" s="55" t="str">
        <f t="shared" si="146"/>
        <v/>
      </c>
      <c r="J1190" s="55" t="str">
        <f t="shared" si="147"/>
        <v/>
      </c>
      <c r="K1190" s="4" t="str">
        <f t="shared" si="148"/>
        <v/>
      </c>
      <c r="L1190" s="19" t="str">
        <f t="shared" si="149"/>
        <v/>
      </c>
      <c r="M1190" s="12" t="str">
        <f>IF(A1190="","",IFERROR(INDEX(المدخلات!$M$4:$M$15,MATCH(A1190,المدخلات!$L$4:$L$15,0)),""))</f>
        <v/>
      </c>
      <c r="N1190" s="4" t="str">
        <f t="shared" si="150"/>
        <v/>
      </c>
      <c r="O1190" s="4" t="str">
        <f t="shared" si="151"/>
        <v/>
      </c>
    </row>
    <row r="1191" spans="1:15">
      <c r="A1191" s="11"/>
      <c r="B1191" s="19"/>
      <c r="C1191" s="19"/>
      <c r="D1191" s="55"/>
      <c r="E1191" s="56"/>
      <c r="F1191" s="19"/>
      <c r="G1191" s="4" t="str">
        <f t="shared" si="144"/>
        <v/>
      </c>
      <c r="H1191" s="11" t="str">
        <f t="shared" si="145"/>
        <v/>
      </c>
      <c r="I1191" s="55" t="str">
        <f t="shared" si="146"/>
        <v/>
      </c>
      <c r="J1191" s="55" t="str">
        <f t="shared" si="147"/>
        <v/>
      </c>
      <c r="K1191" s="4" t="str">
        <f t="shared" si="148"/>
        <v/>
      </c>
      <c r="L1191" s="19" t="str">
        <f t="shared" si="149"/>
        <v/>
      </c>
      <c r="M1191" s="12" t="str">
        <f>IF(A1191="","",IFERROR(INDEX(المدخلات!$M$4:$M$15,MATCH(A1191,المدخلات!$L$4:$L$15,0)),""))</f>
        <v/>
      </c>
      <c r="N1191" s="4" t="str">
        <f t="shared" si="150"/>
        <v/>
      </c>
      <c r="O1191" s="4" t="str">
        <f t="shared" si="151"/>
        <v/>
      </c>
    </row>
    <row r="1192" spans="1:15">
      <c r="A1192" s="11"/>
      <c r="B1192" s="19"/>
      <c r="C1192" s="19"/>
      <c r="D1192" s="55"/>
      <c r="E1192" s="56"/>
      <c r="F1192" s="19"/>
      <c r="G1192" s="4" t="str">
        <f t="shared" si="144"/>
        <v/>
      </c>
      <c r="H1192" s="11" t="str">
        <f t="shared" si="145"/>
        <v/>
      </c>
      <c r="I1192" s="55" t="str">
        <f t="shared" si="146"/>
        <v/>
      </c>
      <c r="J1192" s="55" t="str">
        <f t="shared" si="147"/>
        <v/>
      </c>
      <c r="K1192" s="4" t="str">
        <f t="shared" si="148"/>
        <v/>
      </c>
      <c r="L1192" s="19" t="str">
        <f t="shared" si="149"/>
        <v/>
      </c>
      <c r="M1192" s="12" t="str">
        <f>IF(A1192="","",IFERROR(INDEX(المدخلات!$M$4:$M$15,MATCH(A1192,المدخلات!$L$4:$L$15,0)),""))</f>
        <v/>
      </c>
      <c r="N1192" s="4" t="str">
        <f t="shared" si="150"/>
        <v/>
      </c>
      <c r="O1192" s="4" t="str">
        <f t="shared" si="151"/>
        <v/>
      </c>
    </row>
    <row r="1193" spans="1:15">
      <c r="A1193" s="11"/>
      <c r="B1193" s="19"/>
      <c r="C1193" s="19"/>
      <c r="D1193" s="55"/>
      <c r="E1193" s="56"/>
      <c r="F1193" s="19"/>
      <c r="G1193" s="4" t="str">
        <f t="shared" si="144"/>
        <v/>
      </c>
      <c r="H1193" s="11" t="str">
        <f t="shared" si="145"/>
        <v/>
      </c>
      <c r="I1193" s="55" t="str">
        <f t="shared" si="146"/>
        <v/>
      </c>
      <c r="J1193" s="55" t="str">
        <f t="shared" si="147"/>
        <v/>
      </c>
      <c r="K1193" s="4" t="str">
        <f t="shared" si="148"/>
        <v/>
      </c>
      <c r="L1193" s="19" t="str">
        <f t="shared" si="149"/>
        <v/>
      </c>
      <c r="M1193" s="12" t="str">
        <f>IF(A1193="","",IFERROR(INDEX(المدخلات!$M$4:$M$15,MATCH(A1193,المدخلات!$L$4:$L$15,0)),""))</f>
        <v/>
      </c>
      <c r="N1193" s="4" t="str">
        <f t="shared" si="150"/>
        <v/>
      </c>
      <c r="O1193" s="4" t="str">
        <f t="shared" si="151"/>
        <v/>
      </c>
    </row>
    <row r="1194" spans="1:15">
      <c r="A1194" s="11"/>
      <c r="B1194" s="19"/>
      <c r="C1194" s="19"/>
      <c r="D1194" s="55"/>
      <c r="E1194" s="56"/>
      <c r="F1194" s="19"/>
      <c r="G1194" s="4" t="str">
        <f t="shared" si="144"/>
        <v/>
      </c>
      <c r="H1194" s="11" t="str">
        <f t="shared" si="145"/>
        <v/>
      </c>
      <c r="I1194" s="55" t="str">
        <f t="shared" si="146"/>
        <v/>
      </c>
      <c r="J1194" s="55" t="str">
        <f t="shared" si="147"/>
        <v/>
      </c>
      <c r="K1194" s="4" t="str">
        <f t="shared" si="148"/>
        <v/>
      </c>
      <c r="L1194" s="19" t="str">
        <f t="shared" si="149"/>
        <v/>
      </c>
      <c r="M1194" s="12" t="str">
        <f>IF(A1194="","",IFERROR(INDEX(المدخلات!$M$4:$M$15,MATCH(A1194,المدخلات!$L$4:$L$15,0)),""))</f>
        <v/>
      </c>
      <c r="N1194" s="4" t="str">
        <f t="shared" si="150"/>
        <v/>
      </c>
      <c r="O1194" s="4" t="str">
        <f t="shared" si="151"/>
        <v/>
      </c>
    </row>
    <row r="1195" spans="1:15">
      <c r="A1195" s="11"/>
      <c r="B1195" s="19"/>
      <c r="C1195" s="19"/>
      <c r="D1195" s="55"/>
      <c r="E1195" s="56"/>
      <c r="F1195" s="19"/>
      <c r="G1195" s="4" t="str">
        <f t="shared" si="144"/>
        <v/>
      </c>
      <c r="H1195" s="11" t="str">
        <f t="shared" si="145"/>
        <v/>
      </c>
      <c r="I1195" s="55" t="str">
        <f t="shared" si="146"/>
        <v/>
      </c>
      <c r="J1195" s="55" t="str">
        <f t="shared" si="147"/>
        <v/>
      </c>
      <c r="K1195" s="4" t="str">
        <f t="shared" si="148"/>
        <v/>
      </c>
      <c r="L1195" s="19" t="str">
        <f t="shared" si="149"/>
        <v/>
      </c>
      <c r="M1195" s="12" t="str">
        <f>IF(A1195="","",IFERROR(INDEX(المدخلات!$M$4:$M$15,MATCH(A1195,المدخلات!$L$4:$L$15,0)),""))</f>
        <v/>
      </c>
      <c r="N1195" s="4" t="str">
        <f t="shared" si="150"/>
        <v/>
      </c>
      <c r="O1195" s="4" t="str">
        <f t="shared" si="151"/>
        <v/>
      </c>
    </row>
    <row r="1196" spans="1:15">
      <c r="A1196" s="11"/>
      <c r="B1196" s="19"/>
      <c r="C1196" s="19"/>
      <c r="D1196" s="55"/>
      <c r="E1196" s="56"/>
      <c r="F1196" s="19"/>
      <c r="G1196" s="4" t="str">
        <f t="shared" si="144"/>
        <v/>
      </c>
      <c r="H1196" s="11" t="str">
        <f t="shared" si="145"/>
        <v/>
      </c>
      <c r="I1196" s="55" t="str">
        <f t="shared" si="146"/>
        <v/>
      </c>
      <c r="J1196" s="55" t="str">
        <f t="shared" si="147"/>
        <v/>
      </c>
      <c r="K1196" s="4" t="str">
        <f t="shared" si="148"/>
        <v/>
      </c>
      <c r="L1196" s="19" t="str">
        <f t="shared" si="149"/>
        <v/>
      </c>
      <c r="M1196" s="12" t="str">
        <f>IF(A1196="","",IFERROR(INDEX(المدخلات!$M$4:$M$15,MATCH(A1196,المدخلات!$L$4:$L$15,0)),""))</f>
        <v/>
      </c>
      <c r="N1196" s="4" t="str">
        <f t="shared" si="150"/>
        <v/>
      </c>
      <c r="O1196" s="4" t="str">
        <f t="shared" si="151"/>
        <v/>
      </c>
    </row>
    <row r="1197" spans="1:15">
      <c r="A1197" s="11"/>
      <c r="B1197" s="19"/>
      <c r="C1197" s="19"/>
      <c r="D1197" s="55"/>
      <c r="E1197" s="56"/>
      <c r="F1197" s="19"/>
      <c r="G1197" s="4" t="str">
        <f t="shared" si="144"/>
        <v/>
      </c>
      <c r="H1197" s="11" t="str">
        <f t="shared" si="145"/>
        <v/>
      </c>
      <c r="I1197" s="55" t="str">
        <f t="shared" si="146"/>
        <v/>
      </c>
      <c r="J1197" s="55" t="str">
        <f t="shared" si="147"/>
        <v/>
      </c>
      <c r="K1197" s="4" t="str">
        <f t="shared" si="148"/>
        <v/>
      </c>
      <c r="L1197" s="19" t="str">
        <f t="shared" si="149"/>
        <v/>
      </c>
      <c r="M1197" s="12" t="str">
        <f>IF(A1197="","",IFERROR(INDEX(المدخلات!$M$4:$M$15,MATCH(A1197,المدخلات!$L$4:$L$15,0)),""))</f>
        <v/>
      </c>
      <c r="N1197" s="4" t="str">
        <f t="shared" si="150"/>
        <v/>
      </c>
      <c r="O1197" s="4" t="str">
        <f t="shared" si="151"/>
        <v/>
      </c>
    </row>
    <row r="1198" spans="1:15">
      <c r="A1198" s="11"/>
      <c r="B1198" s="19"/>
      <c r="C1198" s="19"/>
      <c r="D1198" s="55"/>
      <c r="E1198" s="56"/>
      <c r="F1198" s="19"/>
      <c r="G1198" s="4" t="str">
        <f t="shared" si="144"/>
        <v/>
      </c>
      <c r="H1198" s="11" t="str">
        <f t="shared" si="145"/>
        <v/>
      </c>
      <c r="I1198" s="55" t="str">
        <f t="shared" si="146"/>
        <v/>
      </c>
      <c r="J1198" s="55" t="str">
        <f t="shared" si="147"/>
        <v/>
      </c>
      <c r="K1198" s="4" t="str">
        <f t="shared" si="148"/>
        <v/>
      </c>
      <c r="L1198" s="19" t="str">
        <f t="shared" si="149"/>
        <v/>
      </c>
      <c r="M1198" s="12" t="str">
        <f>IF(A1198="","",IFERROR(INDEX(المدخلات!$M$4:$M$15,MATCH(A1198,المدخلات!$L$4:$L$15,0)),""))</f>
        <v/>
      </c>
      <c r="N1198" s="4" t="str">
        <f t="shared" si="150"/>
        <v/>
      </c>
      <c r="O1198" s="4" t="str">
        <f t="shared" si="151"/>
        <v/>
      </c>
    </row>
    <row r="1199" spans="1:15">
      <c r="A1199" s="11"/>
      <c r="B1199" s="19"/>
      <c r="C1199" s="19"/>
      <c r="D1199" s="55"/>
      <c r="E1199" s="56"/>
      <c r="F1199" s="19"/>
      <c r="G1199" s="4" t="str">
        <f t="shared" si="144"/>
        <v/>
      </c>
      <c r="H1199" s="11" t="str">
        <f t="shared" si="145"/>
        <v/>
      </c>
      <c r="I1199" s="55" t="str">
        <f t="shared" si="146"/>
        <v/>
      </c>
      <c r="J1199" s="55" t="str">
        <f t="shared" si="147"/>
        <v/>
      </c>
      <c r="K1199" s="4" t="str">
        <f t="shared" si="148"/>
        <v/>
      </c>
      <c r="L1199" s="19" t="str">
        <f t="shared" si="149"/>
        <v/>
      </c>
      <c r="M1199" s="12" t="str">
        <f>IF(A1199="","",IFERROR(INDEX(المدخلات!$M$4:$M$15,MATCH(A1199,المدخلات!$L$4:$L$15,0)),""))</f>
        <v/>
      </c>
      <c r="N1199" s="4" t="str">
        <f t="shared" si="150"/>
        <v/>
      </c>
      <c r="O1199" s="4" t="str">
        <f t="shared" si="151"/>
        <v/>
      </c>
    </row>
    <row r="1200" spans="1:15">
      <c r="A1200" s="11"/>
      <c r="B1200" s="19"/>
      <c r="C1200" s="19"/>
      <c r="D1200" s="55"/>
      <c r="E1200" s="56"/>
      <c r="F1200" s="19"/>
      <c r="G1200" s="4" t="str">
        <f t="shared" si="144"/>
        <v/>
      </c>
      <c r="H1200" s="11" t="str">
        <f t="shared" si="145"/>
        <v/>
      </c>
      <c r="I1200" s="55" t="str">
        <f t="shared" si="146"/>
        <v/>
      </c>
      <c r="J1200" s="55" t="str">
        <f t="shared" si="147"/>
        <v/>
      </c>
      <c r="K1200" s="4" t="str">
        <f t="shared" si="148"/>
        <v/>
      </c>
      <c r="L1200" s="19" t="str">
        <f t="shared" si="149"/>
        <v/>
      </c>
      <c r="M1200" s="12" t="str">
        <f>IF(A1200="","",IFERROR(INDEX(المدخلات!$M$4:$M$15,MATCH(A1200,المدخلات!$L$4:$L$15,0)),""))</f>
        <v/>
      </c>
      <c r="N1200" s="4" t="str">
        <f t="shared" si="150"/>
        <v/>
      </c>
      <c r="O1200" s="4" t="str">
        <f t="shared" si="151"/>
        <v/>
      </c>
    </row>
    <row r="1201" spans="1:15">
      <c r="A1201" s="11"/>
      <c r="B1201" s="19"/>
      <c r="C1201" s="19"/>
      <c r="D1201" s="55"/>
      <c r="E1201" s="56"/>
      <c r="F1201" s="19"/>
      <c r="G1201" s="4" t="str">
        <f t="shared" si="144"/>
        <v/>
      </c>
      <c r="H1201" s="11" t="str">
        <f t="shared" si="145"/>
        <v/>
      </c>
      <c r="I1201" s="55" t="str">
        <f t="shared" si="146"/>
        <v/>
      </c>
      <c r="J1201" s="55" t="str">
        <f t="shared" si="147"/>
        <v/>
      </c>
      <c r="K1201" s="4" t="str">
        <f t="shared" si="148"/>
        <v/>
      </c>
      <c r="L1201" s="19" t="str">
        <f t="shared" si="149"/>
        <v/>
      </c>
      <c r="M1201" s="12" t="str">
        <f>IF(A1201="","",IFERROR(INDEX(المدخلات!$M$4:$M$15,MATCH(A1201,المدخلات!$L$4:$L$15,0)),""))</f>
        <v/>
      </c>
      <c r="N1201" s="4" t="str">
        <f t="shared" si="150"/>
        <v/>
      </c>
      <c r="O1201" s="4" t="str">
        <f t="shared" si="151"/>
        <v/>
      </c>
    </row>
    <row r="1202" spans="1:15">
      <c r="A1202" s="11"/>
      <c r="B1202" s="19"/>
      <c r="C1202" s="19"/>
      <c r="D1202" s="55"/>
      <c r="E1202" s="56"/>
      <c r="F1202" s="19"/>
      <c r="G1202" s="4" t="str">
        <f t="shared" si="144"/>
        <v/>
      </c>
      <c r="H1202" s="11" t="str">
        <f t="shared" si="145"/>
        <v/>
      </c>
      <c r="I1202" s="55" t="str">
        <f t="shared" si="146"/>
        <v/>
      </c>
      <c r="J1202" s="55" t="str">
        <f t="shared" si="147"/>
        <v/>
      </c>
      <c r="K1202" s="4" t="str">
        <f t="shared" si="148"/>
        <v/>
      </c>
      <c r="L1202" s="19" t="str">
        <f t="shared" si="149"/>
        <v/>
      </c>
      <c r="M1202" s="12" t="str">
        <f>IF(A1202="","",IFERROR(INDEX(المدخلات!$M$4:$M$15,MATCH(A1202,المدخلات!$L$4:$L$15,0)),""))</f>
        <v/>
      </c>
      <c r="N1202" s="4" t="str">
        <f t="shared" si="150"/>
        <v/>
      </c>
      <c r="O1202" s="4" t="str">
        <f t="shared" si="151"/>
        <v/>
      </c>
    </row>
    <row r="1203" spans="1:15">
      <c r="A1203" s="11"/>
      <c r="B1203" s="19"/>
      <c r="C1203" s="19"/>
      <c r="D1203" s="55"/>
      <c r="E1203" s="56"/>
      <c r="F1203" s="19"/>
      <c r="G1203" s="4" t="str">
        <f t="shared" si="144"/>
        <v/>
      </c>
      <c r="H1203" s="11" t="str">
        <f t="shared" si="145"/>
        <v/>
      </c>
      <c r="I1203" s="55" t="str">
        <f t="shared" si="146"/>
        <v/>
      </c>
      <c r="J1203" s="55" t="str">
        <f t="shared" si="147"/>
        <v/>
      </c>
      <c r="K1203" s="4" t="str">
        <f t="shared" si="148"/>
        <v/>
      </c>
      <c r="L1203" s="19" t="str">
        <f t="shared" si="149"/>
        <v/>
      </c>
      <c r="M1203" s="12" t="str">
        <f>IF(A1203="","",IFERROR(INDEX(المدخلات!$M$4:$M$15,MATCH(A1203,المدخلات!$L$4:$L$15,0)),""))</f>
        <v/>
      </c>
      <c r="N1203" s="4" t="str">
        <f t="shared" si="150"/>
        <v/>
      </c>
      <c r="O1203" s="4" t="str">
        <f t="shared" si="151"/>
        <v/>
      </c>
    </row>
    <row r="1204" spans="1:15">
      <c r="A1204" s="11"/>
      <c r="B1204" s="19"/>
      <c r="C1204" s="19"/>
      <c r="D1204" s="55"/>
      <c r="E1204" s="56"/>
      <c r="F1204" s="19"/>
      <c r="G1204" s="4" t="str">
        <f t="shared" si="144"/>
        <v/>
      </c>
      <c r="H1204" s="11" t="str">
        <f t="shared" si="145"/>
        <v/>
      </c>
      <c r="I1204" s="55" t="str">
        <f t="shared" si="146"/>
        <v/>
      </c>
      <c r="J1204" s="55" t="str">
        <f t="shared" si="147"/>
        <v/>
      </c>
      <c r="K1204" s="4" t="str">
        <f t="shared" si="148"/>
        <v/>
      </c>
      <c r="L1204" s="19" t="str">
        <f t="shared" si="149"/>
        <v/>
      </c>
      <c r="M1204" s="12" t="str">
        <f>IF(A1204="","",IFERROR(INDEX(المدخلات!$M$4:$M$15,MATCH(A1204,المدخلات!$L$4:$L$15,0)),""))</f>
        <v/>
      </c>
      <c r="N1204" s="4" t="str">
        <f t="shared" si="150"/>
        <v/>
      </c>
      <c r="O1204" s="4" t="str">
        <f t="shared" si="151"/>
        <v/>
      </c>
    </row>
    <row r="1205" spans="1:15">
      <c r="A1205" s="11"/>
      <c r="B1205" s="19"/>
      <c r="C1205" s="19"/>
      <c r="D1205" s="55"/>
      <c r="E1205" s="56"/>
      <c r="F1205" s="19"/>
      <c r="G1205" s="4" t="str">
        <f t="shared" si="144"/>
        <v/>
      </c>
      <c r="H1205" s="11" t="str">
        <f t="shared" si="145"/>
        <v/>
      </c>
      <c r="I1205" s="55" t="str">
        <f t="shared" si="146"/>
        <v/>
      </c>
      <c r="J1205" s="55" t="str">
        <f t="shared" si="147"/>
        <v/>
      </c>
      <c r="K1205" s="4" t="str">
        <f t="shared" si="148"/>
        <v/>
      </c>
      <c r="L1205" s="19" t="str">
        <f t="shared" si="149"/>
        <v/>
      </c>
      <c r="M1205" s="12" t="str">
        <f>IF(A1205="","",IFERROR(INDEX(المدخلات!$M$4:$M$15,MATCH(A1205,المدخلات!$L$4:$L$15,0)),""))</f>
        <v/>
      </c>
      <c r="N1205" s="4" t="str">
        <f t="shared" si="150"/>
        <v/>
      </c>
      <c r="O1205" s="4" t="str">
        <f t="shared" si="151"/>
        <v/>
      </c>
    </row>
    <row r="1206" spans="1:15">
      <c r="A1206" s="11"/>
      <c r="B1206" s="19"/>
      <c r="C1206" s="19"/>
      <c r="D1206" s="55"/>
      <c r="E1206" s="56"/>
      <c r="F1206" s="19"/>
      <c r="G1206" s="4" t="str">
        <f t="shared" si="144"/>
        <v/>
      </c>
      <c r="H1206" s="11" t="str">
        <f t="shared" si="145"/>
        <v/>
      </c>
      <c r="I1206" s="55" t="str">
        <f t="shared" si="146"/>
        <v/>
      </c>
      <c r="J1206" s="55" t="str">
        <f t="shared" si="147"/>
        <v/>
      </c>
      <c r="K1206" s="4" t="str">
        <f t="shared" si="148"/>
        <v/>
      </c>
      <c r="L1206" s="19" t="str">
        <f t="shared" si="149"/>
        <v/>
      </c>
      <c r="M1206" s="12" t="str">
        <f>IF(A1206="","",IFERROR(INDEX(المدخلات!$M$4:$M$15,MATCH(A1206,المدخلات!$L$4:$L$15,0)),""))</f>
        <v/>
      </c>
      <c r="N1206" s="4" t="str">
        <f t="shared" si="150"/>
        <v/>
      </c>
      <c r="O1206" s="4" t="str">
        <f t="shared" si="151"/>
        <v/>
      </c>
    </row>
    <row r="1207" spans="1:15">
      <c r="A1207" s="11"/>
      <c r="B1207" s="19"/>
      <c r="C1207" s="19"/>
      <c r="D1207" s="55"/>
      <c r="E1207" s="56"/>
      <c r="F1207" s="19"/>
      <c r="G1207" s="4" t="str">
        <f t="shared" si="144"/>
        <v/>
      </c>
      <c r="H1207" s="11" t="str">
        <f t="shared" si="145"/>
        <v/>
      </c>
      <c r="I1207" s="55" t="str">
        <f t="shared" si="146"/>
        <v/>
      </c>
      <c r="J1207" s="55" t="str">
        <f t="shared" si="147"/>
        <v/>
      </c>
      <c r="K1207" s="4" t="str">
        <f t="shared" si="148"/>
        <v/>
      </c>
      <c r="L1207" s="19" t="str">
        <f t="shared" si="149"/>
        <v/>
      </c>
      <c r="M1207" s="12" t="str">
        <f>IF(A1207="","",IFERROR(INDEX(المدخلات!$M$4:$M$15,MATCH(A1207,المدخلات!$L$4:$L$15,0)),""))</f>
        <v/>
      </c>
      <c r="N1207" s="4" t="str">
        <f t="shared" si="150"/>
        <v/>
      </c>
      <c r="O1207" s="4" t="str">
        <f t="shared" si="151"/>
        <v/>
      </c>
    </row>
    <row r="1208" spans="1:15">
      <c r="A1208" s="11"/>
      <c r="B1208" s="19"/>
      <c r="C1208" s="19"/>
      <c r="D1208" s="55"/>
      <c r="E1208" s="56"/>
      <c r="F1208" s="19"/>
      <c r="G1208" s="4" t="str">
        <f t="shared" si="144"/>
        <v/>
      </c>
      <c r="H1208" s="11" t="str">
        <f t="shared" si="145"/>
        <v/>
      </c>
      <c r="I1208" s="55" t="str">
        <f t="shared" si="146"/>
        <v/>
      </c>
      <c r="J1208" s="55" t="str">
        <f t="shared" si="147"/>
        <v/>
      </c>
      <c r="K1208" s="4" t="str">
        <f t="shared" si="148"/>
        <v/>
      </c>
      <c r="L1208" s="19" t="str">
        <f t="shared" si="149"/>
        <v/>
      </c>
      <c r="M1208" s="12" t="str">
        <f>IF(A1208="","",IFERROR(INDEX(المدخلات!$M$4:$M$15,MATCH(A1208,المدخلات!$L$4:$L$15,0)),""))</f>
        <v/>
      </c>
      <c r="N1208" s="4" t="str">
        <f t="shared" si="150"/>
        <v/>
      </c>
      <c r="O1208" s="4" t="str">
        <f t="shared" si="151"/>
        <v/>
      </c>
    </row>
    <row r="1209" spans="1:15">
      <c r="A1209" s="11"/>
      <c r="B1209" s="19"/>
      <c r="C1209" s="19"/>
      <c r="D1209" s="55"/>
      <c r="E1209" s="56"/>
      <c r="F1209" s="19"/>
      <c r="G1209" s="4" t="str">
        <f t="shared" si="144"/>
        <v/>
      </c>
      <c r="H1209" s="11" t="str">
        <f t="shared" si="145"/>
        <v/>
      </c>
      <c r="I1209" s="55" t="str">
        <f t="shared" si="146"/>
        <v/>
      </c>
      <c r="J1209" s="55" t="str">
        <f t="shared" si="147"/>
        <v/>
      </c>
      <c r="K1209" s="4" t="str">
        <f t="shared" si="148"/>
        <v/>
      </c>
      <c r="L1209" s="19" t="str">
        <f t="shared" si="149"/>
        <v/>
      </c>
      <c r="M1209" s="12" t="str">
        <f>IF(A1209="","",IFERROR(INDEX(المدخلات!$M$4:$M$15,MATCH(A1209,المدخلات!$L$4:$L$15,0)),""))</f>
        <v/>
      </c>
      <c r="N1209" s="4" t="str">
        <f t="shared" si="150"/>
        <v/>
      </c>
      <c r="O1209" s="4" t="str">
        <f t="shared" si="151"/>
        <v/>
      </c>
    </row>
    <row r="1210" spans="1:15">
      <c r="A1210" s="11"/>
      <c r="B1210" s="19"/>
      <c r="C1210" s="19"/>
      <c r="D1210" s="55"/>
      <c r="E1210" s="56"/>
      <c r="F1210" s="19"/>
      <c r="G1210" s="4" t="str">
        <f t="shared" si="144"/>
        <v/>
      </c>
      <c r="H1210" s="11" t="str">
        <f t="shared" si="145"/>
        <v/>
      </c>
      <c r="I1210" s="55" t="str">
        <f t="shared" si="146"/>
        <v/>
      </c>
      <c r="J1210" s="55" t="str">
        <f t="shared" si="147"/>
        <v/>
      </c>
      <c r="K1210" s="4" t="str">
        <f t="shared" si="148"/>
        <v/>
      </c>
      <c r="L1210" s="19" t="str">
        <f t="shared" si="149"/>
        <v/>
      </c>
      <c r="M1210" s="12" t="str">
        <f>IF(A1210="","",IFERROR(INDEX(المدخلات!$M$4:$M$15,MATCH(A1210,المدخلات!$L$4:$L$15,0)),""))</f>
        <v/>
      </c>
      <c r="N1210" s="4" t="str">
        <f t="shared" si="150"/>
        <v/>
      </c>
      <c r="O1210" s="4" t="str">
        <f t="shared" si="151"/>
        <v/>
      </c>
    </row>
    <row r="1211" spans="1:15">
      <c r="A1211" s="11"/>
      <c r="B1211" s="19"/>
      <c r="C1211" s="19"/>
      <c r="D1211" s="55"/>
      <c r="E1211" s="56"/>
      <c r="F1211" s="19"/>
      <c r="G1211" s="4" t="str">
        <f t="shared" si="144"/>
        <v/>
      </c>
      <c r="H1211" s="11" t="str">
        <f t="shared" si="145"/>
        <v/>
      </c>
      <c r="I1211" s="55" t="str">
        <f t="shared" si="146"/>
        <v/>
      </c>
      <c r="J1211" s="55" t="str">
        <f t="shared" si="147"/>
        <v/>
      </c>
      <c r="K1211" s="4" t="str">
        <f t="shared" si="148"/>
        <v/>
      </c>
      <c r="L1211" s="19" t="str">
        <f t="shared" si="149"/>
        <v/>
      </c>
      <c r="M1211" s="12" t="str">
        <f>IF(A1211="","",IFERROR(INDEX(المدخلات!$M$4:$M$15,MATCH(A1211,المدخلات!$L$4:$L$15,0)),""))</f>
        <v/>
      </c>
      <c r="N1211" s="4" t="str">
        <f t="shared" si="150"/>
        <v/>
      </c>
      <c r="O1211" s="4" t="str">
        <f t="shared" si="151"/>
        <v/>
      </c>
    </row>
    <row r="1212" spans="1:15">
      <c r="A1212" s="11"/>
      <c r="B1212" s="19"/>
      <c r="C1212" s="19"/>
      <c r="D1212" s="55"/>
      <c r="E1212" s="56"/>
      <c r="F1212" s="19"/>
      <c r="G1212" s="4" t="str">
        <f t="shared" si="144"/>
        <v/>
      </c>
      <c r="H1212" s="11" t="str">
        <f t="shared" si="145"/>
        <v/>
      </c>
      <c r="I1212" s="55" t="str">
        <f t="shared" si="146"/>
        <v/>
      </c>
      <c r="J1212" s="55" t="str">
        <f t="shared" si="147"/>
        <v/>
      </c>
      <c r="K1212" s="4" t="str">
        <f t="shared" si="148"/>
        <v/>
      </c>
      <c r="L1212" s="19" t="str">
        <f t="shared" si="149"/>
        <v/>
      </c>
      <c r="M1212" s="12" t="str">
        <f>IF(A1212="","",IFERROR(INDEX(المدخلات!$M$4:$M$15,MATCH(A1212,المدخلات!$L$4:$L$15,0)),""))</f>
        <v/>
      </c>
      <c r="N1212" s="4" t="str">
        <f t="shared" si="150"/>
        <v/>
      </c>
      <c r="O1212" s="4" t="str">
        <f t="shared" si="151"/>
        <v/>
      </c>
    </row>
    <row r="1213" spans="1:15">
      <c r="A1213" s="11"/>
      <c r="B1213" s="19"/>
      <c r="C1213" s="19"/>
      <c r="D1213" s="55"/>
      <c r="E1213" s="56"/>
      <c r="F1213" s="19"/>
      <c r="G1213" s="4" t="str">
        <f t="shared" si="144"/>
        <v/>
      </c>
      <c r="H1213" s="11" t="str">
        <f t="shared" si="145"/>
        <v/>
      </c>
      <c r="I1213" s="55" t="str">
        <f t="shared" si="146"/>
        <v/>
      </c>
      <c r="J1213" s="55" t="str">
        <f t="shared" si="147"/>
        <v/>
      </c>
      <c r="K1213" s="4" t="str">
        <f t="shared" si="148"/>
        <v/>
      </c>
      <c r="L1213" s="19" t="str">
        <f t="shared" si="149"/>
        <v/>
      </c>
      <c r="M1213" s="12" t="str">
        <f>IF(A1213="","",IFERROR(INDEX(المدخلات!$M$4:$M$15,MATCH(A1213,المدخلات!$L$4:$L$15,0)),""))</f>
        <v/>
      </c>
      <c r="N1213" s="4" t="str">
        <f t="shared" si="150"/>
        <v/>
      </c>
      <c r="O1213" s="4" t="str">
        <f t="shared" si="151"/>
        <v/>
      </c>
    </row>
    <row r="1214" spans="1:15">
      <c r="A1214" s="11"/>
      <c r="B1214" s="19"/>
      <c r="C1214" s="19"/>
      <c r="D1214" s="55"/>
      <c r="E1214" s="56"/>
      <c r="F1214" s="19"/>
      <c r="G1214" s="4" t="str">
        <f t="shared" si="144"/>
        <v/>
      </c>
      <c r="H1214" s="11" t="str">
        <f t="shared" si="145"/>
        <v/>
      </c>
      <c r="I1214" s="55" t="str">
        <f t="shared" si="146"/>
        <v/>
      </c>
      <c r="J1214" s="55" t="str">
        <f t="shared" si="147"/>
        <v/>
      </c>
      <c r="K1214" s="4" t="str">
        <f t="shared" si="148"/>
        <v/>
      </c>
      <c r="L1214" s="19" t="str">
        <f t="shared" si="149"/>
        <v/>
      </c>
      <c r="M1214" s="12" t="str">
        <f>IF(A1214="","",IFERROR(INDEX(المدخلات!$M$4:$M$15,MATCH(A1214,المدخلات!$L$4:$L$15,0)),""))</f>
        <v/>
      </c>
      <c r="N1214" s="4" t="str">
        <f t="shared" si="150"/>
        <v/>
      </c>
      <c r="O1214" s="4" t="str">
        <f t="shared" si="151"/>
        <v/>
      </c>
    </row>
    <row r="1215" spans="1:15">
      <c r="A1215" s="11"/>
      <c r="B1215" s="19"/>
      <c r="C1215" s="19"/>
      <c r="D1215" s="55"/>
      <c r="E1215" s="56"/>
      <c r="F1215" s="19"/>
      <c r="G1215" s="4" t="str">
        <f t="shared" si="144"/>
        <v/>
      </c>
      <c r="H1215" s="11" t="str">
        <f t="shared" si="145"/>
        <v/>
      </c>
      <c r="I1215" s="55" t="str">
        <f t="shared" si="146"/>
        <v/>
      </c>
      <c r="J1215" s="55" t="str">
        <f t="shared" si="147"/>
        <v/>
      </c>
      <c r="K1215" s="4" t="str">
        <f t="shared" si="148"/>
        <v/>
      </c>
      <c r="L1215" s="19" t="str">
        <f t="shared" si="149"/>
        <v/>
      </c>
      <c r="M1215" s="12" t="str">
        <f>IF(A1215="","",IFERROR(INDEX(المدخلات!$M$4:$M$15,MATCH(A1215,المدخلات!$L$4:$L$15,0)),""))</f>
        <v/>
      </c>
      <c r="N1215" s="4" t="str">
        <f t="shared" si="150"/>
        <v/>
      </c>
      <c r="O1215" s="4" t="str">
        <f t="shared" si="151"/>
        <v/>
      </c>
    </row>
    <row r="1216" spans="1:15">
      <c r="A1216" s="11"/>
      <c r="B1216" s="19"/>
      <c r="C1216" s="19"/>
      <c r="D1216" s="55"/>
      <c r="E1216" s="56"/>
      <c r="F1216" s="19"/>
      <c r="G1216" s="4" t="str">
        <f t="shared" si="144"/>
        <v/>
      </c>
      <c r="H1216" s="11" t="str">
        <f t="shared" si="145"/>
        <v/>
      </c>
      <c r="I1216" s="55" t="str">
        <f t="shared" si="146"/>
        <v/>
      </c>
      <c r="J1216" s="55" t="str">
        <f t="shared" si="147"/>
        <v/>
      </c>
      <c r="K1216" s="4" t="str">
        <f t="shared" si="148"/>
        <v/>
      </c>
      <c r="L1216" s="19" t="str">
        <f t="shared" si="149"/>
        <v/>
      </c>
      <c r="M1216" s="12" t="str">
        <f>IF(A1216="","",IFERROR(INDEX(المدخلات!$M$4:$M$15,MATCH(A1216,المدخلات!$L$4:$L$15,0)),""))</f>
        <v/>
      </c>
      <c r="N1216" s="4" t="str">
        <f t="shared" si="150"/>
        <v/>
      </c>
      <c r="O1216" s="4" t="str">
        <f t="shared" si="151"/>
        <v/>
      </c>
    </row>
    <row r="1217" spans="1:15">
      <c r="A1217" s="11"/>
      <c r="B1217" s="19"/>
      <c r="C1217" s="19"/>
      <c r="D1217" s="55"/>
      <c r="E1217" s="56"/>
      <c r="F1217" s="19"/>
      <c r="G1217" s="4" t="str">
        <f t="shared" si="144"/>
        <v/>
      </c>
      <c r="H1217" s="11" t="str">
        <f t="shared" si="145"/>
        <v/>
      </c>
      <c r="I1217" s="55" t="str">
        <f t="shared" si="146"/>
        <v/>
      </c>
      <c r="J1217" s="55" t="str">
        <f t="shared" si="147"/>
        <v/>
      </c>
      <c r="K1217" s="4" t="str">
        <f t="shared" si="148"/>
        <v/>
      </c>
      <c r="L1217" s="19" t="str">
        <f t="shared" si="149"/>
        <v/>
      </c>
      <c r="M1217" s="12" t="str">
        <f>IF(A1217="","",IFERROR(INDEX(المدخلات!$M$4:$M$15,MATCH(A1217,المدخلات!$L$4:$L$15,0)),""))</f>
        <v/>
      </c>
      <c r="N1217" s="4" t="str">
        <f t="shared" si="150"/>
        <v/>
      </c>
      <c r="O1217" s="4" t="str">
        <f t="shared" si="151"/>
        <v/>
      </c>
    </row>
    <row r="1218" spans="1:15">
      <c r="A1218" s="11"/>
      <c r="B1218" s="19"/>
      <c r="C1218" s="19"/>
      <c r="D1218" s="55"/>
      <c r="E1218" s="56"/>
      <c r="F1218" s="19"/>
      <c r="G1218" s="4" t="str">
        <f t="shared" si="144"/>
        <v/>
      </c>
      <c r="H1218" s="11" t="str">
        <f t="shared" si="145"/>
        <v/>
      </c>
      <c r="I1218" s="55" t="str">
        <f t="shared" si="146"/>
        <v/>
      </c>
      <c r="J1218" s="55" t="str">
        <f t="shared" si="147"/>
        <v/>
      </c>
      <c r="K1218" s="4" t="str">
        <f t="shared" si="148"/>
        <v/>
      </c>
      <c r="L1218" s="19" t="str">
        <f t="shared" si="149"/>
        <v/>
      </c>
      <c r="M1218" s="12" t="str">
        <f>IF(A1218="","",IFERROR(INDEX(المدخلات!$M$4:$M$15,MATCH(A1218,المدخلات!$L$4:$L$15,0)),""))</f>
        <v/>
      </c>
      <c r="N1218" s="4" t="str">
        <f t="shared" si="150"/>
        <v/>
      </c>
      <c r="O1218" s="4" t="str">
        <f t="shared" si="151"/>
        <v/>
      </c>
    </row>
    <row r="1219" spans="1:15">
      <c r="A1219" s="11"/>
      <c r="B1219" s="19"/>
      <c r="C1219" s="19"/>
      <c r="D1219" s="55"/>
      <c r="E1219" s="56"/>
      <c r="F1219" s="19"/>
      <c r="G1219" s="4" t="str">
        <f t="shared" si="144"/>
        <v/>
      </c>
      <c r="H1219" s="11" t="str">
        <f t="shared" si="145"/>
        <v/>
      </c>
      <c r="I1219" s="55" t="str">
        <f t="shared" si="146"/>
        <v/>
      </c>
      <c r="J1219" s="55" t="str">
        <f t="shared" si="147"/>
        <v/>
      </c>
      <c r="K1219" s="4" t="str">
        <f t="shared" si="148"/>
        <v/>
      </c>
      <c r="L1219" s="19" t="str">
        <f t="shared" si="149"/>
        <v/>
      </c>
      <c r="M1219" s="12" t="str">
        <f>IF(A1219="","",IFERROR(INDEX(المدخلات!$M$4:$M$15,MATCH(A1219,المدخلات!$L$4:$L$15,0)),""))</f>
        <v/>
      </c>
      <c r="N1219" s="4" t="str">
        <f t="shared" si="150"/>
        <v/>
      </c>
      <c r="O1219" s="4" t="str">
        <f t="shared" si="151"/>
        <v/>
      </c>
    </row>
    <row r="1220" spans="1:15">
      <c r="A1220" s="11"/>
      <c r="B1220" s="19"/>
      <c r="C1220" s="19"/>
      <c r="D1220" s="55"/>
      <c r="E1220" s="56"/>
      <c r="F1220" s="19"/>
      <c r="G1220" s="4" t="str">
        <f t="shared" si="144"/>
        <v/>
      </c>
      <c r="H1220" s="11" t="str">
        <f t="shared" si="145"/>
        <v/>
      </c>
      <c r="I1220" s="55" t="str">
        <f t="shared" si="146"/>
        <v/>
      </c>
      <c r="J1220" s="55" t="str">
        <f t="shared" si="147"/>
        <v/>
      </c>
      <c r="K1220" s="4" t="str">
        <f t="shared" si="148"/>
        <v/>
      </c>
      <c r="L1220" s="19" t="str">
        <f t="shared" si="149"/>
        <v/>
      </c>
      <c r="M1220" s="12" t="str">
        <f>IF(A1220="","",IFERROR(INDEX(المدخلات!$M$4:$M$15,MATCH(A1220,المدخلات!$L$4:$L$15,0)),""))</f>
        <v/>
      </c>
      <c r="N1220" s="4" t="str">
        <f t="shared" si="150"/>
        <v/>
      </c>
      <c r="O1220" s="4" t="str">
        <f t="shared" si="151"/>
        <v/>
      </c>
    </row>
    <row r="1221" spans="1:15">
      <c r="A1221" s="11"/>
      <c r="B1221" s="19"/>
      <c r="C1221" s="19"/>
      <c r="D1221" s="55"/>
      <c r="E1221" s="56"/>
      <c r="F1221" s="19"/>
      <c r="G1221" s="4" t="str">
        <f t="shared" ref="G1221:G1284" si="152">IF(OR(D1221="",E1221=""),"",D1221*E1221)</f>
        <v/>
      </c>
      <c r="H1221" s="11" t="str">
        <f t="shared" ref="H1221:H1284" si="153">IF(C1221="","",IFERROR(_xlfn.MAXIFS($A$5:$A$2003,$C$5:$C$2003,C1221,$A$5:$A$2003,"&lt;"&amp;A1221),0))</f>
        <v/>
      </c>
      <c r="I1221" s="55" t="str">
        <f t="shared" ref="I1221:I1284" si="154">IF(OR(H1221="",H1221=0),"",IFERROR(SUMIFS($D$5:$D$2003,$C$5:$C$2003,C1221,$A$5:$A$2003,H1221),""))</f>
        <v/>
      </c>
      <c r="J1221" s="55" t="str">
        <f t="shared" ref="J1221:J1284" si="155">IF(C1221="","",IF(I1221="",0,MAX(I1221-D1221,0)))</f>
        <v/>
      </c>
      <c r="K1221" s="4" t="str">
        <f t="shared" ref="K1221:K1284" si="156">IF(J1221="","",J1221*E1221)</f>
        <v/>
      </c>
      <c r="L1221" s="19" t="str">
        <f t="shared" ref="L1221:L1284" si="157">IF(C1221="","",IF(COUNTIFS($A$5:$A$2003,A1221,$C$5:$C$2003,C1221)&gt;1,"⚠️ مادة مكررة بنفس الشهر",IF(OR(H1221="",H1221=0),"🆕 أول ظهور لهذه المادة",IF(D1221&gt;I1221,"ℹ️ زيادة كمية (شراء/تصحيح) - لا تُحتسب استهلاكاً",IF(D1221=I1221,"➖ لا تغيير","")))))</f>
        <v/>
      </c>
      <c r="M1221" s="12" t="str">
        <f>IF(A1221="","",IFERROR(INDEX(المدخلات!$M$4:$M$15,MATCH(A1221,المدخلات!$L$4:$L$15,0)),""))</f>
        <v/>
      </c>
      <c r="N1221" s="4" t="str">
        <f t="shared" ref="N1221:N1284" si="158">IF(OR(G1221="",F1221=""),"",IF(F1221="دولار أمريكي",IF(M1221="","⚠️ لا يوجد سعر صرف",G1221*M1221),G1221))</f>
        <v/>
      </c>
      <c r="O1221" s="4" t="str">
        <f t="shared" ref="O1221:O1284" si="159">IF(OR(K1221="",F1221=""),"",IF(F1221="دولار أمريكي",IF(M1221="","⚠️ لا يوجد سعر صرف",K1221*M1221),K1221))</f>
        <v/>
      </c>
    </row>
    <row r="1222" spans="1:15">
      <c r="A1222" s="11"/>
      <c r="B1222" s="19"/>
      <c r="C1222" s="19"/>
      <c r="D1222" s="55"/>
      <c r="E1222" s="56"/>
      <c r="F1222" s="19"/>
      <c r="G1222" s="4" t="str">
        <f t="shared" si="152"/>
        <v/>
      </c>
      <c r="H1222" s="11" t="str">
        <f t="shared" si="153"/>
        <v/>
      </c>
      <c r="I1222" s="55" t="str">
        <f t="shared" si="154"/>
        <v/>
      </c>
      <c r="J1222" s="55" t="str">
        <f t="shared" si="155"/>
        <v/>
      </c>
      <c r="K1222" s="4" t="str">
        <f t="shared" si="156"/>
        <v/>
      </c>
      <c r="L1222" s="19" t="str">
        <f t="shared" si="157"/>
        <v/>
      </c>
      <c r="M1222" s="12" t="str">
        <f>IF(A1222="","",IFERROR(INDEX(المدخلات!$M$4:$M$15,MATCH(A1222,المدخلات!$L$4:$L$15,0)),""))</f>
        <v/>
      </c>
      <c r="N1222" s="4" t="str">
        <f t="shared" si="158"/>
        <v/>
      </c>
      <c r="O1222" s="4" t="str">
        <f t="shared" si="159"/>
        <v/>
      </c>
    </row>
    <row r="1223" spans="1:15">
      <c r="A1223" s="11"/>
      <c r="B1223" s="19"/>
      <c r="C1223" s="19"/>
      <c r="D1223" s="55"/>
      <c r="E1223" s="56"/>
      <c r="F1223" s="19"/>
      <c r="G1223" s="4" t="str">
        <f t="shared" si="152"/>
        <v/>
      </c>
      <c r="H1223" s="11" t="str">
        <f t="shared" si="153"/>
        <v/>
      </c>
      <c r="I1223" s="55" t="str">
        <f t="shared" si="154"/>
        <v/>
      </c>
      <c r="J1223" s="55" t="str">
        <f t="shared" si="155"/>
        <v/>
      </c>
      <c r="K1223" s="4" t="str">
        <f t="shared" si="156"/>
        <v/>
      </c>
      <c r="L1223" s="19" t="str">
        <f t="shared" si="157"/>
        <v/>
      </c>
      <c r="M1223" s="12" t="str">
        <f>IF(A1223="","",IFERROR(INDEX(المدخلات!$M$4:$M$15,MATCH(A1223,المدخلات!$L$4:$L$15,0)),""))</f>
        <v/>
      </c>
      <c r="N1223" s="4" t="str">
        <f t="shared" si="158"/>
        <v/>
      </c>
      <c r="O1223" s="4" t="str">
        <f t="shared" si="159"/>
        <v/>
      </c>
    </row>
    <row r="1224" spans="1:15">
      <c r="A1224" s="11"/>
      <c r="B1224" s="19"/>
      <c r="C1224" s="19"/>
      <c r="D1224" s="55"/>
      <c r="E1224" s="56"/>
      <c r="F1224" s="19"/>
      <c r="G1224" s="4" t="str">
        <f t="shared" si="152"/>
        <v/>
      </c>
      <c r="H1224" s="11" t="str">
        <f t="shared" si="153"/>
        <v/>
      </c>
      <c r="I1224" s="55" t="str">
        <f t="shared" si="154"/>
        <v/>
      </c>
      <c r="J1224" s="55" t="str">
        <f t="shared" si="155"/>
        <v/>
      </c>
      <c r="K1224" s="4" t="str">
        <f t="shared" si="156"/>
        <v/>
      </c>
      <c r="L1224" s="19" t="str">
        <f t="shared" si="157"/>
        <v/>
      </c>
      <c r="M1224" s="12" t="str">
        <f>IF(A1224="","",IFERROR(INDEX(المدخلات!$M$4:$M$15,MATCH(A1224,المدخلات!$L$4:$L$15,0)),""))</f>
        <v/>
      </c>
      <c r="N1224" s="4" t="str">
        <f t="shared" si="158"/>
        <v/>
      </c>
      <c r="O1224" s="4" t="str">
        <f t="shared" si="159"/>
        <v/>
      </c>
    </row>
    <row r="1225" spans="1:15">
      <c r="A1225" s="11"/>
      <c r="B1225" s="19"/>
      <c r="C1225" s="19"/>
      <c r="D1225" s="55"/>
      <c r="E1225" s="56"/>
      <c r="F1225" s="19"/>
      <c r="G1225" s="4" t="str">
        <f t="shared" si="152"/>
        <v/>
      </c>
      <c r="H1225" s="11" t="str">
        <f t="shared" si="153"/>
        <v/>
      </c>
      <c r="I1225" s="55" t="str">
        <f t="shared" si="154"/>
        <v/>
      </c>
      <c r="J1225" s="55" t="str">
        <f t="shared" si="155"/>
        <v/>
      </c>
      <c r="K1225" s="4" t="str">
        <f t="shared" si="156"/>
        <v/>
      </c>
      <c r="L1225" s="19" t="str">
        <f t="shared" si="157"/>
        <v/>
      </c>
      <c r="M1225" s="12" t="str">
        <f>IF(A1225="","",IFERROR(INDEX(المدخلات!$M$4:$M$15,MATCH(A1225,المدخلات!$L$4:$L$15,0)),""))</f>
        <v/>
      </c>
      <c r="N1225" s="4" t="str">
        <f t="shared" si="158"/>
        <v/>
      </c>
      <c r="O1225" s="4" t="str">
        <f t="shared" si="159"/>
        <v/>
      </c>
    </row>
    <row r="1226" spans="1:15">
      <c r="A1226" s="11"/>
      <c r="B1226" s="19"/>
      <c r="C1226" s="19"/>
      <c r="D1226" s="55"/>
      <c r="E1226" s="56"/>
      <c r="F1226" s="19"/>
      <c r="G1226" s="4" t="str">
        <f t="shared" si="152"/>
        <v/>
      </c>
      <c r="H1226" s="11" t="str">
        <f t="shared" si="153"/>
        <v/>
      </c>
      <c r="I1226" s="55" t="str">
        <f t="shared" si="154"/>
        <v/>
      </c>
      <c r="J1226" s="55" t="str">
        <f t="shared" si="155"/>
        <v/>
      </c>
      <c r="K1226" s="4" t="str">
        <f t="shared" si="156"/>
        <v/>
      </c>
      <c r="L1226" s="19" t="str">
        <f t="shared" si="157"/>
        <v/>
      </c>
      <c r="M1226" s="12" t="str">
        <f>IF(A1226="","",IFERROR(INDEX(المدخلات!$M$4:$M$15,MATCH(A1226,المدخلات!$L$4:$L$15,0)),""))</f>
        <v/>
      </c>
      <c r="N1226" s="4" t="str">
        <f t="shared" si="158"/>
        <v/>
      </c>
      <c r="O1226" s="4" t="str">
        <f t="shared" si="159"/>
        <v/>
      </c>
    </row>
    <row r="1227" spans="1:15">
      <c r="A1227" s="11"/>
      <c r="B1227" s="19"/>
      <c r="C1227" s="19"/>
      <c r="D1227" s="55"/>
      <c r="E1227" s="56"/>
      <c r="F1227" s="19"/>
      <c r="G1227" s="4" t="str">
        <f t="shared" si="152"/>
        <v/>
      </c>
      <c r="H1227" s="11" t="str">
        <f t="shared" si="153"/>
        <v/>
      </c>
      <c r="I1227" s="55" t="str">
        <f t="shared" si="154"/>
        <v/>
      </c>
      <c r="J1227" s="55" t="str">
        <f t="shared" si="155"/>
        <v/>
      </c>
      <c r="K1227" s="4" t="str">
        <f t="shared" si="156"/>
        <v/>
      </c>
      <c r="L1227" s="19" t="str">
        <f t="shared" si="157"/>
        <v/>
      </c>
      <c r="M1227" s="12" t="str">
        <f>IF(A1227="","",IFERROR(INDEX(المدخلات!$M$4:$M$15,MATCH(A1227,المدخلات!$L$4:$L$15,0)),""))</f>
        <v/>
      </c>
      <c r="N1227" s="4" t="str">
        <f t="shared" si="158"/>
        <v/>
      </c>
      <c r="O1227" s="4" t="str">
        <f t="shared" si="159"/>
        <v/>
      </c>
    </row>
    <row r="1228" spans="1:15">
      <c r="A1228" s="11"/>
      <c r="B1228" s="19"/>
      <c r="C1228" s="19"/>
      <c r="D1228" s="55"/>
      <c r="E1228" s="56"/>
      <c r="F1228" s="19"/>
      <c r="G1228" s="4" t="str">
        <f t="shared" si="152"/>
        <v/>
      </c>
      <c r="H1228" s="11" t="str">
        <f t="shared" si="153"/>
        <v/>
      </c>
      <c r="I1228" s="55" t="str">
        <f t="shared" si="154"/>
        <v/>
      </c>
      <c r="J1228" s="55" t="str">
        <f t="shared" si="155"/>
        <v/>
      </c>
      <c r="K1228" s="4" t="str">
        <f t="shared" si="156"/>
        <v/>
      </c>
      <c r="L1228" s="19" t="str">
        <f t="shared" si="157"/>
        <v/>
      </c>
      <c r="M1228" s="12" t="str">
        <f>IF(A1228="","",IFERROR(INDEX(المدخلات!$M$4:$M$15,MATCH(A1228,المدخلات!$L$4:$L$15,0)),""))</f>
        <v/>
      </c>
      <c r="N1228" s="4" t="str">
        <f t="shared" si="158"/>
        <v/>
      </c>
      <c r="O1228" s="4" t="str">
        <f t="shared" si="159"/>
        <v/>
      </c>
    </row>
    <row r="1229" spans="1:15">
      <c r="A1229" s="11"/>
      <c r="B1229" s="19"/>
      <c r="C1229" s="19"/>
      <c r="D1229" s="55"/>
      <c r="E1229" s="56"/>
      <c r="F1229" s="19"/>
      <c r="G1229" s="4" t="str">
        <f t="shared" si="152"/>
        <v/>
      </c>
      <c r="H1229" s="11" t="str">
        <f t="shared" si="153"/>
        <v/>
      </c>
      <c r="I1229" s="55" t="str">
        <f t="shared" si="154"/>
        <v/>
      </c>
      <c r="J1229" s="55" t="str">
        <f t="shared" si="155"/>
        <v/>
      </c>
      <c r="K1229" s="4" t="str">
        <f t="shared" si="156"/>
        <v/>
      </c>
      <c r="L1229" s="19" t="str">
        <f t="shared" si="157"/>
        <v/>
      </c>
      <c r="M1229" s="12" t="str">
        <f>IF(A1229="","",IFERROR(INDEX(المدخلات!$M$4:$M$15,MATCH(A1229,المدخلات!$L$4:$L$15,0)),""))</f>
        <v/>
      </c>
      <c r="N1229" s="4" t="str">
        <f t="shared" si="158"/>
        <v/>
      </c>
      <c r="O1229" s="4" t="str">
        <f t="shared" si="159"/>
        <v/>
      </c>
    </row>
    <row r="1230" spans="1:15">
      <c r="A1230" s="11"/>
      <c r="B1230" s="19"/>
      <c r="C1230" s="19"/>
      <c r="D1230" s="55"/>
      <c r="E1230" s="56"/>
      <c r="F1230" s="19"/>
      <c r="G1230" s="4" t="str">
        <f t="shared" si="152"/>
        <v/>
      </c>
      <c r="H1230" s="11" t="str">
        <f t="shared" si="153"/>
        <v/>
      </c>
      <c r="I1230" s="55" t="str">
        <f t="shared" si="154"/>
        <v/>
      </c>
      <c r="J1230" s="55" t="str">
        <f t="shared" si="155"/>
        <v/>
      </c>
      <c r="K1230" s="4" t="str">
        <f t="shared" si="156"/>
        <v/>
      </c>
      <c r="L1230" s="19" t="str">
        <f t="shared" si="157"/>
        <v/>
      </c>
      <c r="M1230" s="12" t="str">
        <f>IF(A1230="","",IFERROR(INDEX(المدخلات!$M$4:$M$15,MATCH(A1230,المدخلات!$L$4:$L$15,0)),""))</f>
        <v/>
      </c>
      <c r="N1230" s="4" t="str">
        <f t="shared" si="158"/>
        <v/>
      </c>
      <c r="O1230" s="4" t="str">
        <f t="shared" si="159"/>
        <v/>
      </c>
    </row>
    <row r="1231" spans="1:15">
      <c r="A1231" s="11"/>
      <c r="B1231" s="19"/>
      <c r="C1231" s="19"/>
      <c r="D1231" s="55"/>
      <c r="E1231" s="56"/>
      <c r="F1231" s="19"/>
      <c r="G1231" s="4" t="str">
        <f t="shared" si="152"/>
        <v/>
      </c>
      <c r="H1231" s="11" t="str">
        <f t="shared" si="153"/>
        <v/>
      </c>
      <c r="I1231" s="55" t="str">
        <f t="shared" si="154"/>
        <v/>
      </c>
      <c r="J1231" s="55" t="str">
        <f t="shared" si="155"/>
        <v/>
      </c>
      <c r="K1231" s="4" t="str">
        <f t="shared" si="156"/>
        <v/>
      </c>
      <c r="L1231" s="19" t="str">
        <f t="shared" si="157"/>
        <v/>
      </c>
      <c r="M1231" s="12" t="str">
        <f>IF(A1231="","",IFERROR(INDEX(المدخلات!$M$4:$M$15,MATCH(A1231,المدخلات!$L$4:$L$15,0)),""))</f>
        <v/>
      </c>
      <c r="N1231" s="4" t="str">
        <f t="shared" si="158"/>
        <v/>
      </c>
      <c r="O1231" s="4" t="str">
        <f t="shared" si="159"/>
        <v/>
      </c>
    </row>
    <row r="1232" spans="1:15">
      <c r="A1232" s="11"/>
      <c r="B1232" s="19"/>
      <c r="C1232" s="19"/>
      <c r="D1232" s="55"/>
      <c r="E1232" s="56"/>
      <c r="F1232" s="19"/>
      <c r="G1232" s="4" t="str">
        <f t="shared" si="152"/>
        <v/>
      </c>
      <c r="H1232" s="11" t="str">
        <f t="shared" si="153"/>
        <v/>
      </c>
      <c r="I1232" s="55" t="str">
        <f t="shared" si="154"/>
        <v/>
      </c>
      <c r="J1232" s="55" t="str">
        <f t="shared" si="155"/>
        <v/>
      </c>
      <c r="K1232" s="4" t="str">
        <f t="shared" si="156"/>
        <v/>
      </c>
      <c r="L1232" s="19" t="str">
        <f t="shared" si="157"/>
        <v/>
      </c>
      <c r="M1232" s="12" t="str">
        <f>IF(A1232="","",IFERROR(INDEX(المدخلات!$M$4:$M$15,MATCH(A1232,المدخلات!$L$4:$L$15,0)),""))</f>
        <v/>
      </c>
      <c r="N1232" s="4" t="str">
        <f t="shared" si="158"/>
        <v/>
      </c>
      <c r="O1232" s="4" t="str">
        <f t="shared" si="159"/>
        <v/>
      </c>
    </row>
    <row r="1233" spans="1:15">
      <c r="A1233" s="11"/>
      <c r="B1233" s="19"/>
      <c r="C1233" s="19"/>
      <c r="D1233" s="55"/>
      <c r="E1233" s="56"/>
      <c r="F1233" s="19"/>
      <c r="G1233" s="4" t="str">
        <f t="shared" si="152"/>
        <v/>
      </c>
      <c r="H1233" s="11" t="str">
        <f t="shared" si="153"/>
        <v/>
      </c>
      <c r="I1233" s="55" t="str">
        <f t="shared" si="154"/>
        <v/>
      </c>
      <c r="J1233" s="55" t="str">
        <f t="shared" si="155"/>
        <v/>
      </c>
      <c r="K1233" s="4" t="str">
        <f t="shared" si="156"/>
        <v/>
      </c>
      <c r="L1233" s="19" t="str">
        <f t="shared" si="157"/>
        <v/>
      </c>
      <c r="M1233" s="12" t="str">
        <f>IF(A1233="","",IFERROR(INDEX(المدخلات!$M$4:$M$15,MATCH(A1233,المدخلات!$L$4:$L$15,0)),""))</f>
        <v/>
      </c>
      <c r="N1233" s="4" t="str">
        <f t="shared" si="158"/>
        <v/>
      </c>
      <c r="O1233" s="4" t="str">
        <f t="shared" si="159"/>
        <v/>
      </c>
    </row>
    <row r="1234" spans="1:15">
      <c r="A1234" s="11"/>
      <c r="B1234" s="19"/>
      <c r="C1234" s="19"/>
      <c r="D1234" s="55"/>
      <c r="E1234" s="56"/>
      <c r="F1234" s="19"/>
      <c r="G1234" s="4" t="str">
        <f t="shared" si="152"/>
        <v/>
      </c>
      <c r="H1234" s="11" t="str">
        <f t="shared" si="153"/>
        <v/>
      </c>
      <c r="I1234" s="55" t="str">
        <f t="shared" si="154"/>
        <v/>
      </c>
      <c r="J1234" s="55" t="str">
        <f t="shared" si="155"/>
        <v/>
      </c>
      <c r="K1234" s="4" t="str">
        <f t="shared" si="156"/>
        <v/>
      </c>
      <c r="L1234" s="19" t="str">
        <f t="shared" si="157"/>
        <v/>
      </c>
      <c r="M1234" s="12" t="str">
        <f>IF(A1234="","",IFERROR(INDEX(المدخلات!$M$4:$M$15,MATCH(A1234,المدخلات!$L$4:$L$15,0)),""))</f>
        <v/>
      </c>
      <c r="N1234" s="4" t="str">
        <f t="shared" si="158"/>
        <v/>
      </c>
      <c r="O1234" s="4" t="str">
        <f t="shared" si="159"/>
        <v/>
      </c>
    </row>
    <row r="1235" spans="1:15">
      <c r="A1235" s="11"/>
      <c r="B1235" s="19"/>
      <c r="C1235" s="19"/>
      <c r="D1235" s="55"/>
      <c r="E1235" s="56"/>
      <c r="F1235" s="19"/>
      <c r="G1235" s="4" t="str">
        <f t="shared" si="152"/>
        <v/>
      </c>
      <c r="H1235" s="11" t="str">
        <f t="shared" si="153"/>
        <v/>
      </c>
      <c r="I1235" s="55" t="str">
        <f t="shared" si="154"/>
        <v/>
      </c>
      <c r="J1235" s="55" t="str">
        <f t="shared" si="155"/>
        <v/>
      </c>
      <c r="K1235" s="4" t="str">
        <f t="shared" si="156"/>
        <v/>
      </c>
      <c r="L1235" s="19" t="str">
        <f t="shared" si="157"/>
        <v/>
      </c>
      <c r="M1235" s="12" t="str">
        <f>IF(A1235="","",IFERROR(INDEX(المدخلات!$M$4:$M$15,MATCH(A1235,المدخلات!$L$4:$L$15,0)),""))</f>
        <v/>
      </c>
      <c r="N1235" s="4" t="str">
        <f t="shared" si="158"/>
        <v/>
      </c>
      <c r="O1235" s="4" t="str">
        <f t="shared" si="159"/>
        <v/>
      </c>
    </row>
    <row r="1236" spans="1:15">
      <c r="A1236" s="11"/>
      <c r="B1236" s="19"/>
      <c r="C1236" s="19"/>
      <c r="D1236" s="55"/>
      <c r="E1236" s="56"/>
      <c r="F1236" s="19"/>
      <c r="G1236" s="4" t="str">
        <f t="shared" si="152"/>
        <v/>
      </c>
      <c r="H1236" s="11" t="str">
        <f t="shared" si="153"/>
        <v/>
      </c>
      <c r="I1236" s="55" t="str">
        <f t="shared" si="154"/>
        <v/>
      </c>
      <c r="J1236" s="55" t="str">
        <f t="shared" si="155"/>
        <v/>
      </c>
      <c r="K1236" s="4" t="str">
        <f t="shared" si="156"/>
        <v/>
      </c>
      <c r="L1236" s="19" t="str">
        <f t="shared" si="157"/>
        <v/>
      </c>
      <c r="M1236" s="12" t="str">
        <f>IF(A1236="","",IFERROR(INDEX(المدخلات!$M$4:$M$15,MATCH(A1236,المدخلات!$L$4:$L$15,0)),""))</f>
        <v/>
      </c>
      <c r="N1236" s="4" t="str">
        <f t="shared" si="158"/>
        <v/>
      </c>
      <c r="O1236" s="4" t="str">
        <f t="shared" si="159"/>
        <v/>
      </c>
    </row>
    <row r="1237" spans="1:15">
      <c r="A1237" s="11"/>
      <c r="B1237" s="19"/>
      <c r="C1237" s="19"/>
      <c r="D1237" s="55"/>
      <c r="E1237" s="56"/>
      <c r="F1237" s="19"/>
      <c r="G1237" s="4" t="str">
        <f t="shared" si="152"/>
        <v/>
      </c>
      <c r="H1237" s="11" t="str">
        <f t="shared" si="153"/>
        <v/>
      </c>
      <c r="I1237" s="55" t="str">
        <f t="shared" si="154"/>
        <v/>
      </c>
      <c r="J1237" s="55" t="str">
        <f t="shared" si="155"/>
        <v/>
      </c>
      <c r="K1237" s="4" t="str">
        <f t="shared" si="156"/>
        <v/>
      </c>
      <c r="L1237" s="19" t="str">
        <f t="shared" si="157"/>
        <v/>
      </c>
      <c r="M1237" s="12" t="str">
        <f>IF(A1237="","",IFERROR(INDEX(المدخلات!$M$4:$M$15,MATCH(A1237,المدخلات!$L$4:$L$15,0)),""))</f>
        <v/>
      </c>
      <c r="N1237" s="4" t="str">
        <f t="shared" si="158"/>
        <v/>
      </c>
      <c r="O1237" s="4" t="str">
        <f t="shared" si="159"/>
        <v/>
      </c>
    </row>
    <row r="1238" spans="1:15">
      <c r="A1238" s="11"/>
      <c r="B1238" s="19"/>
      <c r="C1238" s="19"/>
      <c r="D1238" s="55"/>
      <c r="E1238" s="56"/>
      <c r="F1238" s="19"/>
      <c r="G1238" s="4" t="str">
        <f t="shared" si="152"/>
        <v/>
      </c>
      <c r="H1238" s="11" t="str">
        <f t="shared" si="153"/>
        <v/>
      </c>
      <c r="I1238" s="55" t="str">
        <f t="shared" si="154"/>
        <v/>
      </c>
      <c r="J1238" s="55" t="str">
        <f t="shared" si="155"/>
        <v/>
      </c>
      <c r="K1238" s="4" t="str">
        <f t="shared" si="156"/>
        <v/>
      </c>
      <c r="L1238" s="19" t="str">
        <f t="shared" si="157"/>
        <v/>
      </c>
      <c r="M1238" s="12" t="str">
        <f>IF(A1238="","",IFERROR(INDEX(المدخلات!$M$4:$M$15,MATCH(A1238,المدخلات!$L$4:$L$15,0)),""))</f>
        <v/>
      </c>
      <c r="N1238" s="4" t="str">
        <f t="shared" si="158"/>
        <v/>
      </c>
      <c r="O1238" s="4" t="str">
        <f t="shared" si="159"/>
        <v/>
      </c>
    </row>
    <row r="1239" spans="1:15">
      <c r="A1239" s="11"/>
      <c r="B1239" s="19"/>
      <c r="C1239" s="19"/>
      <c r="D1239" s="55"/>
      <c r="E1239" s="56"/>
      <c r="F1239" s="19"/>
      <c r="G1239" s="4" t="str">
        <f t="shared" si="152"/>
        <v/>
      </c>
      <c r="H1239" s="11" t="str">
        <f t="shared" si="153"/>
        <v/>
      </c>
      <c r="I1239" s="55" t="str">
        <f t="shared" si="154"/>
        <v/>
      </c>
      <c r="J1239" s="55" t="str">
        <f t="shared" si="155"/>
        <v/>
      </c>
      <c r="K1239" s="4" t="str">
        <f t="shared" si="156"/>
        <v/>
      </c>
      <c r="L1239" s="19" t="str">
        <f t="shared" si="157"/>
        <v/>
      </c>
      <c r="M1239" s="12" t="str">
        <f>IF(A1239="","",IFERROR(INDEX(المدخلات!$M$4:$M$15,MATCH(A1239,المدخلات!$L$4:$L$15,0)),""))</f>
        <v/>
      </c>
      <c r="N1239" s="4" t="str">
        <f t="shared" si="158"/>
        <v/>
      </c>
      <c r="O1239" s="4" t="str">
        <f t="shared" si="159"/>
        <v/>
      </c>
    </row>
    <row r="1240" spans="1:15">
      <c r="A1240" s="11"/>
      <c r="B1240" s="19"/>
      <c r="C1240" s="19"/>
      <c r="D1240" s="55"/>
      <c r="E1240" s="56"/>
      <c r="F1240" s="19"/>
      <c r="G1240" s="4" t="str">
        <f t="shared" si="152"/>
        <v/>
      </c>
      <c r="H1240" s="11" t="str">
        <f t="shared" si="153"/>
        <v/>
      </c>
      <c r="I1240" s="55" t="str">
        <f t="shared" si="154"/>
        <v/>
      </c>
      <c r="J1240" s="55" t="str">
        <f t="shared" si="155"/>
        <v/>
      </c>
      <c r="K1240" s="4" t="str">
        <f t="shared" si="156"/>
        <v/>
      </c>
      <c r="L1240" s="19" t="str">
        <f t="shared" si="157"/>
        <v/>
      </c>
      <c r="M1240" s="12" t="str">
        <f>IF(A1240="","",IFERROR(INDEX(المدخلات!$M$4:$M$15,MATCH(A1240,المدخلات!$L$4:$L$15,0)),""))</f>
        <v/>
      </c>
      <c r="N1240" s="4" t="str">
        <f t="shared" si="158"/>
        <v/>
      </c>
      <c r="O1240" s="4" t="str">
        <f t="shared" si="159"/>
        <v/>
      </c>
    </row>
    <row r="1241" spans="1:15">
      <c r="A1241" s="11"/>
      <c r="B1241" s="19"/>
      <c r="C1241" s="19"/>
      <c r="D1241" s="55"/>
      <c r="E1241" s="56"/>
      <c r="F1241" s="19"/>
      <c r="G1241" s="4" t="str">
        <f t="shared" si="152"/>
        <v/>
      </c>
      <c r="H1241" s="11" t="str">
        <f t="shared" si="153"/>
        <v/>
      </c>
      <c r="I1241" s="55" t="str">
        <f t="shared" si="154"/>
        <v/>
      </c>
      <c r="J1241" s="55" t="str">
        <f t="shared" si="155"/>
        <v/>
      </c>
      <c r="K1241" s="4" t="str">
        <f t="shared" si="156"/>
        <v/>
      </c>
      <c r="L1241" s="19" t="str">
        <f t="shared" si="157"/>
        <v/>
      </c>
      <c r="M1241" s="12" t="str">
        <f>IF(A1241="","",IFERROR(INDEX(المدخلات!$M$4:$M$15,MATCH(A1241,المدخلات!$L$4:$L$15,0)),""))</f>
        <v/>
      </c>
      <c r="N1241" s="4" t="str">
        <f t="shared" si="158"/>
        <v/>
      </c>
      <c r="O1241" s="4" t="str">
        <f t="shared" si="159"/>
        <v/>
      </c>
    </row>
    <row r="1242" spans="1:15">
      <c r="A1242" s="11"/>
      <c r="B1242" s="19"/>
      <c r="C1242" s="19"/>
      <c r="D1242" s="55"/>
      <c r="E1242" s="56"/>
      <c r="F1242" s="19"/>
      <c r="G1242" s="4" t="str">
        <f t="shared" si="152"/>
        <v/>
      </c>
      <c r="H1242" s="11" t="str">
        <f t="shared" si="153"/>
        <v/>
      </c>
      <c r="I1242" s="55" t="str">
        <f t="shared" si="154"/>
        <v/>
      </c>
      <c r="J1242" s="55" t="str">
        <f t="shared" si="155"/>
        <v/>
      </c>
      <c r="K1242" s="4" t="str">
        <f t="shared" si="156"/>
        <v/>
      </c>
      <c r="L1242" s="19" t="str">
        <f t="shared" si="157"/>
        <v/>
      </c>
      <c r="M1242" s="12" t="str">
        <f>IF(A1242="","",IFERROR(INDEX(المدخلات!$M$4:$M$15,MATCH(A1242,المدخلات!$L$4:$L$15,0)),""))</f>
        <v/>
      </c>
      <c r="N1242" s="4" t="str">
        <f t="shared" si="158"/>
        <v/>
      </c>
      <c r="O1242" s="4" t="str">
        <f t="shared" si="159"/>
        <v/>
      </c>
    </row>
    <row r="1243" spans="1:15">
      <c r="A1243" s="11"/>
      <c r="B1243" s="19"/>
      <c r="C1243" s="19"/>
      <c r="D1243" s="55"/>
      <c r="E1243" s="56"/>
      <c r="F1243" s="19"/>
      <c r="G1243" s="4" t="str">
        <f t="shared" si="152"/>
        <v/>
      </c>
      <c r="H1243" s="11" t="str">
        <f t="shared" si="153"/>
        <v/>
      </c>
      <c r="I1243" s="55" t="str">
        <f t="shared" si="154"/>
        <v/>
      </c>
      <c r="J1243" s="55" t="str">
        <f t="shared" si="155"/>
        <v/>
      </c>
      <c r="K1243" s="4" t="str">
        <f t="shared" si="156"/>
        <v/>
      </c>
      <c r="L1243" s="19" t="str">
        <f t="shared" si="157"/>
        <v/>
      </c>
      <c r="M1243" s="12" t="str">
        <f>IF(A1243="","",IFERROR(INDEX(المدخلات!$M$4:$M$15,MATCH(A1243,المدخلات!$L$4:$L$15,0)),""))</f>
        <v/>
      </c>
      <c r="N1243" s="4" t="str">
        <f t="shared" si="158"/>
        <v/>
      </c>
      <c r="O1243" s="4" t="str">
        <f t="shared" si="159"/>
        <v/>
      </c>
    </row>
    <row r="1244" spans="1:15">
      <c r="A1244" s="11"/>
      <c r="B1244" s="19"/>
      <c r="C1244" s="19"/>
      <c r="D1244" s="55"/>
      <c r="E1244" s="56"/>
      <c r="F1244" s="19"/>
      <c r="G1244" s="4" t="str">
        <f t="shared" si="152"/>
        <v/>
      </c>
      <c r="H1244" s="11" t="str">
        <f t="shared" si="153"/>
        <v/>
      </c>
      <c r="I1244" s="55" t="str">
        <f t="shared" si="154"/>
        <v/>
      </c>
      <c r="J1244" s="55" t="str">
        <f t="shared" si="155"/>
        <v/>
      </c>
      <c r="K1244" s="4" t="str">
        <f t="shared" si="156"/>
        <v/>
      </c>
      <c r="L1244" s="19" t="str">
        <f t="shared" si="157"/>
        <v/>
      </c>
      <c r="M1244" s="12" t="str">
        <f>IF(A1244="","",IFERROR(INDEX(المدخلات!$M$4:$M$15,MATCH(A1244,المدخلات!$L$4:$L$15,0)),""))</f>
        <v/>
      </c>
      <c r="N1244" s="4" t="str">
        <f t="shared" si="158"/>
        <v/>
      </c>
      <c r="O1244" s="4" t="str">
        <f t="shared" si="159"/>
        <v/>
      </c>
    </row>
    <row r="1245" spans="1:15">
      <c r="A1245" s="11"/>
      <c r="B1245" s="19"/>
      <c r="C1245" s="19"/>
      <c r="D1245" s="55"/>
      <c r="E1245" s="56"/>
      <c r="F1245" s="19"/>
      <c r="G1245" s="4" t="str">
        <f t="shared" si="152"/>
        <v/>
      </c>
      <c r="H1245" s="11" t="str">
        <f t="shared" si="153"/>
        <v/>
      </c>
      <c r="I1245" s="55" t="str">
        <f t="shared" si="154"/>
        <v/>
      </c>
      <c r="J1245" s="55" t="str">
        <f t="shared" si="155"/>
        <v/>
      </c>
      <c r="K1245" s="4" t="str">
        <f t="shared" si="156"/>
        <v/>
      </c>
      <c r="L1245" s="19" t="str">
        <f t="shared" si="157"/>
        <v/>
      </c>
      <c r="M1245" s="12" t="str">
        <f>IF(A1245="","",IFERROR(INDEX(المدخلات!$M$4:$M$15,MATCH(A1245,المدخلات!$L$4:$L$15,0)),""))</f>
        <v/>
      </c>
      <c r="N1245" s="4" t="str">
        <f t="shared" si="158"/>
        <v/>
      </c>
      <c r="O1245" s="4" t="str">
        <f t="shared" si="159"/>
        <v/>
      </c>
    </row>
    <row r="1246" spans="1:15">
      <c r="A1246" s="11"/>
      <c r="B1246" s="19"/>
      <c r="C1246" s="19"/>
      <c r="D1246" s="55"/>
      <c r="E1246" s="56"/>
      <c r="F1246" s="19"/>
      <c r="G1246" s="4" t="str">
        <f t="shared" si="152"/>
        <v/>
      </c>
      <c r="H1246" s="11" t="str">
        <f t="shared" si="153"/>
        <v/>
      </c>
      <c r="I1246" s="55" t="str">
        <f t="shared" si="154"/>
        <v/>
      </c>
      <c r="J1246" s="55" t="str">
        <f t="shared" si="155"/>
        <v/>
      </c>
      <c r="K1246" s="4" t="str">
        <f t="shared" si="156"/>
        <v/>
      </c>
      <c r="L1246" s="19" t="str">
        <f t="shared" si="157"/>
        <v/>
      </c>
      <c r="M1246" s="12" t="str">
        <f>IF(A1246="","",IFERROR(INDEX(المدخلات!$M$4:$M$15,MATCH(A1246,المدخلات!$L$4:$L$15,0)),""))</f>
        <v/>
      </c>
      <c r="N1246" s="4" t="str">
        <f t="shared" si="158"/>
        <v/>
      </c>
      <c r="O1246" s="4" t="str">
        <f t="shared" si="159"/>
        <v/>
      </c>
    </row>
    <row r="1247" spans="1:15">
      <c r="A1247" s="11"/>
      <c r="B1247" s="19"/>
      <c r="C1247" s="19"/>
      <c r="D1247" s="55"/>
      <c r="E1247" s="56"/>
      <c r="F1247" s="19"/>
      <c r="G1247" s="4" t="str">
        <f t="shared" si="152"/>
        <v/>
      </c>
      <c r="H1247" s="11" t="str">
        <f t="shared" si="153"/>
        <v/>
      </c>
      <c r="I1247" s="55" t="str">
        <f t="shared" si="154"/>
        <v/>
      </c>
      <c r="J1247" s="55" t="str">
        <f t="shared" si="155"/>
        <v/>
      </c>
      <c r="K1247" s="4" t="str">
        <f t="shared" si="156"/>
        <v/>
      </c>
      <c r="L1247" s="19" t="str">
        <f t="shared" si="157"/>
        <v/>
      </c>
      <c r="M1247" s="12" t="str">
        <f>IF(A1247="","",IFERROR(INDEX(المدخلات!$M$4:$M$15,MATCH(A1247,المدخلات!$L$4:$L$15,0)),""))</f>
        <v/>
      </c>
      <c r="N1247" s="4" t="str">
        <f t="shared" si="158"/>
        <v/>
      </c>
      <c r="O1247" s="4" t="str">
        <f t="shared" si="159"/>
        <v/>
      </c>
    </row>
    <row r="1248" spans="1:15">
      <c r="A1248" s="11"/>
      <c r="B1248" s="19"/>
      <c r="C1248" s="19"/>
      <c r="D1248" s="55"/>
      <c r="E1248" s="56"/>
      <c r="F1248" s="19"/>
      <c r="G1248" s="4" t="str">
        <f t="shared" si="152"/>
        <v/>
      </c>
      <c r="H1248" s="11" t="str">
        <f t="shared" si="153"/>
        <v/>
      </c>
      <c r="I1248" s="55" t="str">
        <f t="shared" si="154"/>
        <v/>
      </c>
      <c r="J1248" s="55" t="str">
        <f t="shared" si="155"/>
        <v/>
      </c>
      <c r="K1248" s="4" t="str">
        <f t="shared" si="156"/>
        <v/>
      </c>
      <c r="L1248" s="19" t="str">
        <f t="shared" si="157"/>
        <v/>
      </c>
      <c r="M1248" s="12" t="str">
        <f>IF(A1248="","",IFERROR(INDEX(المدخلات!$M$4:$M$15,MATCH(A1248,المدخلات!$L$4:$L$15,0)),""))</f>
        <v/>
      </c>
      <c r="N1248" s="4" t="str">
        <f t="shared" si="158"/>
        <v/>
      </c>
      <c r="O1248" s="4" t="str">
        <f t="shared" si="159"/>
        <v/>
      </c>
    </row>
    <row r="1249" spans="1:15">
      <c r="A1249" s="11"/>
      <c r="B1249" s="19"/>
      <c r="C1249" s="19"/>
      <c r="D1249" s="55"/>
      <c r="E1249" s="56"/>
      <c r="F1249" s="19"/>
      <c r="G1249" s="4" t="str">
        <f t="shared" si="152"/>
        <v/>
      </c>
      <c r="H1249" s="11" t="str">
        <f t="shared" si="153"/>
        <v/>
      </c>
      <c r="I1249" s="55" t="str">
        <f t="shared" si="154"/>
        <v/>
      </c>
      <c r="J1249" s="55" t="str">
        <f t="shared" si="155"/>
        <v/>
      </c>
      <c r="K1249" s="4" t="str">
        <f t="shared" si="156"/>
        <v/>
      </c>
      <c r="L1249" s="19" t="str">
        <f t="shared" si="157"/>
        <v/>
      </c>
      <c r="M1249" s="12" t="str">
        <f>IF(A1249="","",IFERROR(INDEX(المدخلات!$M$4:$M$15,MATCH(A1249,المدخلات!$L$4:$L$15,0)),""))</f>
        <v/>
      </c>
      <c r="N1249" s="4" t="str">
        <f t="shared" si="158"/>
        <v/>
      </c>
      <c r="O1249" s="4" t="str">
        <f t="shared" si="159"/>
        <v/>
      </c>
    </row>
    <row r="1250" spans="1:15">
      <c r="A1250" s="11"/>
      <c r="B1250" s="19"/>
      <c r="C1250" s="19"/>
      <c r="D1250" s="55"/>
      <c r="E1250" s="56"/>
      <c r="F1250" s="19"/>
      <c r="G1250" s="4" t="str">
        <f t="shared" si="152"/>
        <v/>
      </c>
      <c r="H1250" s="11" t="str">
        <f t="shared" si="153"/>
        <v/>
      </c>
      <c r="I1250" s="55" t="str">
        <f t="shared" si="154"/>
        <v/>
      </c>
      <c r="J1250" s="55" t="str">
        <f t="shared" si="155"/>
        <v/>
      </c>
      <c r="K1250" s="4" t="str">
        <f t="shared" si="156"/>
        <v/>
      </c>
      <c r="L1250" s="19" t="str">
        <f t="shared" si="157"/>
        <v/>
      </c>
      <c r="M1250" s="12" t="str">
        <f>IF(A1250="","",IFERROR(INDEX(المدخلات!$M$4:$M$15,MATCH(A1250,المدخلات!$L$4:$L$15,0)),""))</f>
        <v/>
      </c>
      <c r="N1250" s="4" t="str">
        <f t="shared" si="158"/>
        <v/>
      </c>
      <c r="O1250" s="4" t="str">
        <f t="shared" si="159"/>
        <v/>
      </c>
    </row>
    <row r="1251" spans="1:15">
      <c r="A1251" s="11"/>
      <c r="B1251" s="19"/>
      <c r="C1251" s="19"/>
      <c r="D1251" s="55"/>
      <c r="E1251" s="56"/>
      <c r="F1251" s="19"/>
      <c r="G1251" s="4" t="str">
        <f t="shared" si="152"/>
        <v/>
      </c>
      <c r="H1251" s="11" t="str">
        <f t="shared" si="153"/>
        <v/>
      </c>
      <c r="I1251" s="55" t="str">
        <f t="shared" si="154"/>
        <v/>
      </c>
      <c r="J1251" s="55" t="str">
        <f t="shared" si="155"/>
        <v/>
      </c>
      <c r="K1251" s="4" t="str">
        <f t="shared" si="156"/>
        <v/>
      </c>
      <c r="L1251" s="19" t="str">
        <f t="shared" si="157"/>
        <v/>
      </c>
      <c r="M1251" s="12" t="str">
        <f>IF(A1251="","",IFERROR(INDEX(المدخلات!$M$4:$M$15,MATCH(A1251,المدخلات!$L$4:$L$15,0)),""))</f>
        <v/>
      </c>
      <c r="N1251" s="4" t="str">
        <f t="shared" si="158"/>
        <v/>
      </c>
      <c r="O1251" s="4" t="str">
        <f t="shared" si="159"/>
        <v/>
      </c>
    </row>
    <row r="1252" spans="1:15">
      <c r="A1252" s="11"/>
      <c r="B1252" s="19"/>
      <c r="C1252" s="19"/>
      <c r="D1252" s="55"/>
      <c r="E1252" s="56"/>
      <c r="F1252" s="19"/>
      <c r="G1252" s="4" t="str">
        <f t="shared" si="152"/>
        <v/>
      </c>
      <c r="H1252" s="11" t="str">
        <f t="shared" si="153"/>
        <v/>
      </c>
      <c r="I1252" s="55" t="str">
        <f t="shared" si="154"/>
        <v/>
      </c>
      <c r="J1252" s="55" t="str">
        <f t="shared" si="155"/>
        <v/>
      </c>
      <c r="K1252" s="4" t="str">
        <f t="shared" si="156"/>
        <v/>
      </c>
      <c r="L1252" s="19" t="str">
        <f t="shared" si="157"/>
        <v/>
      </c>
      <c r="M1252" s="12" t="str">
        <f>IF(A1252="","",IFERROR(INDEX(المدخلات!$M$4:$M$15,MATCH(A1252,المدخلات!$L$4:$L$15,0)),""))</f>
        <v/>
      </c>
      <c r="N1252" s="4" t="str">
        <f t="shared" si="158"/>
        <v/>
      </c>
      <c r="O1252" s="4" t="str">
        <f t="shared" si="159"/>
        <v/>
      </c>
    </row>
    <row r="1253" spans="1:15">
      <c r="A1253" s="11"/>
      <c r="B1253" s="19"/>
      <c r="C1253" s="19"/>
      <c r="D1253" s="55"/>
      <c r="E1253" s="56"/>
      <c r="F1253" s="19"/>
      <c r="G1253" s="4" t="str">
        <f t="shared" si="152"/>
        <v/>
      </c>
      <c r="H1253" s="11" t="str">
        <f t="shared" si="153"/>
        <v/>
      </c>
      <c r="I1253" s="55" t="str">
        <f t="shared" si="154"/>
        <v/>
      </c>
      <c r="J1253" s="55" t="str">
        <f t="shared" si="155"/>
        <v/>
      </c>
      <c r="K1253" s="4" t="str">
        <f t="shared" si="156"/>
        <v/>
      </c>
      <c r="L1253" s="19" t="str">
        <f t="shared" si="157"/>
        <v/>
      </c>
      <c r="M1253" s="12" t="str">
        <f>IF(A1253="","",IFERROR(INDEX(المدخلات!$M$4:$M$15,MATCH(A1253,المدخلات!$L$4:$L$15,0)),""))</f>
        <v/>
      </c>
      <c r="N1253" s="4" t="str">
        <f t="shared" si="158"/>
        <v/>
      </c>
      <c r="O1253" s="4" t="str">
        <f t="shared" si="159"/>
        <v/>
      </c>
    </row>
    <row r="1254" spans="1:15">
      <c r="A1254" s="11"/>
      <c r="B1254" s="19"/>
      <c r="C1254" s="19"/>
      <c r="D1254" s="55"/>
      <c r="E1254" s="56"/>
      <c r="F1254" s="19"/>
      <c r="G1254" s="4" t="str">
        <f t="shared" si="152"/>
        <v/>
      </c>
      <c r="H1254" s="11" t="str">
        <f t="shared" si="153"/>
        <v/>
      </c>
      <c r="I1254" s="55" t="str">
        <f t="shared" si="154"/>
        <v/>
      </c>
      <c r="J1254" s="55" t="str">
        <f t="shared" si="155"/>
        <v/>
      </c>
      <c r="K1254" s="4" t="str">
        <f t="shared" si="156"/>
        <v/>
      </c>
      <c r="L1254" s="19" t="str">
        <f t="shared" si="157"/>
        <v/>
      </c>
      <c r="M1254" s="12" t="str">
        <f>IF(A1254="","",IFERROR(INDEX(المدخلات!$M$4:$M$15,MATCH(A1254,المدخلات!$L$4:$L$15,0)),""))</f>
        <v/>
      </c>
      <c r="N1254" s="4" t="str">
        <f t="shared" si="158"/>
        <v/>
      </c>
      <c r="O1254" s="4" t="str">
        <f t="shared" si="159"/>
        <v/>
      </c>
    </row>
    <row r="1255" spans="1:15">
      <c r="A1255" s="11"/>
      <c r="B1255" s="19"/>
      <c r="C1255" s="19"/>
      <c r="D1255" s="55"/>
      <c r="E1255" s="56"/>
      <c r="F1255" s="19"/>
      <c r="G1255" s="4" t="str">
        <f t="shared" si="152"/>
        <v/>
      </c>
      <c r="H1255" s="11" t="str">
        <f t="shared" si="153"/>
        <v/>
      </c>
      <c r="I1255" s="55" t="str">
        <f t="shared" si="154"/>
        <v/>
      </c>
      <c r="J1255" s="55" t="str">
        <f t="shared" si="155"/>
        <v/>
      </c>
      <c r="K1255" s="4" t="str">
        <f t="shared" si="156"/>
        <v/>
      </c>
      <c r="L1255" s="19" t="str">
        <f t="shared" si="157"/>
        <v/>
      </c>
      <c r="M1255" s="12" t="str">
        <f>IF(A1255="","",IFERROR(INDEX(المدخلات!$M$4:$M$15,MATCH(A1255,المدخلات!$L$4:$L$15,0)),""))</f>
        <v/>
      </c>
      <c r="N1255" s="4" t="str">
        <f t="shared" si="158"/>
        <v/>
      </c>
      <c r="O1255" s="4" t="str">
        <f t="shared" si="159"/>
        <v/>
      </c>
    </row>
    <row r="1256" spans="1:15">
      <c r="A1256" s="11"/>
      <c r="B1256" s="19"/>
      <c r="C1256" s="19"/>
      <c r="D1256" s="55"/>
      <c r="E1256" s="56"/>
      <c r="F1256" s="19"/>
      <c r="G1256" s="4" t="str">
        <f t="shared" si="152"/>
        <v/>
      </c>
      <c r="H1256" s="11" t="str">
        <f t="shared" si="153"/>
        <v/>
      </c>
      <c r="I1256" s="55" t="str">
        <f t="shared" si="154"/>
        <v/>
      </c>
      <c r="J1256" s="55" t="str">
        <f t="shared" si="155"/>
        <v/>
      </c>
      <c r="K1256" s="4" t="str">
        <f t="shared" si="156"/>
        <v/>
      </c>
      <c r="L1256" s="19" t="str">
        <f t="shared" si="157"/>
        <v/>
      </c>
      <c r="M1256" s="12" t="str">
        <f>IF(A1256="","",IFERROR(INDEX(المدخلات!$M$4:$M$15,MATCH(A1256,المدخلات!$L$4:$L$15,0)),""))</f>
        <v/>
      </c>
      <c r="N1256" s="4" t="str">
        <f t="shared" si="158"/>
        <v/>
      </c>
      <c r="O1256" s="4" t="str">
        <f t="shared" si="159"/>
        <v/>
      </c>
    </row>
    <row r="1257" spans="1:15">
      <c r="A1257" s="11"/>
      <c r="B1257" s="19"/>
      <c r="C1257" s="19"/>
      <c r="D1257" s="55"/>
      <c r="E1257" s="56"/>
      <c r="F1257" s="19"/>
      <c r="G1257" s="4" t="str">
        <f t="shared" si="152"/>
        <v/>
      </c>
      <c r="H1257" s="11" t="str">
        <f t="shared" si="153"/>
        <v/>
      </c>
      <c r="I1257" s="55" t="str">
        <f t="shared" si="154"/>
        <v/>
      </c>
      <c r="J1257" s="55" t="str">
        <f t="shared" si="155"/>
        <v/>
      </c>
      <c r="K1257" s="4" t="str">
        <f t="shared" si="156"/>
        <v/>
      </c>
      <c r="L1257" s="19" t="str">
        <f t="shared" si="157"/>
        <v/>
      </c>
      <c r="M1257" s="12" t="str">
        <f>IF(A1257="","",IFERROR(INDEX(المدخلات!$M$4:$M$15,MATCH(A1257,المدخلات!$L$4:$L$15,0)),""))</f>
        <v/>
      </c>
      <c r="N1257" s="4" t="str">
        <f t="shared" si="158"/>
        <v/>
      </c>
      <c r="O1257" s="4" t="str">
        <f t="shared" si="159"/>
        <v/>
      </c>
    </row>
    <row r="1258" spans="1:15">
      <c r="A1258" s="11"/>
      <c r="B1258" s="19"/>
      <c r="C1258" s="19"/>
      <c r="D1258" s="55"/>
      <c r="E1258" s="56"/>
      <c r="F1258" s="19"/>
      <c r="G1258" s="4" t="str">
        <f t="shared" si="152"/>
        <v/>
      </c>
      <c r="H1258" s="11" t="str">
        <f t="shared" si="153"/>
        <v/>
      </c>
      <c r="I1258" s="55" t="str">
        <f t="shared" si="154"/>
        <v/>
      </c>
      <c r="J1258" s="55" t="str">
        <f t="shared" si="155"/>
        <v/>
      </c>
      <c r="K1258" s="4" t="str">
        <f t="shared" si="156"/>
        <v/>
      </c>
      <c r="L1258" s="19" t="str">
        <f t="shared" si="157"/>
        <v/>
      </c>
      <c r="M1258" s="12" t="str">
        <f>IF(A1258="","",IFERROR(INDEX(المدخلات!$M$4:$M$15,MATCH(A1258,المدخلات!$L$4:$L$15,0)),""))</f>
        <v/>
      </c>
      <c r="N1258" s="4" t="str">
        <f t="shared" si="158"/>
        <v/>
      </c>
      <c r="O1258" s="4" t="str">
        <f t="shared" si="159"/>
        <v/>
      </c>
    </row>
    <row r="1259" spans="1:15">
      <c r="A1259" s="11"/>
      <c r="B1259" s="19"/>
      <c r="C1259" s="19"/>
      <c r="D1259" s="55"/>
      <c r="E1259" s="56"/>
      <c r="F1259" s="19"/>
      <c r="G1259" s="4" t="str">
        <f t="shared" si="152"/>
        <v/>
      </c>
      <c r="H1259" s="11" t="str">
        <f t="shared" si="153"/>
        <v/>
      </c>
      <c r="I1259" s="55" t="str">
        <f t="shared" si="154"/>
        <v/>
      </c>
      <c r="J1259" s="55" t="str">
        <f t="shared" si="155"/>
        <v/>
      </c>
      <c r="K1259" s="4" t="str">
        <f t="shared" si="156"/>
        <v/>
      </c>
      <c r="L1259" s="19" t="str">
        <f t="shared" si="157"/>
        <v/>
      </c>
      <c r="M1259" s="12" t="str">
        <f>IF(A1259="","",IFERROR(INDEX(المدخلات!$M$4:$M$15,MATCH(A1259,المدخلات!$L$4:$L$15,0)),""))</f>
        <v/>
      </c>
      <c r="N1259" s="4" t="str">
        <f t="shared" si="158"/>
        <v/>
      </c>
      <c r="O1259" s="4" t="str">
        <f t="shared" si="159"/>
        <v/>
      </c>
    </row>
    <row r="1260" spans="1:15">
      <c r="A1260" s="11"/>
      <c r="B1260" s="19"/>
      <c r="C1260" s="19"/>
      <c r="D1260" s="55"/>
      <c r="E1260" s="56"/>
      <c r="F1260" s="19"/>
      <c r="G1260" s="4" t="str">
        <f t="shared" si="152"/>
        <v/>
      </c>
      <c r="H1260" s="11" t="str">
        <f t="shared" si="153"/>
        <v/>
      </c>
      <c r="I1260" s="55" t="str">
        <f t="shared" si="154"/>
        <v/>
      </c>
      <c r="J1260" s="55" t="str">
        <f t="shared" si="155"/>
        <v/>
      </c>
      <c r="K1260" s="4" t="str">
        <f t="shared" si="156"/>
        <v/>
      </c>
      <c r="L1260" s="19" t="str">
        <f t="shared" si="157"/>
        <v/>
      </c>
      <c r="M1260" s="12" t="str">
        <f>IF(A1260="","",IFERROR(INDEX(المدخلات!$M$4:$M$15,MATCH(A1260,المدخلات!$L$4:$L$15,0)),""))</f>
        <v/>
      </c>
      <c r="N1260" s="4" t="str">
        <f t="shared" si="158"/>
        <v/>
      </c>
      <c r="O1260" s="4" t="str">
        <f t="shared" si="159"/>
        <v/>
      </c>
    </row>
    <row r="1261" spans="1:15">
      <c r="A1261" s="11"/>
      <c r="B1261" s="19"/>
      <c r="C1261" s="19"/>
      <c r="D1261" s="55"/>
      <c r="E1261" s="56"/>
      <c r="F1261" s="19"/>
      <c r="G1261" s="4" t="str">
        <f t="shared" si="152"/>
        <v/>
      </c>
      <c r="H1261" s="11" t="str">
        <f t="shared" si="153"/>
        <v/>
      </c>
      <c r="I1261" s="55" t="str">
        <f t="shared" si="154"/>
        <v/>
      </c>
      <c r="J1261" s="55" t="str">
        <f t="shared" si="155"/>
        <v/>
      </c>
      <c r="K1261" s="4" t="str">
        <f t="shared" si="156"/>
        <v/>
      </c>
      <c r="L1261" s="19" t="str">
        <f t="shared" si="157"/>
        <v/>
      </c>
      <c r="M1261" s="12" t="str">
        <f>IF(A1261="","",IFERROR(INDEX(المدخلات!$M$4:$M$15,MATCH(A1261,المدخلات!$L$4:$L$15,0)),""))</f>
        <v/>
      </c>
      <c r="N1261" s="4" t="str">
        <f t="shared" si="158"/>
        <v/>
      </c>
      <c r="O1261" s="4" t="str">
        <f t="shared" si="159"/>
        <v/>
      </c>
    </row>
    <row r="1262" spans="1:15">
      <c r="A1262" s="11"/>
      <c r="B1262" s="19"/>
      <c r="C1262" s="19"/>
      <c r="D1262" s="55"/>
      <c r="E1262" s="56"/>
      <c r="F1262" s="19"/>
      <c r="G1262" s="4" t="str">
        <f t="shared" si="152"/>
        <v/>
      </c>
      <c r="H1262" s="11" t="str">
        <f t="shared" si="153"/>
        <v/>
      </c>
      <c r="I1262" s="55" t="str">
        <f t="shared" si="154"/>
        <v/>
      </c>
      <c r="J1262" s="55" t="str">
        <f t="shared" si="155"/>
        <v/>
      </c>
      <c r="K1262" s="4" t="str">
        <f t="shared" si="156"/>
        <v/>
      </c>
      <c r="L1262" s="19" t="str">
        <f t="shared" si="157"/>
        <v/>
      </c>
      <c r="M1262" s="12" t="str">
        <f>IF(A1262="","",IFERROR(INDEX(المدخلات!$M$4:$M$15,MATCH(A1262,المدخلات!$L$4:$L$15,0)),""))</f>
        <v/>
      </c>
      <c r="N1262" s="4" t="str">
        <f t="shared" si="158"/>
        <v/>
      </c>
      <c r="O1262" s="4" t="str">
        <f t="shared" si="159"/>
        <v/>
      </c>
    </row>
    <row r="1263" spans="1:15">
      <c r="A1263" s="11"/>
      <c r="B1263" s="19"/>
      <c r="C1263" s="19"/>
      <c r="D1263" s="55"/>
      <c r="E1263" s="56"/>
      <c r="F1263" s="19"/>
      <c r="G1263" s="4" t="str">
        <f t="shared" si="152"/>
        <v/>
      </c>
      <c r="H1263" s="11" t="str">
        <f t="shared" si="153"/>
        <v/>
      </c>
      <c r="I1263" s="55" t="str">
        <f t="shared" si="154"/>
        <v/>
      </c>
      <c r="J1263" s="55" t="str">
        <f t="shared" si="155"/>
        <v/>
      </c>
      <c r="K1263" s="4" t="str">
        <f t="shared" si="156"/>
        <v/>
      </c>
      <c r="L1263" s="19" t="str">
        <f t="shared" si="157"/>
        <v/>
      </c>
      <c r="M1263" s="12" t="str">
        <f>IF(A1263="","",IFERROR(INDEX(المدخلات!$M$4:$M$15,MATCH(A1263,المدخلات!$L$4:$L$15,0)),""))</f>
        <v/>
      </c>
      <c r="N1263" s="4" t="str">
        <f t="shared" si="158"/>
        <v/>
      </c>
      <c r="O1263" s="4" t="str">
        <f t="shared" si="159"/>
        <v/>
      </c>
    </row>
    <row r="1264" spans="1:15">
      <c r="A1264" s="11"/>
      <c r="B1264" s="19"/>
      <c r="C1264" s="19"/>
      <c r="D1264" s="55"/>
      <c r="E1264" s="56"/>
      <c r="F1264" s="19"/>
      <c r="G1264" s="4" t="str">
        <f t="shared" si="152"/>
        <v/>
      </c>
      <c r="H1264" s="11" t="str">
        <f t="shared" si="153"/>
        <v/>
      </c>
      <c r="I1264" s="55" t="str">
        <f t="shared" si="154"/>
        <v/>
      </c>
      <c r="J1264" s="55" t="str">
        <f t="shared" si="155"/>
        <v/>
      </c>
      <c r="K1264" s="4" t="str">
        <f t="shared" si="156"/>
        <v/>
      </c>
      <c r="L1264" s="19" t="str">
        <f t="shared" si="157"/>
        <v/>
      </c>
      <c r="M1264" s="12" t="str">
        <f>IF(A1264="","",IFERROR(INDEX(المدخلات!$M$4:$M$15,MATCH(A1264,المدخلات!$L$4:$L$15,0)),""))</f>
        <v/>
      </c>
      <c r="N1264" s="4" t="str">
        <f t="shared" si="158"/>
        <v/>
      </c>
      <c r="O1264" s="4" t="str">
        <f t="shared" si="159"/>
        <v/>
      </c>
    </row>
    <row r="1265" spans="1:15">
      <c r="A1265" s="11"/>
      <c r="B1265" s="19"/>
      <c r="C1265" s="19"/>
      <c r="D1265" s="55"/>
      <c r="E1265" s="56"/>
      <c r="F1265" s="19"/>
      <c r="G1265" s="4" t="str">
        <f t="shared" si="152"/>
        <v/>
      </c>
      <c r="H1265" s="11" t="str">
        <f t="shared" si="153"/>
        <v/>
      </c>
      <c r="I1265" s="55" t="str">
        <f t="shared" si="154"/>
        <v/>
      </c>
      <c r="J1265" s="55" t="str">
        <f t="shared" si="155"/>
        <v/>
      </c>
      <c r="K1265" s="4" t="str">
        <f t="shared" si="156"/>
        <v/>
      </c>
      <c r="L1265" s="19" t="str">
        <f t="shared" si="157"/>
        <v/>
      </c>
      <c r="M1265" s="12" t="str">
        <f>IF(A1265="","",IFERROR(INDEX(المدخلات!$M$4:$M$15,MATCH(A1265,المدخلات!$L$4:$L$15,0)),""))</f>
        <v/>
      </c>
      <c r="N1265" s="4" t="str">
        <f t="shared" si="158"/>
        <v/>
      </c>
      <c r="O1265" s="4" t="str">
        <f t="shared" si="159"/>
        <v/>
      </c>
    </row>
    <row r="1266" spans="1:15">
      <c r="A1266" s="11"/>
      <c r="B1266" s="19"/>
      <c r="C1266" s="19"/>
      <c r="D1266" s="55"/>
      <c r="E1266" s="56"/>
      <c r="F1266" s="19"/>
      <c r="G1266" s="4" t="str">
        <f t="shared" si="152"/>
        <v/>
      </c>
      <c r="H1266" s="11" t="str">
        <f t="shared" si="153"/>
        <v/>
      </c>
      <c r="I1266" s="55" t="str">
        <f t="shared" si="154"/>
        <v/>
      </c>
      <c r="J1266" s="55" t="str">
        <f t="shared" si="155"/>
        <v/>
      </c>
      <c r="K1266" s="4" t="str">
        <f t="shared" si="156"/>
        <v/>
      </c>
      <c r="L1266" s="19" t="str">
        <f t="shared" si="157"/>
        <v/>
      </c>
      <c r="M1266" s="12" t="str">
        <f>IF(A1266="","",IFERROR(INDEX(المدخلات!$M$4:$M$15,MATCH(A1266,المدخلات!$L$4:$L$15,0)),""))</f>
        <v/>
      </c>
      <c r="N1266" s="4" t="str">
        <f t="shared" si="158"/>
        <v/>
      </c>
      <c r="O1266" s="4" t="str">
        <f t="shared" si="159"/>
        <v/>
      </c>
    </row>
    <row r="1267" spans="1:15">
      <c r="A1267" s="11"/>
      <c r="B1267" s="19"/>
      <c r="C1267" s="19"/>
      <c r="D1267" s="55"/>
      <c r="E1267" s="56"/>
      <c r="F1267" s="19"/>
      <c r="G1267" s="4" t="str">
        <f t="shared" si="152"/>
        <v/>
      </c>
      <c r="H1267" s="11" t="str">
        <f t="shared" si="153"/>
        <v/>
      </c>
      <c r="I1267" s="55" t="str">
        <f t="shared" si="154"/>
        <v/>
      </c>
      <c r="J1267" s="55" t="str">
        <f t="shared" si="155"/>
        <v/>
      </c>
      <c r="K1267" s="4" t="str">
        <f t="shared" si="156"/>
        <v/>
      </c>
      <c r="L1267" s="19" t="str">
        <f t="shared" si="157"/>
        <v/>
      </c>
      <c r="M1267" s="12" t="str">
        <f>IF(A1267="","",IFERROR(INDEX(المدخلات!$M$4:$M$15,MATCH(A1267,المدخلات!$L$4:$L$15,0)),""))</f>
        <v/>
      </c>
      <c r="N1267" s="4" t="str">
        <f t="shared" si="158"/>
        <v/>
      </c>
      <c r="O1267" s="4" t="str">
        <f t="shared" si="159"/>
        <v/>
      </c>
    </row>
    <row r="1268" spans="1:15">
      <c r="A1268" s="11"/>
      <c r="B1268" s="19"/>
      <c r="C1268" s="19"/>
      <c r="D1268" s="55"/>
      <c r="E1268" s="56"/>
      <c r="F1268" s="19"/>
      <c r="G1268" s="4" t="str">
        <f t="shared" si="152"/>
        <v/>
      </c>
      <c r="H1268" s="11" t="str">
        <f t="shared" si="153"/>
        <v/>
      </c>
      <c r="I1268" s="55" t="str">
        <f t="shared" si="154"/>
        <v/>
      </c>
      <c r="J1268" s="55" t="str">
        <f t="shared" si="155"/>
        <v/>
      </c>
      <c r="K1268" s="4" t="str">
        <f t="shared" si="156"/>
        <v/>
      </c>
      <c r="L1268" s="19" t="str">
        <f t="shared" si="157"/>
        <v/>
      </c>
      <c r="M1268" s="12" t="str">
        <f>IF(A1268="","",IFERROR(INDEX(المدخلات!$M$4:$M$15,MATCH(A1268,المدخلات!$L$4:$L$15,0)),""))</f>
        <v/>
      </c>
      <c r="N1268" s="4" t="str">
        <f t="shared" si="158"/>
        <v/>
      </c>
      <c r="O1268" s="4" t="str">
        <f t="shared" si="159"/>
        <v/>
      </c>
    </row>
    <row r="1269" spans="1:15">
      <c r="A1269" s="11"/>
      <c r="B1269" s="19"/>
      <c r="C1269" s="19"/>
      <c r="D1269" s="55"/>
      <c r="E1269" s="56"/>
      <c r="F1269" s="19"/>
      <c r="G1269" s="4" t="str">
        <f t="shared" si="152"/>
        <v/>
      </c>
      <c r="H1269" s="11" t="str">
        <f t="shared" si="153"/>
        <v/>
      </c>
      <c r="I1269" s="55" t="str">
        <f t="shared" si="154"/>
        <v/>
      </c>
      <c r="J1269" s="55" t="str">
        <f t="shared" si="155"/>
        <v/>
      </c>
      <c r="K1269" s="4" t="str">
        <f t="shared" si="156"/>
        <v/>
      </c>
      <c r="L1269" s="19" t="str">
        <f t="shared" si="157"/>
        <v/>
      </c>
      <c r="M1269" s="12" t="str">
        <f>IF(A1269="","",IFERROR(INDEX(المدخلات!$M$4:$M$15,MATCH(A1269,المدخلات!$L$4:$L$15,0)),""))</f>
        <v/>
      </c>
      <c r="N1269" s="4" t="str">
        <f t="shared" si="158"/>
        <v/>
      </c>
      <c r="O1269" s="4" t="str">
        <f t="shared" si="159"/>
        <v/>
      </c>
    </row>
    <row r="1270" spans="1:15">
      <c r="A1270" s="11"/>
      <c r="B1270" s="19"/>
      <c r="C1270" s="19"/>
      <c r="D1270" s="55"/>
      <c r="E1270" s="56"/>
      <c r="F1270" s="19"/>
      <c r="G1270" s="4" t="str">
        <f t="shared" si="152"/>
        <v/>
      </c>
      <c r="H1270" s="11" t="str">
        <f t="shared" si="153"/>
        <v/>
      </c>
      <c r="I1270" s="55" t="str">
        <f t="shared" si="154"/>
        <v/>
      </c>
      <c r="J1270" s="55" t="str">
        <f t="shared" si="155"/>
        <v/>
      </c>
      <c r="K1270" s="4" t="str">
        <f t="shared" si="156"/>
        <v/>
      </c>
      <c r="L1270" s="19" t="str">
        <f t="shared" si="157"/>
        <v/>
      </c>
      <c r="M1270" s="12" t="str">
        <f>IF(A1270="","",IFERROR(INDEX(المدخلات!$M$4:$M$15,MATCH(A1270,المدخلات!$L$4:$L$15,0)),""))</f>
        <v/>
      </c>
      <c r="N1270" s="4" t="str">
        <f t="shared" si="158"/>
        <v/>
      </c>
      <c r="O1270" s="4" t="str">
        <f t="shared" si="159"/>
        <v/>
      </c>
    </row>
    <row r="1271" spans="1:15">
      <c r="A1271" s="11"/>
      <c r="B1271" s="19"/>
      <c r="C1271" s="19"/>
      <c r="D1271" s="55"/>
      <c r="E1271" s="56"/>
      <c r="F1271" s="19"/>
      <c r="G1271" s="4" t="str">
        <f t="shared" si="152"/>
        <v/>
      </c>
      <c r="H1271" s="11" t="str">
        <f t="shared" si="153"/>
        <v/>
      </c>
      <c r="I1271" s="55" t="str">
        <f t="shared" si="154"/>
        <v/>
      </c>
      <c r="J1271" s="55" t="str">
        <f t="shared" si="155"/>
        <v/>
      </c>
      <c r="K1271" s="4" t="str">
        <f t="shared" si="156"/>
        <v/>
      </c>
      <c r="L1271" s="19" t="str">
        <f t="shared" si="157"/>
        <v/>
      </c>
      <c r="M1271" s="12" t="str">
        <f>IF(A1271="","",IFERROR(INDEX(المدخلات!$M$4:$M$15,MATCH(A1271,المدخلات!$L$4:$L$15,0)),""))</f>
        <v/>
      </c>
      <c r="N1271" s="4" t="str">
        <f t="shared" si="158"/>
        <v/>
      </c>
      <c r="O1271" s="4" t="str">
        <f t="shared" si="159"/>
        <v/>
      </c>
    </row>
    <row r="1272" spans="1:15">
      <c r="A1272" s="11"/>
      <c r="B1272" s="19"/>
      <c r="C1272" s="19"/>
      <c r="D1272" s="55"/>
      <c r="E1272" s="56"/>
      <c r="F1272" s="19"/>
      <c r="G1272" s="4" t="str">
        <f t="shared" si="152"/>
        <v/>
      </c>
      <c r="H1272" s="11" t="str">
        <f t="shared" si="153"/>
        <v/>
      </c>
      <c r="I1272" s="55" t="str">
        <f t="shared" si="154"/>
        <v/>
      </c>
      <c r="J1272" s="55" t="str">
        <f t="shared" si="155"/>
        <v/>
      </c>
      <c r="K1272" s="4" t="str">
        <f t="shared" si="156"/>
        <v/>
      </c>
      <c r="L1272" s="19" t="str">
        <f t="shared" si="157"/>
        <v/>
      </c>
      <c r="M1272" s="12" t="str">
        <f>IF(A1272="","",IFERROR(INDEX(المدخلات!$M$4:$M$15,MATCH(A1272,المدخلات!$L$4:$L$15,0)),""))</f>
        <v/>
      </c>
      <c r="N1272" s="4" t="str">
        <f t="shared" si="158"/>
        <v/>
      </c>
      <c r="O1272" s="4" t="str">
        <f t="shared" si="159"/>
        <v/>
      </c>
    </row>
    <row r="1273" spans="1:15">
      <c r="A1273" s="11"/>
      <c r="B1273" s="19"/>
      <c r="C1273" s="19"/>
      <c r="D1273" s="55"/>
      <c r="E1273" s="56"/>
      <c r="F1273" s="19"/>
      <c r="G1273" s="4" t="str">
        <f t="shared" si="152"/>
        <v/>
      </c>
      <c r="H1273" s="11" t="str">
        <f t="shared" si="153"/>
        <v/>
      </c>
      <c r="I1273" s="55" t="str">
        <f t="shared" si="154"/>
        <v/>
      </c>
      <c r="J1273" s="55" t="str">
        <f t="shared" si="155"/>
        <v/>
      </c>
      <c r="K1273" s="4" t="str">
        <f t="shared" si="156"/>
        <v/>
      </c>
      <c r="L1273" s="19" t="str">
        <f t="shared" si="157"/>
        <v/>
      </c>
      <c r="M1273" s="12" t="str">
        <f>IF(A1273="","",IFERROR(INDEX(المدخلات!$M$4:$M$15,MATCH(A1273,المدخلات!$L$4:$L$15,0)),""))</f>
        <v/>
      </c>
      <c r="N1273" s="4" t="str">
        <f t="shared" si="158"/>
        <v/>
      </c>
      <c r="O1273" s="4" t="str">
        <f t="shared" si="159"/>
        <v/>
      </c>
    </row>
    <row r="1274" spans="1:15">
      <c r="A1274" s="11"/>
      <c r="B1274" s="19"/>
      <c r="C1274" s="19"/>
      <c r="D1274" s="55"/>
      <c r="E1274" s="56"/>
      <c r="F1274" s="19"/>
      <c r="G1274" s="4" t="str">
        <f t="shared" si="152"/>
        <v/>
      </c>
      <c r="H1274" s="11" t="str">
        <f t="shared" si="153"/>
        <v/>
      </c>
      <c r="I1274" s="55" t="str">
        <f t="shared" si="154"/>
        <v/>
      </c>
      <c r="J1274" s="55" t="str">
        <f t="shared" si="155"/>
        <v/>
      </c>
      <c r="K1274" s="4" t="str">
        <f t="shared" si="156"/>
        <v/>
      </c>
      <c r="L1274" s="19" t="str">
        <f t="shared" si="157"/>
        <v/>
      </c>
      <c r="M1274" s="12" t="str">
        <f>IF(A1274="","",IFERROR(INDEX(المدخلات!$M$4:$M$15,MATCH(A1274,المدخلات!$L$4:$L$15,0)),""))</f>
        <v/>
      </c>
      <c r="N1274" s="4" t="str">
        <f t="shared" si="158"/>
        <v/>
      </c>
      <c r="O1274" s="4" t="str">
        <f t="shared" si="159"/>
        <v/>
      </c>
    </row>
    <row r="1275" spans="1:15">
      <c r="A1275" s="11"/>
      <c r="B1275" s="19"/>
      <c r="C1275" s="19"/>
      <c r="D1275" s="55"/>
      <c r="E1275" s="56"/>
      <c r="F1275" s="19"/>
      <c r="G1275" s="4" t="str">
        <f t="shared" si="152"/>
        <v/>
      </c>
      <c r="H1275" s="11" t="str">
        <f t="shared" si="153"/>
        <v/>
      </c>
      <c r="I1275" s="55" t="str">
        <f t="shared" si="154"/>
        <v/>
      </c>
      <c r="J1275" s="55" t="str">
        <f t="shared" si="155"/>
        <v/>
      </c>
      <c r="K1275" s="4" t="str">
        <f t="shared" si="156"/>
        <v/>
      </c>
      <c r="L1275" s="19" t="str">
        <f t="shared" si="157"/>
        <v/>
      </c>
      <c r="M1275" s="12" t="str">
        <f>IF(A1275="","",IFERROR(INDEX(المدخلات!$M$4:$M$15,MATCH(A1275,المدخلات!$L$4:$L$15,0)),""))</f>
        <v/>
      </c>
      <c r="N1275" s="4" t="str">
        <f t="shared" si="158"/>
        <v/>
      </c>
      <c r="O1275" s="4" t="str">
        <f t="shared" si="159"/>
        <v/>
      </c>
    </row>
    <row r="1276" spans="1:15">
      <c r="A1276" s="11"/>
      <c r="B1276" s="19"/>
      <c r="C1276" s="19"/>
      <c r="D1276" s="55"/>
      <c r="E1276" s="56"/>
      <c r="F1276" s="19"/>
      <c r="G1276" s="4" t="str">
        <f t="shared" si="152"/>
        <v/>
      </c>
      <c r="H1276" s="11" t="str">
        <f t="shared" si="153"/>
        <v/>
      </c>
      <c r="I1276" s="55" t="str">
        <f t="shared" si="154"/>
        <v/>
      </c>
      <c r="J1276" s="55" t="str">
        <f t="shared" si="155"/>
        <v/>
      </c>
      <c r="K1276" s="4" t="str">
        <f t="shared" si="156"/>
        <v/>
      </c>
      <c r="L1276" s="19" t="str">
        <f t="shared" si="157"/>
        <v/>
      </c>
      <c r="M1276" s="12" t="str">
        <f>IF(A1276="","",IFERROR(INDEX(المدخلات!$M$4:$M$15,MATCH(A1276,المدخلات!$L$4:$L$15,0)),""))</f>
        <v/>
      </c>
      <c r="N1276" s="4" t="str">
        <f t="shared" si="158"/>
        <v/>
      </c>
      <c r="O1276" s="4" t="str">
        <f t="shared" si="159"/>
        <v/>
      </c>
    </row>
    <row r="1277" spans="1:15">
      <c r="A1277" s="11"/>
      <c r="B1277" s="19"/>
      <c r="C1277" s="19"/>
      <c r="D1277" s="55"/>
      <c r="E1277" s="56"/>
      <c r="F1277" s="19"/>
      <c r="G1277" s="4" t="str">
        <f t="shared" si="152"/>
        <v/>
      </c>
      <c r="H1277" s="11" t="str">
        <f t="shared" si="153"/>
        <v/>
      </c>
      <c r="I1277" s="55" t="str">
        <f t="shared" si="154"/>
        <v/>
      </c>
      <c r="J1277" s="55" t="str">
        <f t="shared" si="155"/>
        <v/>
      </c>
      <c r="K1277" s="4" t="str">
        <f t="shared" si="156"/>
        <v/>
      </c>
      <c r="L1277" s="19" t="str">
        <f t="shared" si="157"/>
        <v/>
      </c>
      <c r="M1277" s="12" t="str">
        <f>IF(A1277="","",IFERROR(INDEX(المدخلات!$M$4:$M$15,MATCH(A1277,المدخلات!$L$4:$L$15,0)),""))</f>
        <v/>
      </c>
      <c r="N1277" s="4" t="str">
        <f t="shared" si="158"/>
        <v/>
      </c>
      <c r="O1277" s="4" t="str">
        <f t="shared" si="159"/>
        <v/>
      </c>
    </row>
    <row r="1278" spans="1:15">
      <c r="A1278" s="11"/>
      <c r="B1278" s="19"/>
      <c r="C1278" s="19"/>
      <c r="D1278" s="55"/>
      <c r="E1278" s="56"/>
      <c r="F1278" s="19"/>
      <c r="G1278" s="4" t="str">
        <f t="shared" si="152"/>
        <v/>
      </c>
      <c r="H1278" s="11" t="str">
        <f t="shared" si="153"/>
        <v/>
      </c>
      <c r="I1278" s="55" t="str">
        <f t="shared" si="154"/>
        <v/>
      </c>
      <c r="J1278" s="55" t="str">
        <f t="shared" si="155"/>
        <v/>
      </c>
      <c r="K1278" s="4" t="str">
        <f t="shared" si="156"/>
        <v/>
      </c>
      <c r="L1278" s="19" t="str">
        <f t="shared" si="157"/>
        <v/>
      </c>
      <c r="M1278" s="12" t="str">
        <f>IF(A1278="","",IFERROR(INDEX(المدخلات!$M$4:$M$15,MATCH(A1278,المدخلات!$L$4:$L$15,0)),""))</f>
        <v/>
      </c>
      <c r="N1278" s="4" t="str">
        <f t="shared" si="158"/>
        <v/>
      </c>
      <c r="O1278" s="4" t="str">
        <f t="shared" si="159"/>
        <v/>
      </c>
    </row>
    <row r="1279" spans="1:15">
      <c r="A1279" s="11"/>
      <c r="B1279" s="19"/>
      <c r="C1279" s="19"/>
      <c r="D1279" s="55"/>
      <c r="E1279" s="56"/>
      <c r="F1279" s="19"/>
      <c r="G1279" s="4" t="str">
        <f t="shared" si="152"/>
        <v/>
      </c>
      <c r="H1279" s="11" t="str">
        <f t="shared" si="153"/>
        <v/>
      </c>
      <c r="I1279" s="55" t="str">
        <f t="shared" si="154"/>
        <v/>
      </c>
      <c r="J1279" s="55" t="str">
        <f t="shared" si="155"/>
        <v/>
      </c>
      <c r="K1279" s="4" t="str">
        <f t="shared" si="156"/>
        <v/>
      </c>
      <c r="L1279" s="19" t="str">
        <f t="shared" si="157"/>
        <v/>
      </c>
      <c r="M1279" s="12" t="str">
        <f>IF(A1279="","",IFERROR(INDEX(المدخلات!$M$4:$M$15,MATCH(A1279,المدخلات!$L$4:$L$15,0)),""))</f>
        <v/>
      </c>
      <c r="N1279" s="4" t="str">
        <f t="shared" si="158"/>
        <v/>
      </c>
      <c r="O1279" s="4" t="str">
        <f t="shared" si="159"/>
        <v/>
      </c>
    </row>
    <row r="1280" spans="1:15">
      <c r="A1280" s="11"/>
      <c r="B1280" s="19"/>
      <c r="C1280" s="19"/>
      <c r="D1280" s="55"/>
      <c r="E1280" s="56"/>
      <c r="F1280" s="19"/>
      <c r="G1280" s="4" t="str">
        <f t="shared" si="152"/>
        <v/>
      </c>
      <c r="H1280" s="11" t="str">
        <f t="shared" si="153"/>
        <v/>
      </c>
      <c r="I1280" s="55" t="str">
        <f t="shared" si="154"/>
        <v/>
      </c>
      <c r="J1280" s="55" t="str">
        <f t="shared" si="155"/>
        <v/>
      </c>
      <c r="K1280" s="4" t="str">
        <f t="shared" si="156"/>
        <v/>
      </c>
      <c r="L1280" s="19" t="str">
        <f t="shared" si="157"/>
        <v/>
      </c>
      <c r="M1280" s="12" t="str">
        <f>IF(A1280="","",IFERROR(INDEX(المدخلات!$M$4:$M$15,MATCH(A1280,المدخلات!$L$4:$L$15,0)),""))</f>
        <v/>
      </c>
      <c r="N1280" s="4" t="str">
        <f t="shared" si="158"/>
        <v/>
      </c>
      <c r="O1280" s="4" t="str">
        <f t="shared" si="159"/>
        <v/>
      </c>
    </row>
    <row r="1281" spans="1:15">
      <c r="A1281" s="11"/>
      <c r="B1281" s="19"/>
      <c r="C1281" s="19"/>
      <c r="D1281" s="55"/>
      <c r="E1281" s="56"/>
      <c r="F1281" s="19"/>
      <c r="G1281" s="4" t="str">
        <f t="shared" si="152"/>
        <v/>
      </c>
      <c r="H1281" s="11" t="str">
        <f t="shared" si="153"/>
        <v/>
      </c>
      <c r="I1281" s="55" t="str">
        <f t="shared" si="154"/>
        <v/>
      </c>
      <c r="J1281" s="55" t="str">
        <f t="shared" si="155"/>
        <v/>
      </c>
      <c r="K1281" s="4" t="str">
        <f t="shared" si="156"/>
        <v/>
      </c>
      <c r="L1281" s="19" t="str">
        <f t="shared" si="157"/>
        <v/>
      </c>
      <c r="M1281" s="12" t="str">
        <f>IF(A1281="","",IFERROR(INDEX(المدخلات!$M$4:$M$15,MATCH(A1281,المدخلات!$L$4:$L$15,0)),""))</f>
        <v/>
      </c>
      <c r="N1281" s="4" t="str">
        <f t="shared" si="158"/>
        <v/>
      </c>
      <c r="O1281" s="4" t="str">
        <f t="shared" si="159"/>
        <v/>
      </c>
    </row>
    <row r="1282" spans="1:15">
      <c r="A1282" s="11"/>
      <c r="B1282" s="19"/>
      <c r="C1282" s="19"/>
      <c r="D1282" s="55"/>
      <c r="E1282" s="56"/>
      <c r="F1282" s="19"/>
      <c r="G1282" s="4" t="str">
        <f t="shared" si="152"/>
        <v/>
      </c>
      <c r="H1282" s="11" t="str">
        <f t="shared" si="153"/>
        <v/>
      </c>
      <c r="I1282" s="55" t="str">
        <f t="shared" si="154"/>
        <v/>
      </c>
      <c r="J1282" s="55" t="str">
        <f t="shared" si="155"/>
        <v/>
      </c>
      <c r="K1282" s="4" t="str">
        <f t="shared" si="156"/>
        <v/>
      </c>
      <c r="L1282" s="19" t="str">
        <f t="shared" si="157"/>
        <v/>
      </c>
      <c r="M1282" s="12" t="str">
        <f>IF(A1282="","",IFERROR(INDEX(المدخلات!$M$4:$M$15,MATCH(A1282,المدخلات!$L$4:$L$15,0)),""))</f>
        <v/>
      </c>
      <c r="N1282" s="4" t="str">
        <f t="shared" si="158"/>
        <v/>
      </c>
      <c r="O1282" s="4" t="str">
        <f t="shared" si="159"/>
        <v/>
      </c>
    </row>
    <row r="1283" spans="1:15">
      <c r="A1283" s="11"/>
      <c r="B1283" s="19"/>
      <c r="C1283" s="19"/>
      <c r="D1283" s="55"/>
      <c r="E1283" s="56"/>
      <c r="F1283" s="19"/>
      <c r="G1283" s="4" t="str">
        <f t="shared" si="152"/>
        <v/>
      </c>
      <c r="H1283" s="11" t="str">
        <f t="shared" si="153"/>
        <v/>
      </c>
      <c r="I1283" s="55" t="str">
        <f t="shared" si="154"/>
        <v/>
      </c>
      <c r="J1283" s="55" t="str">
        <f t="shared" si="155"/>
        <v/>
      </c>
      <c r="K1283" s="4" t="str">
        <f t="shared" si="156"/>
        <v/>
      </c>
      <c r="L1283" s="19" t="str">
        <f t="shared" si="157"/>
        <v/>
      </c>
      <c r="M1283" s="12" t="str">
        <f>IF(A1283="","",IFERROR(INDEX(المدخلات!$M$4:$M$15,MATCH(A1283,المدخلات!$L$4:$L$15,0)),""))</f>
        <v/>
      </c>
      <c r="N1283" s="4" t="str">
        <f t="shared" si="158"/>
        <v/>
      </c>
      <c r="O1283" s="4" t="str">
        <f t="shared" si="159"/>
        <v/>
      </c>
    </row>
    <row r="1284" spans="1:15">
      <c r="A1284" s="11"/>
      <c r="B1284" s="19"/>
      <c r="C1284" s="19"/>
      <c r="D1284" s="55"/>
      <c r="E1284" s="56"/>
      <c r="F1284" s="19"/>
      <c r="G1284" s="4" t="str">
        <f t="shared" si="152"/>
        <v/>
      </c>
      <c r="H1284" s="11" t="str">
        <f t="shared" si="153"/>
        <v/>
      </c>
      <c r="I1284" s="55" t="str">
        <f t="shared" si="154"/>
        <v/>
      </c>
      <c r="J1284" s="55" t="str">
        <f t="shared" si="155"/>
        <v/>
      </c>
      <c r="K1284" s="4" t="str">
        <f t="shared" si="156"/>
        <v/>
      </c>
      <c r="L1284" s="19" t="str">
        <f t="shared" si="157"/>
        <v/>
      </c>
      <c r="M1284" s="12" t="str">
        <f>IF(A1284="","",IFERROR(INDEX(المدخلات!$M$4:$M$15,MATCH(A1284,المدخلات!$L$4:$L$15,0)),""))</f>
        <v/>
      </c>
      <c r="N1284" s="4" t="str">
        <f t="shared" si="158"/>
        <v/>
      </c>
      <c r="O1284" s="4" t="str">
        <f t="shared" si="159"/>
        <v/>
      </c>
    </row>
    <row r="1285" spans="1:15">
      <c r="A1285" s="11"/>
      <c r="B1285" s="19"/>
      <c r="C1285" s="19"/>
      <c r="D1285" s="55"/>
      <c r="E1285" s="56"/>
      <c r="F1285" s="19"/>
      <c r="G1285" s="4" t="str">
        <f t="shared" ref="G1285:G1348" si="160">IF(OR(D1285="",E1285=""),"",D1285*E1285)</f>
        <v/>
      </c>
      <c r="H1285" s="11" t="str">
        <f t="shared" ref="H1285:H1348" si="161">IF(C1285="","",IFERROR(_xlfn.MAXIFS($A$5:$A$2003,$C$5:$C$2003,C1285,$A$5:$A$2003,"&lt;"&amp;A1285),0))</f>
        <v/>
      </c>
      <c r="I1285" s="55" t="str">
        <f t="shared" ref="I1285:I1348" si="162">IF(OR(H1285="",H1285=0),"",IFERROR(SUMIFS($D$5:$D$2003,$C$5:$C$2003,C1285,$A$5:$A$2003,H1285),""))</f>
        <v/>
      </c>
      <c r="J1285" s="55" t="str">
        <f t="shared" ref="J1285:J1348" si="163">IF(C1285="","",IF(I1285="",0,MAX(I1285-D1285,0)))</f>
        <v/>
      </c>
      <c r="K1285" s="4" t="str">
        <f t="shared" ref="K1285:K1348" si="164">IF(J1285="","",J1285*E1285)</f>
        <v/>
      </c>
      <c r="L1285" s="19" t="str">
        <f t="shared" ref="L1285:L1348" si="165">IF(C1285="","",IF(COUNTIFS($A$5:$A$2003,A1285,$C$5:$C$2003,C1285)&gt;1,"⚠️ مادة مكررة بنفس الشهر",IF(OR(H1285="",H1285=0),"🆕 أول ظهور لهذه المادة",IF(D1285&gt;I1285,"ℹ️ زيادة كمية (شراء/تصحيح) - لا تُحتسب استهلاكاً",IF(D1285=I1285,"➖ لا تغيير","")))))</f>
        <v/>
      </c>
      <c r="M1285" s="12" t="str">
        <f>IF(A1285="","",IFERROR(INDEX(المدخلات!$M$4:$M$15,MATCH(A1285,المدخلات!$L$4:$L$15,0)),""))</f>
        <v/>
      </c>
      <c r="N1285" s="4" t="str">
        <f t="shared" ref="N1285:N1348" si="166">IF(OR(G1285="",F1285=""),"",IF(F1285="دولار أمريكي",IF(M1285="","⚠️ لا يوجد سعر صرف",G1285*M1285),G1285))</f>
        <v/>
      </c>
      <c r="O1285" s="4" t="str">
        <f t="shared" ref="O1285:O1348" si="167">IF(OR(K1285="",F1285=""),"",IF(F1285="دولار أمريكي",IF(M1285="","⚠️ لا يوجد سعر صرف",K1285*M1285),K1285))</f>
        <v/>
      </c>
    </row>
    <row r="1286" spans="1:15">
      <c r="A1286" s="11"/>
      <c r="B1286" s="19"/>
      <c r="C1286" s="19"/>
      <c r="D1286" s="55"/>
      <c r="E1286" s="56"/>
      <c r="F1286" s="19"/>
      <c r="G1286" s="4" t="str">
        <f t="shared" si="160"/>
        <v/>
      </c>
      <c r="H1286" s="11" t="str">
        <f t="shared" si="161"/>
        <v/>
      </c>
      <c r="I1286" s="55" t="str">
        <f t="shared" si="162"/>
        <v/>
      </c>
      <c r="J1286" s="55" t="str">
        <f t="shared" si="163"/>
        <v/>
      </c>
      <c r="K1286" s="4" t="str">
        <f t="shared" si="164"/>
        <v/>
      </c>
      <c r="L1286" s="19" t="str">
        <f t="shared" si="165"/>
        <v/>
      </c>
      <c r="M1286" s="12" t="str">
        <f>IF(A1286="","",IFERROR(INDEX(المدخلات!$M$4:$M$15,MATCH(A1286,المدخلات!$L$4:$L$15,0)),""))</f>
        <v/>
      </c>
      <c r="N1286" s="4" t="str">
        <f t="shared" si="166"/>
        <v/>
      </c>
      <c r="O1286" s="4" t="str">
        <f t="shared" si="167"/>
        <v/>
      </c>
    </row>
    <row r="1287" spans="1:15">
      <c r="A1287" s="11"/>
      <c r="B1287" s="19"/>
      <c r="C1287" s="19"/>
      <c r="D1287" s="55"/>
      <c r="E1287" s="56"/>
      <c r="F1287" s="19"/>
      <c r="G1287" s="4" t="str">
        <f t="shared" si="160"/>
        <v/>
      </c>
      <c r="H1287" s="11" t="str">
        <f t="shared" si="161"/>
        <v/>
      </c>
      <c r="I1287" s="55" t="str">
        <f t="shared" si="162"/>
        <v/>
      </c>
      <c r="J1287" s="55" t="str">
        <f t="shared" si="163"/>
        <v/>
      </c>
      <c r="K1287" s="4" t="str">
        <f t="shared" si="164"/>
        <v/>
      </c>
      <c r="L1287" s="19" t="str">
        <f t="shared" si="165"/>
        <v/>
      </c>
      <c r="M1287" s="12" t="str">
        <f>IF(A1287="","",IFERROR(INDEX(المدخلات!$M$4:$M$15,MATCH(A1287,المدخلات!$L$4:$L$15,0)),""))</f>
        <v/>
      </c>
      <c r="N1287" s="4" t="str">
        <f t="shared" si="166"/>
        <v/>
      </c>
      <c r="O1287" s="4" t="str">
        <f t="shared" si="167"/>
        <v/>
      </c>
    </row>
    <row r="1288" spans="1:15">
      <c r="A1288" s="11"/>
      <c r="B1288" s="19"/>
      <c r="C1288" s="19"/>
      <c r="D1288" s="55"/>
      <c r="E1288" s="56"/>
      <c r="F1288" s="19"/>
      <c r="G1288" s="4" t="str">
        <f t="shared" si="160"/>
        <v/>
      </c>
      <c r="H1288" s="11" t="str">
        <f t="shared" si="161"/>
        <v/>
      </c>
      <c r="I1288" s="55" t="str">
        <f t="shared" si="162"/>
        <v/>
      </c>
      <c r="J1288" s="55" t="str">
        <f t="shared" si="163"/>
        <v/>
      </c>
      <c r="K1288" s="4" t="str">
        <f t="shared" si="164"/>
        <v/>
      </c>
      <c r="L1288" s="19" t="str">
        <f t="shared" si="165"/>
        <v/>
      </c>
      <c r="M1288" s="12" t="str">
        <f>IF(A1288="","",IFERROR(INDEX(المدخلات!$M$4:$M$15,MATCH(A1288,المدخلات!$L$4:$L$15,0)),""))</f>
        <v/>
      </c>
      <c r="N1288" s="4" t="str">
        <f t="shared" si="166"/>
        <v/>
      </c>
      <c r="O1288" s="4" t="str">
        <f t="shared" si="167"/>
        <v/>
      </c>
    </row>
    <row r="1289" spans="1:15">
      <c r="A1289" s="11"/>
      <c r="B1289" s="19"/>
      <c r="C1289" s="19"/>
      <c r="D1289" s="55"/>
      <c r="E1289" s="56"/>
      <c r="F1289" s="19"/>
      <c r="G1289" s="4" t="str">
        <f t="shared" si="160"/>
        <v/>
      </c>
      <c r="H1289" s="11" t="str">
        <f t="shared" si="161"/>
        <v/>
      </c>
      <c r="I1289" s="55" t="str">
        <f t="shared" si="162"/>
        <v/>
      </c>
      <c r="J1289" s="55" t="str">
        <f t="shared" si="163"/>
        <v/>
      </c>
      <c r="K1289" s="4" t="str">
        <f t="shared" si="164"/>
        <v/>
      </c>
      <c r="L1289" s="19" t="str">
        <f t="shared" si="165"/>
        <v/>
      </c>
      <c r="M1289" s="12" t="str">
        <f>IF(A1289="","",IFERROR(INDEX(المدخلات!$M$4:$M$15,MATCH(A1289,المدخلات!$L$4:$L$15,0)),""))</f>
        <v/>
      </c>
      <c r="N1289" s="4" t="str">
        <f t="shared" si="166"/>
        <v/>
      </c>
      <c r="O1289" s="4" t="str">
        <f t="shared" si="167"/>
        <v/>
      </c>
    </row>
    <row r="1290" spans="1:15">
      <c r="A1290" s="11"/>
      <c r="B1290" s="19"/>
      <c r="C1290" s="19"/>
      <c r="D1290" s="55"/>
      <c r="E1290" s="56"/>
      <c r="F1290" s="19"/>
      <c r="G1290" s="4" t="str">
        <f t="shared" si="160"/>
        <v/>
      </c>
      <c r="H1290" s="11" t="str">
        <f t="shared" si="161"/>
        <v/>
      </c>
      <c r="I1290" s="55" t="str">
        <f t="shared" si="162"/>
        <v/>
      </c>
      <c r="J1290" s="55" t="str">
        <f t="shared" si="163"/>
        <v/>
      </c>
      <c r="K1290" s="4" t="str">
        <f t="shared" si="164"/>
        <v/>
      </c>
      <c r="L1290" s="19" t="str">
        <f t="shared" si="165"/>
        <v/>
      </c>
      <c r="M1290" s="12" t="str">
        <f>IF(A1290="","",IFERROR(INDEX(المدخلات!$M$4:$M$15,MATCH(A1290,المدخلات!$L$4:$L$15,0)),""))</f>
        <v/>
      </c>
      <c r="N1290" s="4" t="str">
        <f t="shared" si="166"/>
        <v/>
      </c>
      <c r="O1290" s="4" t="str">
        <f t="shared" si="167"/>
        <v/>
      </c>
    </row>
    <row r="1291" spans="1:15">
      <c r="A1291" s="11"/>
      <c r="B1291" s="19"/>
      <c r="C1291" s="19"/>
      <c r="D1291" s="55"/>
      <c r="E1291" s="56"/>
      <c r="F1291" s="19"/>
      <c r="G1291" s="4" t="str">
        <f t="shared" si="160"/>
        <v/>
      </c>
      <c r="H1291" s="11" t="str">
        <f t="shared" si="161"/>
        <v/>
      </c>
      <c r="I1291" s="55" t="str">
        <f t="shared" si="162"/>
        <v/>
      </c>
      <c r="J1291" s="55" t="str">
        <f t="shared" si="163"/>
        <v/>
      </c>
      <c r="K1291" s="4" t="str">
        <f t="shared" si="164"/>
        <v/>
      </c>
      <c r="L1291" s="19" t="str">
        <f t="shared" si="165"/>
        <v/>
      </c>
      <c r="M1291" s="12" t="str">
        <f>IF(A1291="","",IFERROR(INDEX(المدخلات!$M$4:$M$15,MATCH(A1291,المدخلات!$L$4:$L$15,0)),""))</f>
        <v/>
      </c>
      <c r="N1291" s="4" t="str">
        <f t="shared" si="166"/>
        <v/>
      </c>
      <c r="O1291" s="4" t="str">
        <f t="shared" si="167"/>
        <v/>
      </c>
    </row>
    <row r="1292" spans="1:15">
      <c r="A1292" s="11"/>
      <c r="B1292" s="19"/>
      <c r="C1292" s="19"/>
      <c r="D1292" s="55"/>
      <c r="E1292" s="56"/>
      <c r="F1292" s="19"/>
      <c r="G1292" s="4" t="str">
        <f t="shared" si="160"/>
        <v/>
      </c>
      <c r="H1292" s="11" t="str">
        <f t="shared" si="161"/>
        <v/>
      </c>
      <c r="I1292" s="55" t="str">
        <f t="shared" si="162"/>
        <v/>
      </c>
      <c r="J1292" s="55" t="str">
        <f t="shared" si="163"/>
        <v/>
      </c>
      <c r="K1292" s="4" t="str">
        <f t="shared" si="164"/>
        <v/>
      </c>
      <c r="L1292" s="19" t="str">
        <f t="shared" si="165"/>
        <v/>
      </c>
      <c r="M1292" s="12" t="str">
        <f>IF(A1292="","",IFERROR(INDEX(المدخلات!$M$4:$M$15,MATCH(A1292,المدخلات!$L$4:$L$15,0)),""))</f>
        <v/>
      </c>
      <c r="N1292" s="4" t="str">
        <f t="shared" si="166"/>
        <v/>
      </c>
      <c r="O1292" s="4" t="str">
        <f t="shared" si="167"/>
        <v/>
      </c>
    </row>
    <row r="1293" spans="1:15">
      <c r="A1293" s="11"/>
      <c r="B1293" s="19"/>
      <c r="C1293" s="19"/>
      <c r="D1293" s="55"/>
      <c r="E1293" s="56"/>
      <c r="F1293" s="19"/>
      <c r="G1293" s="4" t="str">
        <f t="shared" si="160"/>
        <v/>
      </c>
      <c r="H1293" s="11" t="str">
        <f t="shared" si="161"/>
        <v/>
      </c>
      <c r="I1293" s="55" t="str">
        <f t="shared" si="162"/>
        <v/>
      </c>
      <c r="J1293" s="55" t="str">
        <f t="shared" si="163"/>
        <v/>
      </c>
      <c r="K1293" s="4" t="str">
        <f t="shared" si="164"/>
        <v/>
      </c>
      <c r="L1293" s="19" t="str">
        <f t="shared" si="165"/>
        <v/>
      </c>
      <c r="M1293" s="12" t="str">
        <f>IF(A1293="","",IFERROR(INDEX(المدخلات!$M$4:$M$15,MATCH(A1293,المدخلات!$L$4:$L$15,0)),""))</f>
        <v/>
      </c>
      <c r="N1293" s="4" t="str">
        <f t="shared" si="166"/>
        <v/>
      </c>
      <c r="O1293" s="4" t="str">
        <f t="shared" si="167"/>
        <v/>
      </c>
    </row>
    <row r="1294" spans="1:15">
      <c r="A1294" s="11"/>
      <c r="B1294" s="19"/>
      <c r="C1294" s="19"/>
      <c r="D1294" s="55"/>
      <c r="E1294" s="56"/>
      <c r="F1294" s="19"/>
      <c r="G1294" s="4" t="str">
        <f t="shared" si="160"/>
        <v/>
      </c>
      <c r="H1294" s="11" t="str">
        <f t="shared" si="161"/>
        <v/>
      </c>
      <c r="I1294" s="55" t="str">
        <f t="shared" si="162"/>
        <v/>
      </c>
      <c r="J1294" s="55" t="str">
        <f t="shared" si="163"/>
        <v/>
      </c>
      <c r="K1294" s="4" t="str">
        <f t="shared" si="164"/>
        <v/>
      </c>
      <c r="L1294" s="19" t="str">
        <f t="shared" si="165"/>
        <v/>
      </c>
      <c r="M1294" s="12" t="str">
        <f>IF(A1294="","",IFERROR(INDEX(المدخلات!$M$4:$M$15,MATCH(A1294,المدخلات!$L$4:$L$15,0)),""))</f>
        <v/>
      </c>
      <c r="N1294" s="4" t="str">
        <f t="shared" si="166"/>
        <v/>
      </c>
      <c r="O1294" s="4" t="str">
        <f t="shared" si="167"/>
        <v/>
      </c>
    </row>
    <row r="1295" spans="1:15">
      <c r="A1295" s="11"/>
      <c r="B1295" s="19"/>
      <c r="C1295" s="19"/>
      <c r="D1295" s="55"/>
      <c r="E1295" s="56"/>
      <c r="F1295" s="19"/>
      <c r="G1295" s="4" t="str">
        <f t="shared" si="160"/>
        <v/>
      </c>
      <c r="H1295" s="11" t="str">
        <f t="shared" si="161"/>
        <v/>
      </c>
      <c r="I1295" s="55" t="str">
        <f t="shared" si="162"/>
        <v/>
      </c>
      <c r="J1295" s="55" t="str">
        <f t="shared" si="163"/>
        <v/>
      </c>
      <c r="K1295" s="4" t="str">
        <f t="shared" si="164"/>
        <v/>
      </c>
      <c r="L1295" s="19" t="str">
        <f t="shared" si="165"/>
        <v/>
      </c>
      <c r="M1295" s="12" t="str">
        <f>IF(A1295="","",IFERROR(INDEX(المدخلات!$M$4:$M$15,MATCH(A1295,المدخلات!$L$4:$L$15,0)),""))</f>
        <v/>
      </c>
      <c r="N1295" s="4" t="str">
        <f t="shared" si="166"/>
        <v/>
      </c>
      <c r="O1295" s="4" t="str">
        <f t="shared" si="167"/>
        <v/>
      </c>
    </row>
    <row r="1296" spans="1:15">
      <c r="A1296" s="11"/>
      <c r="B1296" s="19"/>
      <c r="C1296" s="19"/>
      <c r="D1296" s="55"/>
      <c r="E1296" s="56"/>
      <c r="F1296" s="19"/>
      <c r="G1296" s="4" t="str">
        <f t="shared" si="160"/>
        <v/>
      </c>
      <c r="H1296" s="11" t="str">
        <f t="shared" si="161"/>
        <v/>
      </c>
      <c r="I1296" s="55" t="str">
        <f t="shared" si="162"/>
        <v/>
      </c>
      <c r="J1296" s="55" t="str">
        <f t="shared" si="163"/>
        <v/>
      </c>
      <c r="K1296" s="4" t="str">
        <f t="shared" si="164"/>
        <v/>
      </c>
      <c r="L1296" s="19" t="str">
        <f t="shared" si="165"/>
        <v/>
      </c>
      <c r="M1296" s="12" t="str">
        <f>IF(A1296="","",IFERROR(INDEX(المدخلات!$M$4:$M$15,MATCH(A1296,المدخلات!$L$4:$L$15,0)),""))</f>
        <v/>
      </c>
      <c r="N1296" s="4" t="str">
        <f t="shared" si="166"/>
        <v/>
      </c>
      <c r="O1296" s="4" t="str">
        <f t="shared" si="167"/>
        <v/>
      </c>
    </row>
    <row r="1297" spans="1:15">
      <c r="A1297" s="11"/>
      <c r="B1297" s="19"/>
      <c r="C1297" s="19"/>
      <c r="D1297" s="55"/>
      <c r="E1297" s="56"/>
      <c r="F1297" s="19"/>
      <c r="G1297" s="4" t="str">
        <f t="shared" si="160"/>
        <v/>
      </c>
      <c r="H1297" s="11" t="str">
        <f t="shared" si="161"/>
        <v/>
      </c>
      <c r="I1297" s="55" t="str">
        <f t="shared" si="162"/>
        <v/>
      </c>
      <c r="J1297" s="55" t="str">
        <f t="shared" si="163"/>
        <v/>
      </c>
      <c r="K1297" s="4" t="str">
        <f t="shared" si="164"/>
        <v/>
      </c>
      <c r="L1297" s="19" t="str">
        <f t="shared" si="165"/>
        <v/>
      </c>
      <c r="M1297" s="12" t="str">
        <f>IF(A1297="","",IFERROR(INDEX(المدخلات!$M$4:$M$15,MATCH(A1297,المدخلات!$L$4:$L$15,0)),""))</f>
        <v/>
      </c>
      <c r="N1297" s="4" t="str">
        <f t="shared" si="166"/>
        <v/>
      </c>
      <c r="O1297" s="4" t="str">
        <f t="shared" si="167"/>
        <v/>
      </c>
    </row>
    <row r="1298" spans="1:15">
      <c r="A1298" s="11"/>
      <c r="B1298" s="19"/>
      <c r="C1298" s="19"/>
      <c r="D1298" s="55"/>
      <c r="E1298" s="56"/>
      <c r="F1298" s="19"/>
      <c r="G1298" s="4" t="str">
        <f t="shared" si="160"/>
        <v/>
      </c>
      <c r="H1298" s="11" t="str">
        <f t="shared" si="161"/>
        <v/>
      </c>
      <c r="I1298" s="55" t="str">
        <f t="shared" si="162"/>
        <v/>
      </c>
      <c r="J1298" s="55" t="str">
        <f t="shared" si="163"/>
        <v/>
      </c>
      <c r="K1298" s="4" t="str">
        <f t="shared" si="164"/>
        <v/>
      </c>
      <c r="L1298" s="19" t="str">
        <f t="shared" si="165"/>
        <v/>
      </c>
      <c r="M1298" s="12" t="str">
        <f>IF(A1298="","",IFERROR(INDEX(المدخلات!$M$4:$M$15,MATCH(A1298,المدخلات!$L$4:$L$15,0)),""))</f>
        <v/>
      </c>
      <c r="N1298" s="4" t="str">
        <f t="shared" si="166"/>
        <v/>
      </c>
      <c r="O1298" s="4" t="str">
        <f t="shared" si="167"/>
        <v/>
      </c>
    </row>
    <row r="1299" spans="1:15">
      <c r="A1299" s="11"/>
      <c r="B1299" s="19"/>
      <c r="C1299" s="19"/>
      <c r="D1299" s="55"/>
      <c r="E1299" s="56"/>
      <c r="F1299" s="19"/>
      <c r="G1299" s="4" t="str">
        <f t="shared" si="160"/>
        <v/>
      </c>
      <c r="H1299" s="11" t="str">
        <f t="shared" si="161"/>
        <v/>
      </c>
      <c r="I1299" s="55" t="str">
        <f t="shared" si="162"/>
        <v/>
      </c>
      <c r="J1299" s="55" t="str">
        <f t="shared" si="163"/>
        <v/>
      </c>
      <c r="K1299" s="4" t="str">
        <f t="shared" si="164"/>
        <v/>
      </c>
      <c r="L1299" s="19" t="str">
        <f t="shared" si="165"/>
        <v/>
      </c>
      <c r="M1299" s="12" t="str">
        <f>IF(A1299="","",IFERROR(INDEX(المدخلات!$M$4:$M$15,MATCH(A1299,المدخلات!$L$4:$L$15,0)),""))</f>
        <v/>
      </c>
      <c r="N1299" s="4" t="str">
        <f t="shared" si="166"/>
        <v/>
      </c>
      <c r="O1299" s="4" t="str">
        <f t="shared" si="167"/>
        <v/>
      </c>
    </row>
    <row r="1300" spans="1:15">
      <c r="A1300" s="11"/>
      <c r="B1300" s="19"/>
      <c r="C1300" s="19"/>
      <c r="D1300" s="55"/>
      <c r="E1300" s="56"/>
      <c r="F1300" s="19"/>
      <c r="G1300" s="4" t="str">
        <f t="shared" si="160"/>
        <v/>
      </c>
      <c r="H1300" s="11" t="str">
        <f t="shared" si="161"/>
        <v/>
      </c>
      <c r="I1300" s="55" t="str">
        <f t="shared" si="162"/>
        <v/>
      </c>
      <c r="J1300" s="55" t="str">
        <f t="shared" si="163"/>
        <v/>
      </c>
      <c r="K1300" s="4" t="str">
        <f t="shared" si="164"/>
        <v/>
      </c>
      <c r="L1300" s="19" t="str">
        <f t="shared" si="165"/>
        <v/>
      </c>
      <c r="M1300" s="12" t="str">
        <f>IF(A1300="","",IFERROR(INDEX(المدخلات!$M$4:$M$15,MATCH(A1300,المدخلات!$L$4:$L$15,0)),""))</f>
        <v/>
      </c>
      <c r="N1300" s="4" t="str">
        <f t="shared" si="166"/>
        <v/>
      </c>
      <c r="O1300" s="4" t="str">
        <f t="shared" si="167"/>
        <v/>
      </c>
    </row>
    <row r="1301" spans="1:15">
      <c r="A1301" s="11"/>
      <c r="B1301" s="19"/>
      <c r="C1301" s="19"/>
      <c r="D1301" s="55"/>
      <c r="E1301" s="56"/>
      <c r="F1301" s="19"/>
      <c r="G1301" s="4" t="str">
        <f t="shared" si="160"/>
        <v/>
      </c>
      <c r="H1301" s="11" t="str">
        <f t="shared" si="161"/>
        <v/>
      </c>
      <c r="I1301" s="55" t="str">
        <f t="shared" si="162"/>
        <v/>
      </c>
      <c r="J1301" s="55" t="str">
        <f t="shared" si="163"/>
        <v/>
      </c>
      <c r="K1301" s="4" t="str">
        <f t="shared" si="164"/>
        <v/>
      </c>
      <c r="L1301" s="19" t="str">
        <f t="shared" si="165"/>
        <v/>
      </c>
      <c r="M1301" s="12" t="str">
        <f>IF(A1301="","",IFERROR(INDEX(المدخلات!$M$4:$M$15,MATCH(A1301,المدخلات!$L$4:$L$15,0)),""))</f>
        <v/>
      </c>
      <c r="N1301" s="4" t="str">
        <f t="shared" si="166"/>
        <v/>
      </c>
      <c r="O1301" s="4" t="str">
        <f t="shared" si="167"/>
        <v/>
      </c>
    </row>
    <row r="1302" spans="1:15">
      <c r="A1302" s="11"/>
      <c r="B1302" s="19"/>
      <c r="C1302" s="19"/>
      <c r="D1302" s="55"/>
      <c r="E1302" s="56"/>
      <c r="F1302" s="19"/>
      <c r="G1302" s="4" t="str">
        <f t="shared" si="160"/>
        <v/>
      </c>
      <c r="H1302" s="11" t="str">
        <f t="shared" si="161"/>
        <v/>
      </c>
      <c r="I1302" s="55" t="str">
        <f t="shared" si="162"/>
        <v/>
      </c>
      <c r="J1302" s="55" t="str">
        <f t="shared" si="163"/>
        <v/>
      </c>
      <c r="K1302" s="4" t="str">
        <f t="shared" si="164"/>
        <v/>
      </c>
      <c r="L1302" s="19" t="str">
        <f t="shared" si="165"/>
        <v/>
      </c>
      <c r="M1302" s="12" t="str">
        <f>IF(A1302="","",IFERROR(INDEX(المدخلات!$M$4:$M$15,MATCH(A1302,المدخلات!$L$4:$L$15,0)),""))</f>
        <v/>
      </c>
      <c r="N1302" s="4" t="str">
        <f t="shared" si="166"/>
        <v/>
      </c>
      <c r="O1302" s="4" t="str">
        <f t="shared" si="167"/>
        <v/>
      </c>
    </row>
    <row r="1303" spans="1:15">
      <c r="A1303" s="11"/>
      <c r="B1303" s="19"/>
      <c r="C1303" s="19"/>
      <c r="D1303" s="55"/>
      <c r="E1303" s="56"/>
      <c r="F1303" s="19"/>
      <c r="G1303" s="4" t="str">
        <f t="shared" si="160"/>
        <v/>
      </c>
      <c r="H1303" s="11" t="str">
        <f t="shared" si="161"/>
        <v/>
      </c>
      <c r="I1303" s="55" t="str">
        <f t="shared" si="162"/>
        <v/>
      </c>
      <c r="J1303" s="55" t="str">
        <f t="shared" si="163"/>
        <v/>
      </c>
      <c r="K1303" s="4" t="str">
        <f t="shared" si="164"/>
        <v/>
      </c>
      <c r="L1303" s="19" t="str">
        <f t="shared" si="165"/>
        <v/>
      </c>
      <c r="M1303" s="12" t="str">
        <f>IF(A1303="","",IFERROR(INDEX(المدخلات!$M$4:$M$15,MATCH(A1303,المدخلات!$L$4:$L$15,0)),""))</f>
        <v/>
      </c>
      <c r="N1303" s="4" t="str">
        <f t="shared" si="166"/>
        <v/>
      </c>
      <c r="O1303" s="4" t="str">
        <f t="shared" si="167"/>
        <v/>
      </c>
    </row>
    <row r="1304" spans="1:15">
      <c r="A1304" s="11"/>
      <c r="B1304" s="19"/>
      <c r="C1304" s="19"/>
      <c r="D1304" s="55"/>
      <c r="E1304" s="56"/>
      <c r="F1304" s="19"/>
      <c r="G1304" s="4" t="str">
        <f t="shared" si="160"/>
        <v/>
      </c>
      <c r="H1304" s="11" t="str">
        <f t="shared" si="161"/>
        <v/>
      </c>
      <c r="I1304" s="55" t="str">
        <f t="shared" si="162"/>
        <v/>
      </c>
      <c r="J1304" s="55" t="str">
        <f t="shared" si="163"/>
        <v/>
      </c>
      <c r="K1304" s="4" t="str">
        <f t="shared" si="164"/>
        <v/>
      </c>
      <c r="L1304" s="19" t="str">
        <f t="shared" si="165"/>
        <v/>
      </c>
      <c r="M1304" s="12" t="str">
        <f>IF(A1304="","",IFERROR(INDEX(المدخلات!$M$4:$M$15,MATCH(A1304,المدخلات!$L$4:$L$15,0)),""))</f>
        <v/>
      </c>
      <c r="N1304" s="4" t="str">
        <f t="shared" si="166"/>
        <v/>
      </c>
      <c r="O1304" s="4" t="str">
        <f t="shared" si="167"/>
        <v/>
      </c>
    </row>
    <row r="1305" spans="1:15">
      <c r="A1305" s="11"/>
      <c r="B1305" s="19"/>
      <c r="C1305" s="19"/>
      <c r="D1305" s="55"/>
      <c r="E1305" s="56"/>
      <c r="F1305" s="19"/>
      <c r="G1305" s="4" t="str">
        <f t="shared" si="160"/>
        <v/>
      </c>
      <c r="H1305" s="11" t="str">
        <f t="shared" si="161"/>
        <v/>
      </c>
      <c r="I1305" s="55" t="str">
        <f t="shared" si="162"/>
        <v/>
      </c>
      <c r="J1305" s="55" t="str">
        <f t="shared" si="163"/>
        <v/>
      </c>
      <c r="K1305" s="4" t="str">
        <f t="shared" si="164"/>
        <v/>
      </c>
      <c r="L1305" s="19" t="str">
        <f t="shared" si="165"/>
        <v/>
      </c>
      <c r="M1305" s="12" t="str">
        <f>IF(A1305="","",IFERROR(INDEX(المدخلات!$M$4:$M$15,MATCH(A1305,المدخلات!$L$4:$L$15,0)),""))</f>
        <v/>
      </c>
      <c r="N1305" s="4" t="str">
        <f t="shared" si="166"/>
        <v/>
      </c>
      <c r="O1305" s="4" t="str">
        <f t="shared" si="167"/>
        <v/>
      </c>
    </row>
    <row r="1306" spans="1:15">
      <c r="A1306" s="11"/>
      <c r="B1306" s="19"/>
      <c r="C1306" s="19"/>
      <c r="D1306" s="55"/>
      <c r="E1306" s="56"/>
      <c r="F1306" s="19"/>
      <c r="G1306" s="4" t="str">
        <f t="shared" si="160"/>
        <v/>
      </c>
      <c r="H1306" s="11" t="str">
        <f t="shared" si="161"/>
        <v/>
      </c>
      <c r="I1306" s="55" t="str">
        <f t="shared" si="162"/>
        <v/>
      </c>
      <c r="J1306" s="55" t="str">
        <f t="shared" si="163"/>
        <v/>
      </c>
      <c r="K1306" s="4" t="str">
        <f t="shared" si="164"/>
        <v/>
      </c>
      <c r="L1306" s="19" t="str">
        <f t="shared" si="165"/>
        <v/>
      </c>
      <c r="M1306" s="12" t="str">
        <f>IF(A1306="","",IFERROR(INDEX(المدخلات!$M$4:$M$15,MATCH(A1306,المدخلات!$L$4:$L$15,0)),""))</f>
        <v/>
      </c>
      <c r="N1306" s="4" t="str">
        <f t="shared" si="166"/>
        <v/>
      </c>
      <c r="O1306" s="4" t="str">
        <f t="shared" si="167"/>
        <v/>
      </c>
    </row>
    <row r="1307" spans="1:15">
      <c r="A1307" s="11"/>
      <c r="B1307" s="19"/>
      <c r="C1307" s="19"/>
      <c r="D1307" s="55"/>
      <c r="E1307" s="56"/>
      <c r="F1307" s="19"/>
      <c r="G1307" s="4" t="str">
        <f t="shared" si="160"/>
        <v/>
      </c>
      <c r="H1307" s="11" t="str">
        <f t="shared" si="161"/>
        <v/>
      </c>
      <c r="I1307" s="55" t="str">
        <f t="shared" si="162"/>
        <v/>
      </c>
      <c r="J1307" s="55" t="str">
        <f t="shared" si="163"/>
        <v/>
      </c>
      <c r="K1307" s="4" t="str">
        <f t="shared" si="164"/>
        <v/>
      </c>
      <c r="L1307" s="19" t="str">
        <f t="shared" si="165"/>
        <v/>
      </c>
      <c r="M1307" s="12" t="str">
        <f>IF(A1307="","",IFERROR(INDEX(المدخلات!$M$4:$M$15,MATCH(A1307,المدخلات!$L$4:$L$15,0)),""))</f>
        <v/>
      </c>
      <c r="N1307" s="4" t="str">
        <f t="shared" si="166"/>
        <v/>
      </c>
      <c r="O1307" s="4" t="str">
        <f t="shared" si="167"/>
        <v/>
      </c>
    </row>
    <row r="1308" spans="1:15">
      <c r="A1308" s="11"/>
      <c r="B1308" s="19"/>
      <c r="C1308" s="19"/>
      <c r="D1308" s="55"/>
      <c r="E1308" s="56"/>
      <c r="F1308" s="19"/>
      <c r="G1308" s="4" t="str">
        <f t="shared" si="160"/>
        <v/>
      </c>
      <c r="H1308" s="11" t="str">
        <f t="shared" si="161"/>
        <v/>
      </c>
      <c r="I1308" s="55" t="str">
        <f t="shared" si="162"/>
        <v/>
      </c>
      <c r="J1308" s="55" t="str">
        <f t="shared" si="163"/>
        <v/>
      </c>
      <c r="K1308" s="4" t="str">
        <f t="shared" si="164"/>
        <v/>
      </c>
      <c r="L1308" s="19" t="str">
        <f t="shared" si="165"/>
        <v/>
      </c>
      <c r="M1308" s="12" t="str">
        <f>IF(A1308="","",IFERROR(INDEX(المدخلات!$M$4:$M$15,MATCH(A1308,المدخلات!$L$4:$L$15,0)),""))</f>
        <v/>
      </c>
      <c r="N1308" s="4" t="str">
        <f t="shared" si="166"/>
        <v/>
      </c>
      <c r="O1308" s="4" t="str">
        <f t="shared" si="167"/>
        <v/>
      </c>
    </row>
    <row r="1309" spans="1:15">
      <c r="A1309" s="11"/>
      <c r="B1309" s="19"/>
      <c r="C1309" s="19"/>
      <c r="D1309" s="55"/>
      <c r="E1309" s="56"/>
      <c r="F1309" s="19"/>
      <c r="G1309" s="4" t="str">
        <f t="shared" si="160"/>
        <v/>
      </c>
      <c r="H1309" s="11" t="str">
        <f t="shared" si="161"/>
        <v/>
      </c>
      <c r="I1309" s="55" t="str">
        <f t="shared" si="162"/>
        <v/>
      </c>
      <c r="J1309" s="55" t="str">
        <f t="shared" si="163"/>
        <v/>
      </c>
      <c r="K1309" s="4" t="str">
        <f t="shared" si="164"/>
        <v/>
      </c>
      <c r="L1309" s="19" t="str">
        <f t="shared" si="165"/>
        <v/>
      </c>
      <c r="M1309" s="12" t="str">
        <f>IF(A1309="","",IFERROR(INDEX(المدخلات!$M$4:$M$15,MATCH(A1309,المدخلات!$L$4:$L$15,0)),""))</f>
        <v/>
      </c>
      <c r="N1309" s="4" t="str">
        <f t="shared" si="166"/>
        <v/>
      </c>
      <c r="O1309" s="4" t="str">
        <f t="shared" si="167"/>
        <v/>
      </c>
    </row>
    <row r="1310" spans="1:15">
      <c r="A1310" s="11"/>
      <c r="B1310" s="19"/>
      <c r="C1310" s="19"/>
      <c r="D1310" s="55"/>
      <c r="E1310" s="56"/>
      <c r="F1310" s="19"/>
      <c r="G1310" s="4" t="str">
        <f t="shared" si="160"/>
        <v/>
      </c>
      <c r="H1310" s="11" t="str">
        <f t="shared" si="161"/>
        <v/>
      </c>
      <c r="I1310" s="55" t="str">
        <f t="shared" si="162"/>
        <v/>
      </c>
      <c r="J1310" s="55" t="str">
        <f t="shared" si="163"/>
        <v/>
      </c>
      <c r="K1310" s="4" t="str">
        <f t="shared" si="164"/>
        <v/>
      </c>
      <c r="L1310" s="19" t="str">
        <f t="shared" si="165"/>
        <v/>
      </c>
      <c r="M1310" s="12" t="str">
        <f>IF(A1310="","",IFERROR(INDEX(المدخلات!$M$4:$M$15,MATCH(A1310,المدخلات!$L$4:$L$15,0)),""))</f>
        <v/>
      </c>
      <c r="N1310" s="4" t="str">
        <f t="shared" si="166"/>
        <v/>
      </c>
      <c r="O1310" s="4" t="str">
        <f t="shared" si="167"/>
        <v/>
      </c>
    </row>
    <row r="1311" spans="1:15">
      <c r="A1311" s="11"/>
      <c r="B1311" s="19"/>
      <c r="C1311" s="19"/>
      <c r="D1311" s="55"/>
      <c r="E1311" s="56"/>
      <c r="F1311" s="19"/>
      <c r="G1311" s="4" t="str">
        <f t="shared" si="160"/>
        <v/>
      </c>
      <c r="H1311" s="11" t="str">
        <f t="shared" si="161"/>
        <v/>
      </c>
      <c r="I1311" s="55" t="str">
        <f t="shared" si="162"/>
        <v/>
      </c>
      <c r="J1311" s="55" t="str">
        <f t="shared" si="163"/>
        <v/>
      </c>
      <c r="K1311" s="4" t="str">
        <f t="shared" si="164"/>
        <v/>
      </c>
      <c r="L1311" s="19" t="str">
        <f t="shared" si="165"/>
        <v/>
      </c>
      <c r="M1311" s="12" t="str">
        <f>IF(A1311="","",IFERROR(INDEX(المدخلات!$M$4:$M$15,MATCH(A1311,المدخلات!$L$4:$L$15,0)),""))</f>
        <v/>
      </c>
      <c r="N1311" s="4" t="str">
        <f t="shared" si="166"/>
        <v/>
      </c>
      <c r="O1311" s="4" t="str">
        <f t="shared" si="167"/>
        <v/>
      </c>
    </row>
    <row r="1312" spans="1:15">
      <c r="A1312" s="11"/>
      <c r="B1312" s="19"/>
      <c r="C1312" s="19"/>
      <c r="D1312" s="55"/>
      <c r="E1312" s="56"/>
      <c r="F1312" s="19"/>
      <c r="G1312" s="4" t="str">
        <f t="shared" si="160"/>
        <v/>
      </c>
      <c r="H1312" s="11" t="str">
        <f t="shared" si="161"/>
        <v/>
      </c>
      <c r="I1312" s="55" t="str">
        <f t="shared" si="162"/>
        <v/>
      </c>
      <c r="J1312" s="55" t="str">
        <f t="shared" si="163"/>
        <v/>
      </c>
      <c r="K1312" s="4" t="str">
        <f t="shared" si="164"/>
        <v/>
      </c>
      <c r="L1312" s="19" t="str">
        <f t="shared" si="165"/>
        <v/>
      </c>
      <c r="M1312" s="12" t="str">
        <f>IF(A1312="","",IFERROR(INDEX(المدخلات!$M$4:$M$15,MATCH(A1312,المدخلات!$L$4:$L$15,0)),""))</f>
        <v/>
      </c>
      <c r="N1312" s="4" t="str">
        <f t="shared" si="166"/>
        <v/>
      </c>
      <c r="O1312" s="4" t="str">
        <f t="shared" si="167"/>
        <v/>
      </c>
    </row>
    <row r="1313" spans="1:15">
      <c r="A1313" s="11"/>
      <c r="B1313" s="19"/>
      <c r="C1313" s="19"/>
      <c r="D1313" s="55"/>
      <c r="E1313" s="56"/>
      <c r="F1313" s="19"/>
      <c r="G1313" s="4" t="str">
        <f t="shared" si="160"/>
        <v/>
      </c>
      <c r="H1313" s="11" t="str">
        <f t="shared" si="161"/>
        <v/>
      </c>
      <c r="I1313" s="55" t="str">
        <f t="shared" si="162"/>
        <v/>
      </c>
      <c r="J1313" s="55" t="str">
        <f t="shared" si="163"/>
        <v/>
      </c>
      <c r="K1313" s="4" t="str">
        <f t="shared" si="164"/>
        <v/>
      </c>
      <c r="L1313" s="19" t="str">
        <f t="shared" si="165"/>
        <v/>
      </c>
      <c r="M1313" s="12" t="str">
        <f>IF(A1313="","",IFERROR(INDEX(المدخلات!$M$4:$M$15,MATCH(A1313,المدخلات!$L$4:$L$15,0)),""))</f>
        <v/>
      </c>
      <c r="N1313" s="4" t="str">
        <f t="shared" si="166"/>
        <v/>
      </c>
      <c r="O1313" s="4" t="str">
        <f t="shared" si="167"/>
        <v/>
      </c>
    </row>
    <row r="1314" spans="1:15">
      <c r="A1314" s="11"/>
      <c r="B1314" s="19"/>
      <c r="C1314" s="19"/>
      <c r="D1314" s="55"/>
      <c r="E1314" s="56"/>
      <c r="F1314" s="19"/>
      <c r="G1314" s="4" t="str">
        <f t="shared" si="160"/>
        <v/>
      </c>
      <c r="H1314" s="11" t="str">
        <f t="shared" si="161"/>
        <v/>
      </c>
      <c r="I1314" s="55" t="str">
        <f t="shared" si="162"/>
        <v/>
      </c>
      <c r="J1314" s="55" t="str">
        <f t="shared" si="163"/>
        <v/>
      </c>
      <c r="K1314" s="4" t="str">
        <f t="shared" si="164"/>
        <v/>
      </c>
      <c r="L1314" s="19" t="str">
        <f t="shared" si="165"/>
        <v/>
      </c>
      <c r="M1314" s="12" t="str">
        <f>IF(A1314="","",IFERROR(INDEX(المدخلات!$M$4:$M$15,MATCH(A1314,المدخلات!$L$4:$L$15,0)),""))</f>
        <v/>
      </c>
      <c r="N1314" s="4" t="str">
        <f t="shared" si="166"/>
        <v/>
      </c>
      <c r="O1314" s="4" t="str">
        <f t="shared" si="167"/>
        <v/>
      </c>
    </row>
    <row r="1315" spans="1:15">
      <c r="A1315" s="11"/>
      <c r="B1315" s="19"/>
      <c r="C1315" s="19"/>
      <c r="D1315" s="55"/>
      <c r="E1315" s="56"/>
      <c r="F1315" s="19"/>
      <c r="G1315" s="4" t="str">
        <f t="shared" si="160"/>
        <v/>
      </c>
      <c r="H1315" s="11" t="str">
        <f t="shared" si="161"/>
        <v/>
      </c>
      <c r="I1315" s="55" t="str">
        <f t="shared" si="162"/>
        <v/>
      </c>
      <c r="J1315" s="55" t="str">
        <f t="shared" si="163"/>
        <v/>
      </c>
      <c r="K1315" s="4" t="str">
        <f t="shared" si="164"/>
        <v/>
      </c>
      <c r="L1315" s="19" t="str">
        <f t="shared" si="165"/>
        <v/>
      </c>
      <c r="M1315" s="12" t="str">
        <f>IF(A1315="","",IFERROR(INDEX(المدخلات!$M$4:$M$15,MATCH(A1315,المدخلات!$L$4:$L$15,0)),""))</f>
        <v/>
      </c>
      <c r="N1315" s="4" t="str">
        <f t="shared" si="166"/>
        <v/>
      </c>
      <c r="O1315" s="4" t="str">
        <f t="shared" si="167"/>
        <v/>
      </c>
    </row>
    <row r="1316" spans="1:15">
      <c r="A1316" s="11"/>
      <c r="B1316" s="19"/>
      <c r="C1316" s="19"/>
      <c r="D1316" s="55"/>
      <c r="E1316" s="56"/>
      <c r="F1316" s="19"/>
      <c r="G1316" s="4" t="str">
        <f t="shared" si="160"/>
        <v/>
      </c>
      <c r="H1316" s="11" t="str">
        <f t="shared" si="161"/>
        <v/>
      </c>
      <c r="I1316" s="55" t="str">
        <f t="shared" si="162"/>
        <v/>
      </c>
      <c r="J1316" s="55" t="str">
        <f t="shared" si="163"/>
        <v/>
      </c>
      <c r="K1316" s="4" t="str">
        <f t="shared" si="164"/>
        <v/>
      </c>
      <c r="L1316" s="19" t="str">
        <f t="shared" si="165"/>
        <v/>
      </c>
      <c r="M1316" s="12" t="str">
        <f>IF(A1316="","",IFERROR(INDEX(المدخلات!$M$4:$M$15,MATCH(A1316,المدخلات!$L$4:$L$15,0)),""))</f>
        <v/>
      </c>
      <c r="N1316" s="4" t="str">
        <f t="shared" si="166"/>
        <v/>
      </c>
      <c r="O1316" s="4" t="str">
        <f t="shared" si="167"/>
        <v/>
      </c>
    </row>
    <row r="1317" spans="1:15">
      <c r="A1317" s="11"/>
      <c r="B1317" s="19"/>
      <c r="C1317" s="19"/>
      <c r="D1317" s="55"/>
      <c r="E1317" s="56"/>
      <c r="F1317" s="19"/>
      <c r="G1317" s="4" t="str">
        <f t="shared" si="160"/>
        <v/>
      </c>
      <c r="H1317" s="11" t="str">
        <f t="shared" si="161"/>
        <v/>
      </c>
      <c r="I1317" s="55" t="str">
        <f t="shared" si="162"/>
        <v/>
      </c>
      <c r="J1317" s="55" t="str">
        <f t="shared" si="163"/>
        <v/>
      </c>
      <c r="K1317" s="4" t="str">
        <f t="shared" si="164"/>
        <v/>
      </c>
      <c r="L1317" s="19" t="str">
        <f t="shared" si="165"/>
        <v/>
      </c>
      <c r="M1317" s="12" t="str">
        <f>IF(A1317="","",IFERROR(INDEX(المدخلات!$M$4:$M$15,MATCH(A1317,المدخلات!$L$4:$L$15,0)),""))</f>
        <v/>
      </c>
      <c r="N1317" s="4" t="str">
        <f t="shared" si="166"/>
        <v/>
      </c>
      <c r="O1317" s="4" t="str">
        <f t="shared" si="167"/>
        <v/>
      </c>
    </row>
    <row r="1318" spans="1:15">
      <c r="A1318" s="11"/>
      <c r="B1318" s="19"/>
      <c r="C1318" s="19"/>
      <c r="D1318" s="55"/>
      <c r="E1318" s="56"/>
      <c r="F1318" s="19"/>
      <c r="G1318" s="4" t="str">
        <f t="shared" si="160"/>
        <v/>
      </c>
      <c r="H1318" s="11" t="str">
        <f t="shared" si="161"/>
        <v/>
      </c>
      <c r="I1318" s="55" t="str">
        <f t="shared" si="162"/>
        <v/>
      </c>
      <c r="J1318" s="55" t="str">
        <f t="shared" si="163"/>
        <v/>
      </c>
      <c r="K1318" s="4" t="str">
        <f t="shared" si="164"/>
        <v/>
      </c>
      <c r="L1318" s="19" t="str">
        <f t="shared" si="165"/>
        <v/>
      </c>
      <c r="M1318" s="12" t="str">
        <f>IF(A1318="","",IFERROR(INDEX(المدخلات!$M$4:$M$15,MATCH(A1318,المدخلات!$L$4:$L$15,0)),""))</f>
        <v/>
      </c>
      <c r="N1318" s="4" t="str">
        <f t="shared" si="166"/>
        <v/>
      </c>
      <c r="O1318" s="4" t="str">
        <f t="shared" si="167"/>
        <v/>
      </c>
    </row>
    <row r="1319" spans="1:15">
      <c r="A1319" s="11"/>
      <c r="B1319" s="19"/>
      <c r="C1319" s="19"/>
      <c r="D1319" s="55"/>
      <c r="E1319" s="56"/>
      <c r="F1319" s="19"/>
      <c r="G1319" s="4" t="str">
        <f t="shared" si="160"/>
        <v/>
      </c>
      <c r="H1319" s="11" t="str">
        <f t="shared" si="161"/>
        <v/>
      </c>
      <c r="I1319" s="55" t="str">
        <f t="shared" si="162"/>
        <v/>
      </c>
      <c r="J1319" s="55" t="str">
        <f t="shared" si="163"/>
        <v/>
      </c>
      <c r="K1319" s="4" t="str">
        <f t="shared" si="164"/>
        <v/>
      </c>
      <c r="L1319" s="19" t="str">
        <f t="shared" si="165"/>
        <v/>
      </c>
      <c r="M1319" s="12" t="str">
        <f>IF(A1319="","",IFERROR(INDEX(المدخلات!$M$4:$M$15,MATCH(A1319,المدخلات!$L$4:$L$15,0)),""))</f>
        <v/>
      </c>
      <c r="N1319" s="4" t="str">
        <f t="shared" si="166"/>
        <v/>
      </c>
      <c r="O1319" s="4" t="str">
        <f t="shared" si="167"/>
        <v/>
      </c>
    </row>
    <row r="1320" spans="1:15">
      <c r="A1320" s="11"/>
      <c r="B1320" s="19"/>
      <c r="C1320" s="19"/>
      <c r="D1320" s="55"/>
      <c r="E1320" s="56"/>
      <c r="F1320" s="19"/>
      <c r="G1320" s="4" t="str">
        <f t="shared" si="160"/>
        <v/>
      </c>
      <c r="H1320" s="11" t="str">
        <f t="shared" si="161"/>
        <v/>
      </c>
      <c r="I1320" s="55" t="str">
        <f t="shared" si="162"/>
        <v/>
      </c>
      <c r="J1320" s="55" t="str">
        <f t="shared" si="163"/>
        <v/>
      </c>
      <c r="K1320" s="4" t="str">
        <f t="shared" si="164"/>
        <v/>
      </c>
      <c r="L1320" s="19" t="str">
        <f t="shared" si="165"/>
        <v/>
      </c>
      <c r="M1320" s="12" t="str">
        <f>IF(A1320="","",IFERROR(INDEX(المدخلات!$M$4:$M$15,MATCH(A1320,المدخلات!$L$4:$L$15,0)),""))</f>
        <v/>
      </c>
      <c r="N1320" s="4" t="str">
        <f t="shared" si="166"/>
        <v/>
      </c>
      <c r="O1320" s="4" t="str">
        <f t="shared" si="167"/>
        <v/>
      </c>
    </row>
    <row r="1321" spans="1:15">
      <c r="A1321" s="11"/>
      <c r="B1321" s="19"/>
      <c r="C1321" s="19"/>
      <c r="D1321" s="55"/>
      <c r="E1321" s="56"/>
      <c r="F1321" s="19"/>
      <c r="G1321" s="4" t="str">
        <f t="shared" si="160"/>
        <v/>
      </c>
      <c r="H1321" s="11" t="str">
        <f t="shared" si="161"/>
        <v/>
      </c>
      <c r="I1321" s="55" t="str">
        <f t="shared" si="162"/>
        <v/>
      </c>
      <c r="J1321" s="55" t="str">
        <f t="shared" si="163"/>
        <v/>
      </c>
      <c r="K1321" s="4" t="str">
        <f t="shared" si="164"/>
        <v/>
      </c>
      <c r="L1321" s="19" t="str">
        <f t="shared" si="165"/>
        <v/>
      </c>
      <c r="M1321" s="12" t="str">
        <f>IF(A1321="","",IFERROR(INDEX(المدخلات!$M$4:$M$15,MATCH(A1321,المدخلات!$L$4:$L$15,0)),""))</f>
        <v/>
      </c>
      <c r="N1321" s="4" t="str">
        <f t="shared" si="166"/>
        <v/>
      </c>
      <c r="O1321" s="4" t="str">
        <f t="shared" si="167"/>
        <v/>
      </c>
    </row>
    <row r="1322" spans="1:15">
      <c r="A1322" s="11"/>
      <c r="B1322" s="19"/>
      <c r="C1322" s="19"/>
      <c r="D1322" s="55"/>
      <c r="E1322" s="56"/>
      <c r="F1322" s="19"/>
      <c r="G1322" s="4" t="str">
        <f t="shared" si="160"/>
        <v/>
      </c>
      <c r="H1322" s="11" t="str">
        <f t="shared" si="161"/>
        <v/>
      </c>
      <c r="I1322" s="55" t="str">
        <f t="shared" si="162"/>
        <v/>
      </c>
      <c r="J1322" s="55" t="str">
        <f t="shared" si="163"/>
        <v/>
      </c>
      <c r="K1322" s="4" t="str">
        <f t="shared" si="164"/>
        <v/>
      </c>
      <c r="L1322" s="19" t="str">
        <f t="shared" si="165"/>
        <v/>
      </c>
      <c r="M1322" s="12" t="str">
        <f>IF(A1322="","",IFERROR(INDEX(المدخلات!$M$4:$M$15,MATCH(A1322,المدخلات!$L$4:$L$15,0)),""))</f>
        <v/>
      </c>
      <c r="N1322" s="4" t="str">
        <f t="shared" si="166"/>
        <v/>
      </c>
      <c r="O1322" s="4" t="str">
        <f t="shared" si="167"/>
        <v/>
      </c>
    </row>
    <row r="1323" spans="1:15">
      <c r="A1323" s="11"/>
      <c r="B1323" s="19"/>
      <c r="C1323" s="19"/>
      <c r="D1323" s="55"/>
      <c r="E1323" s="56"/>
      <c r="F1323" s="19"/>
      <c r="G1323" s="4" t="str">
        <f t="shared" si="160"/>
        <v/>
      </c>
      <c r="H1323" s="11" t="str">
        <f t="shared" si="161"/>
        <v/>
      </c>
      <c r="I1323" s="55" t="str">
        <f t="shared" si="162"/>
        <v/>
      </c>
      <c r="J1323" s="55" t="str">
        <f t="shared" si="163"/>
        <v/>
      </c>
      <c r="K1323" s="4" t="str">
        <f t="shared" si="164"/>
        <v/>
      </c>
      <c r="L1323" s="19" t="str">
        <f t="shared" si="165"/>
        <v/>
      </c>
      <c r="M1323" s="12" t="str">
        <f>IF(A1323="","",IFERROR(INDEX(المدخلات!$M$4:$M$15,MATCH(A1323,المدخلات!$L$4:$L$15,0)),""))</f>
        <v/>
      </c>
      <c r="N1323" s="4" t="str">
        <f t="shared" si="166"/>
        <v/>
      </c>
      <c r="O1323" s="4" t="str">
        <f t="shared" si="167"/>
        <v/>
      </c>
    </row>
    <row r="1324" spans="1:15">
      <c r="A1324" s="11"/>
      <c r="B1324" s="19"/>
      <c r="C1324" s="19"/>
      <c r="D1324" s="55"/>
      <c r="E1324" s="56"/>
      <c r="F1324" s="19"/>
      <c r="G1324" s="4" t="str">
        <f t="shared" si="160"/>
        <v/>
      </c>
      <c r="H1324" s="11" t="str">
        <f t="shared" si="161"/>
        <v/>
      </c>
      <c r="I1324" s="55" t="str">
        <f t="shared" si="162"/>
        <v/>
      </c>
      <c r="J1324" s="55" t="str">
        <f t="shared" si="163"/>
        <v/>
      </c>
      <c r="K1324" s="4" t="str">
        <f t="shared" si="164"/>
        <v/>
      </c>
      <c r="L1324" s="19" t="str">
        <f t="shared" si="165"/>
        <v/>
      </c>
      <c r="M1324" s="12" t="str">
        <f>IF(A1324="","",IFERROR(INDEX(المدخلات!$M$4:$M$15,MATCH(A1324,المدخلات!$L$4:$L$15,0)),""))</f>
        <v/>
      </c>
      <c r="N1324" s="4" t="str">
        <f t="shared" si="166"/>
        <v/>
      </c>
      <c r="O1324" s="4" t="str">
        <f t="shared" si="167"/>
        <v/>
      </c>
    </row>
    <row r="1325" spans="1:15">
      <c r="A1325" s="11"/>
      <c r="B1325" s="19"/>
      <c r="C1325" s="19"/>
      <c r="D1325" s="55"/>
      <c r="E1325" s="56"/>
      <c r="F1325" s="19"/>
      <c r="G1325" s="4" t="str">
        <f t="shared" si="160"/>
        <v/>
      </c>
      <c r="H1325" s="11" t="str">
        <f t="shared" si="161"/>
        <v/>
      </c>
      <c r="I1325" s="55" t="str">
        <f t="shared" si="162"/>
        <v/>
      </c>
      <c r="J1325" s="55" t="str">
        <f t="shared" si="163"/>
        <v/>
      </c>
      <c r="K1325" s="4" t="str">
        <f t="shared" si="164"/>
        <v/>
      </c>
      <c r="L1325" s="19" t="str">
        <f t="shared" si="165"/>
        <v/>
      </c>
      <c r="M1325" s="12" t="str">
        <f>IF(A1325="","",IFERROR(INDEX(المدخلات!$M$4:$M$15,MATCH(A1325,المدخلات!$L$4:$L$15,0)),""))</f>
        <v/>
      </c>
      <c r="N1325" s="4" t="str">
        <f t="shared" si="166"/>
        <v/>
      </c>
      <c r="O1325" s="4" t="str">
        <f t="shared" si="167"/>
        <v/>
      </c>
    </row>
    <row r="1326" spans="1:15">
      <c r="A1326" s="11"/>
      <c r="B1326" s="19"/>
      <c r="C1326" s="19"/>
      <c r="D1326" s="55"/>
      <c r="E1326" s="56"/>
      <c r="F1326" s="19"/>
      <c r="G1326" s="4" t="str">
        <f t="shared" si="160"/>
        <v/>
      </c>
      <c r="H1326" s="11" t="str">
        <f t="shared" si="161"/>
        <v/>
      </c>
      <c r="I1326" s="55" t="str">
        <f t="shared" si="162"/>
        <v/>
      </c>
      <c r="J1326" s="55" t="str">
        <f t="shared" si="163"/>
        <v/>
      </c>
      <c r="K1326" s="4" t="str">
        <f t="shared" si="164"/>
        <v/>
      </c>
      <c r="L1326" s="19" t="str">
        <f t="shared" si="165"/>
        <v/>
      </c>
      <c r="M1326" s="12" t="str">
        <f>IF(A1326="","",IFERROR(INDEX(المدخلات!$M$4:$M$15,MATCH(A1326,المدخلات!$L$4:$L$15,0)),""))</f>
        <v/>
      </c>
      <c r="N1326" s="4" t="str">
        <f t="shared" si="166"/>
        <v/>
      </c>
      <c r="O1326" s="4" t="str">
        <f t="shared" si="167"/>
        <v/>
      </c>
    </row>
    <row r="1327" spans="1:15">
      <c r="A1327" s="11"/>
      <c r="B1327" s="19"/>
      <c r="C1327" s="19"/>
      <c r="D1327" s="55"/>
      <c r="E1327" s="56"/>
      <c r="F1327" s="19"/>
      <c r="G1327" s="4" t="str">
        <f t="shared" si="160"/>
        <v/>
      </c>
      <c r="H1327" s="11" t="str">
        <f t="shared" si="161"/>
        <v/>
      </c>
      <c r="I1327" s="55" t="str">
        <f t="shared" si="162"/>
        <v/>
      </c>
      <c r="J1327" s="55" t="str">
        <f t="shared" si="163"/>
        <v/>
      </c>
      <c r="K1327" s="4" t="str">
        <f t="shared" si="164"/>
        <v/>
      </c>
      <c r="L1327" s="19" t="str">
        <f t="shared" si="165"/>
        <v/>
      </c>
      <c r="M1327" s="12" t="str">
        <f>IF(A1327="","",IFERROR(INDEX(المدخلات!$M$4:$M$15,MATCH(A1327,المدخلات!$L$4:$L$15,0)),""))</f>
        <v/>
      </c>
      <c r="N1327" s="4" t="str">
        <f t="shared" si="166"/>
        <v/>
      </c>
      <c r="O1327" s="4" t="str">
        <f t="shared" si="167"/>
        <v/>
      </c>
    </row>
    <row r="1328" spans="1:15">
      <c r="A1328" s="11"/>
      <c r="B1328" s="19"/>
      <c r="C1328" s="19"/>
      <c r="D1328" s="55"/>
      <c r="E1328" s="56"/>
      <c r="F1328" s="19"/>
      <c r="G1328" s="4" t="str">
        <f t="shared" si="160"/>
        <v/>
      </c>
      <c r="H1328" s="11" t="str">
        <f t="shared" si="161"/>
        <v/>
      </c>
      <c r="I1328" s="55" t="str">
        <f t="shared" si="162"/>
        <v/>
      </c>
      <c r="J1328" s="55" t="str">
        <f t="shared" si="163"/>
        <v/>
      </c>
      <c r="K1328" s="4" t="str">
        <f t="shared" si="164"/>
        <v/>
      </c>
      <c r="L1328" s="19" t="str">
        <f t="shared" si="165"/>
        <v/>
      </c>
      <c r="M1328" s="12" t="str">
        <f>IF(A1328="","",IFERROR(INDEX(المدخلات!$M$4:$M$15,MATCH(A1328,المدخلات!$L$4:$L$15,0)),""))</f>
        <v/>
      </c>
      <c r="N1328" s="4" t="str">
        <f t="shared" si="166"/>
        <v/>
      </c>
      <c r="O1328" s="4" t="str">
        <f t="shared" si="167"/>
        <v/>
      </c>
    </row>
    <row r="1329" spans="1:15">
      <c r="A1329" s="11"/>
      <c r="B1329" s="19"/>
      <c r="C1329" s="19"/>
      <c r="D1329" s="55"/>
      <c r="E1329" s="56"/>
      <c r="F1329" s="19"/>
      <c r="G1329" s="4" t="str">
        <f t="shared" si="160"/>
        <v/>
      </c>
      <c r="H1329" s="11" t="str">
        <f t="shared" si="161"/>
        <v/>
      </c>
      <c r="I1329" s="55" t="str">
        <f t="shared" si="162"/>
        <v/>
      </c>
      <c r="J1329" s="55" t="str">
        <f t="shared" si="163"/>
        <v/>
      </c>
      <c r="K1329" s="4" t="str">
        <f t="shared" si="164"/>
        <v/>
      </c>
      <c r="L1329" s="19" t="str">
        <f t="shared" si="165"/>
        <v/>
      </c>
      <c r="M1329" s="12" t="str">
        <f>IF(A1329="","",IFERROR(INDEX(المدخلات!$M$4:$M$15,MATCH(A1329,المدخلات!$L$4:$L$15,0)),""))</f>
        <v/>
      </c>
      <c r="N1329" s="4" t="str">
        <f t="shared" si="166"/>
        <v/>
      </c>
      <c r="O1329" s="4" t="str">
        <f t="shared" si="167"/>
        <v/>
      </c>
    </row>
    <row r="1330" spans="1:15">
      <c r="A1330" s="11"/>
      <c r="B1330" s="19"/>
      <c r="C1330" s="19"/>
      <c r="D1330" s="55"/>
      <c r="E1330" s="56"/>
      <c r="F1330" s="19"/>
      <c r="G1330" s="4" t="str">
        <f t="shared" si="160"/>
        <v/>
      </c>
      <c r="H1330" s="11" t="str">
        <f t="shared" si="161"/>
        <v/>
      </c>
      <c r="I1330" s="55" t="str">
        <f t="shared" si="162"/>
        <v/>
      </c>
      <c r="J1330" s="55" t="str">
        <f t="shared" si="163"/>
        <v/>
      </c>
      <c r="K1330" s="4" t="str">
        <f t="shared" si="164"/>
        <v/>
      </c>
      <c r="L1330" s="19" t="str">
        <f t="shared" si="165"/>
        <v/>
      </c>
      <c r="M1330" s="12" t="str">
        <f>IF(A1330="","",IFERROR(INDEX(المدخلات!$M$4:$M$15,MATCH(A1330,المدخلات!$L$4:$L$15,0)),""))</f>
        <v/>
      </c>
      <c r="N1330" s="4" t="str">
        <f t="shared" si="166"/>
        <v/>
      </c>
      <c r="O1330" s="4" t="str">
        <f t="shared" si="167"/>
        <v/>
      </c>
    </row>
    <row r="1331" spans="1:15">
      <c r="A1331" s="11"/>
      <c r="B1331" s="19"/>
      <c r="C1331" s="19"/>
      <c r="D1331" s="55"/>
      <c r="E1331" s="56"/>
      <c r="F1331" s="19"/>
      <c r="G1331" s="4" t="str">
        <f t="shared" si="160"/>
        <v/>
      </c>
      <c r="H1331" s="11" t="str">
        <f t="shared" si="161"/>
        <v/>
      </c>
      <c r="I1331" s="55" t="str">
        <f t="shared" si="162"/>
        <v/>
      </c>
      <c r="J1331" s="55" t="str">
        <f t="shared" si="163"/>
        <v/>
      </c>
      <c r="K1331" s="4" t="str">
        <f t="shared" si="164"/>
        <v/>
      </c>
      <c r="L1331" s="19" t="str">
        <f t="shared" si="165"/>
        <v/>
      </c>
      <c r="M1331" s="12" t="str">
        <f>IF(A1331="","",IFERROR(INDEX(المدخلات!$M$4:$M$15,MATCH(A1331,المدخلات!$L$4:$L$15,0)),""))</f>
        <v/>
      </c>
      <c r="N1331" s="4" t="str">
        <f t="shared" si="166"/>
        <v/>
      </c>
      <c r="O1331" s="4" t="str">
        <f t="shared" si="167"/>
        <v/>
      </c>
    </row>
    <row r="1332" spans="1:15">
      <c r="A1332" s="11"/>
      <c r="B1332" s="19"/>
      <c r="C1332" s="19"/>
      <c r="D1332" s="55"/>
      <c r="E1332" s="56"/>
      <c r="F1332" s="19"/>
      <c r="G1332" s="4" t="str">
        <f t="shared" si="160"/>
        <v/>
      </c>
      <c r="H1332" s="11" t="str">
        <f t="shared" si="161"/>
        <v/>
      </c>
      <c r="I1332" s="55" t="str">
        <f t="shared" si="162"/>
        <v/>
      </c>
      <c r="J1332" s="55" t="str">
        <f t="shared" si="163"/>
        <v/>
      </c>
      <c r="K1332" s="4" t="str">
        <f t="shared" si="164"/>
        <v/>
      </c>
      <c r="L1332" s="19" t="str">
        <f t="shared" si="165"/>
        <v/>
      </c>
      <c r="M1332" s="12" t="str">
        <f>IF(A1332="","",IFERROR(INDEX(المدخلات!$M$4:$M$15,MATCH(A1332,المدخلات!$L$4:$L$15,0)),""))</f>
        <v/>
      </c>
      <c r="N1332" s="4" t="str">
        <f t="shared" si="166"/>
        <v/>
      </c>
      <c r="O1332" s="4" t="str">
        <f t="shared" si="167"/>
        <v/>
      </c>
    </row>
    <row r="1333" spans="1:15">
      <c r="A1333" s="11"/>
      <c r="B1333" s="19"/>
      <c r="C1333" s="19"/>
      <c r="D1333" s="55"/>
      <c r="E1333" s="56"/>
      <c r="F1333" s="19"/>
      <c r="G1333" s="4" t="str">
        <f t="shared" si="160"/>
        <v/>
      </c>
      <c r="H1333" s="11" t="str">
        <f t="shared" si="161"/>
        <v/>
      </c>
      <c r="I1333" s="55" t="str">
        <f t="shared" si="162"/>
        <v/>
      </c>
      <c r="J1333" s="55" t="str">
        <f t="shared" si="163"/>
        <v/>
      </c>
      <c r="K1333" s="4" t="str">
        <f t="shared" si="164"/>
        <v/>
      </c>
      <c r="L1333" s="19" t="str">
        <f t="shared" si="165"/>
        <v/>
      </c>
      <c r="M1333" s="12" t="str">
        <f>IF(A1333="","",IFERROR(INDEX(المدخلات!$M$4:$M$15,MATCH(A1333,المدخلات!$L$4:$L$15,0)),""))</f>
        <v/>
      </c>
      <c r="N1333" s="4" t="str">
        <f t="shared" si="166"/>
        <v/>
      </c>
      <c r="O1333" s="4" t="str">
        <f t="shared" si="167"/>
        <v/>
      </c>
    </row>
    <row r="1334" spans="1:15">
      <c r="A1334" s="11"/>
      <c r="B1334" s="19"/>
      <c r="C1334" s="19"/>
      <c r="D1334" s="55"/>
      <c r="E1334" s="56"/>
      <c r="F1334" s="19"/>
      <c r="G1334" s="4" t="str">
        <f t="shared" si="160"/>
        <v/>
      </c>
      <c r="H1334" s="11" t="str">
        <f t="shared" si="161"/>
        <v/>
      </c>
      <c r="I1334" s="55" t="str">
        <f t="shared" si="162"/>
        <v/>
      </c>
      <c r="J1334" s="55" t="str">
        <f t="shared" si="163"/>
        <v/>
      </c>
      <c r="K1334" s="4" t="str">
        <f t="shared" si="164"/>
        <v/>
      </c>
      <c r="L1334" s="19" t="str">
        <f t="shared" si="165"/>
        <v/>
      </c>
      <c r="M1334" s="12" t="str">
        <f>IF(A1334="","",IFERROR(INDEX(المدخلات!$M$4:$M$15,MATCH(A1334,المدخلات!$L$4:$L$15,0)),""))</f>
        <v/>
      </c>
      <c r="N1334" s="4" t="str">
        <f t="shared" si="166"/>
        <v/>
      </c>
      <c r="O1334" s="4" t="str">
        <f t="shared" si="167"/>
        <v/>
      </c>
    </row>
    <row r="1335" spans="1:15">
      <c r="A1335" s="11"/>
      <c r="B1335" s="19"/>
      <c r="C1335" s="19"/>
      <c r="D1335" s="55"/>
      <c r="E1335" s="56"/>
      <c r="F1335" s="19"/>
      <c r="G1335" s="4" t="str">
        <f t="shared" si="160"/>
        <v/>
      </c>
      <c r="H1335" s="11" t="str">
        <f t="shared" si="161"/>
        <v/>
      </c>
      <c r="I1335" s="55" t="str">
        <f t="shared" si="162"/>
        <v/>
      </c>
      <c r="J1335" s="55" t="str">
        <f t="shared" si="163"/>
        <v/>
      </c>
      <c r="K1335" s="4" t="str">
        <f t="shared" si="164"/>
        <v/>
      </c>
      <c r="L1335" s="19" t="str">
        <f t="shared" si="165"/>
        <v/>
      </c>
      <c r="M1335" s="12" t="str">
        <f>IF(A1335="","",IFERROR(INDEX(المدخلات!$M$4:$M$15,MATCH(A1335,المدخلات!$L$4:$L$15,0)),""))</f>
        <v/>
      </c>
      <c r="N1335" s="4" t="str">
        <f t="shared" si="166"/>
        <v/>
      </c>
      <c r="O1335" s="4" t="str">
        <f t="shared" si="167"/>
        <v/>
      </c>
    </row>
    <row r="1336" spans="1:15">
      <c r="A1336" s="11"/>
      <c r="B1336" s="19"/>
      <c r="C1336" s="19"/>
      <c r="D1336" s="55"/>
      <c r="E1336" s="56"/>
      <c r="F1336" s="19"/>
      <c r="G1336" s="4" t="str">
        <f t="shared" si="160"/>
        <v/>
      </c>
      <c r="H1336" s="11" t="str">
        <f t="shared" si="161"/>
        <v/>
      </c>
      <c r="I1336" s="55" t="str">
        <f t="shared" si="162"/>
        <v/>
      </c>
      <c r="J1336" s="55" t="str">
        <f t="shared" si="163"/>
        <v/>
      </c>
      <c r="K1336" s="4" t="str">
        <f t="shared" si="164"/>
        <v/>
      </c>
      <c r="L1336" s="19" t="str">
        <f t="shared" si="165"/>
        <v/>
      </c>
      <c r="M1336" s="12" t="str">
        <f>IF(A1336="","",IFERROR(INDEX(المدخلات!$M$4:$M$15,MATCH(A1336,المدخلات!$L$4:$L$15,0)),""))</f>
        <v/>
      </c>
      <c r="N1336" s="4" t="str">
        <f t="shared" si="166"/>
        <v/>
      </c>
      <c r="O1336" s="4" t="str">
        <f t="shared" si="167"/>
        <v/>
      </c>
    </row>
    <row r="1337" spans="1:15">
      <c r="A1337" s="11"/>
      <c r="B1337" s="19"/>
      <c r="C1337" s="19"/>
      <c r="D1337" s="55"/>
      <c r="E1337" s="56"/>
      <c r="F1337" s="19"/>
      <c r="G1337" s="4" t="str">
        <f t="shared" si="160"/>
        <v/>
      </c>
      <c r="H1337" s="11" t="str">
        <f t="shared" si="161"/>
        <v/>
      </c>
      <c r="I1337" s="55" t="str">
        <f t="shared" si="162"/>
        <v/>
      </c>
      <c r="J1337" s="55" t="str">
        <f t="shared" si="163"/>
        <v/>
      </c>
      <c r="K1337" s="4" t="str">
        <f t="shared" si="164"/>
        <v/>
      </c>
      <c r="L1337" s="19" t="str">
        <f t="shared" si="165"/>
        <v/>
      </c>
      <c r="M1337" s="12" t="str">
        <f>IF(A1337="","",IFERROR(INDEX(المدخلات!$M$4:$M$15,MATCH(A1337,المدخلات!$L$4:$L$15,0)),""))</f>
        <v/>
      </c>
      <c r="N1337" s="4" t="str">
        <f t="shared" si="166"/>
        <v/>
      </c>
      <c r="O1337" s="4" t="str">
        <f t="shared" si="167"/>
        <v/>
      </c>
    </row>
    <row r="1338" spans="1:15">
      <c r="A1338" s="11"/>
      <c r="B1338" s="19"/>
      <c r="C1338" s="19"/>
      <c r="D1338" s="55"/>
      <c r="E1338" s="56"/>
      <c r="F1338" s="19"/>
      <c r="G1338" s="4" t="str">
        <f t="shared" si="160"/>
        <v/>
      </c>
      <c r="H1338" s="11" t="str">
        <f t="shared" si="161"/>
        <v/>
      </c>
      <c r="I1338" s="55" t="str">
        <f t="shared" si="162"/>
        <v/>
      </c>
      <c r="J1338" s="55" t="str">
        <f t="shared" si="163"/>
        <v/>
      </c>
      <c r="K1338" s="4" t="str">
        <f t="shared" si="164"/>
        <v/>
      </c>
      <c r="L1338" s="19" t="str">
        <f t="shared" si="165"/>
        <v/>
      </c>
      <c r="M1338" s="12" t="str">
        <f>IF(A1338="","",IFERROR(INDEX(المدخلات!$M$4:$M$15,MATCH(A1338,المدخلات!$L$4:$L$15,0)),""))</f>
        <v/>
      </c>
      <c r="N1338" s="4" t="str">
        <f t="shared" si="166"/>
        <v/>
      </c>
      <c r="O1338" s="4" t="str">
        <f t="shared" si="167"/>
        <v/>
      </c>
    </row>
    <row r="1339" spans="1:15">
      <c r="A1339" s="11"/>
      <c r="B1339" s="19"/>
      <c r="C1339" s="19"/>
      <c r="D1339" s="55"/>
      <c r="E1339" s="56"/>
      <c r="F1339" s="19"/>
      <c r="G1339" s="4" t="str">
        <f t="shared" si="160"/>
        <v/>
      </c>
      <c r="H1339" s="11" t="str">
        <f t="shared" si="161"/>
        <v/>
      </c>
      <c r="I1339" s="55" t="str">
        <f t="shared" si="162"/>
        <v/>
      </c>
      <c r="J1339" s="55" t="str">
        <f t="shared" si="163"/>
        <v/>
      </c>
      <c r="K1339" s="4" t="str">
        <f t="shared" si="164"/>
        <v/>
      </c>
      <c r="L1339" s="19" t="str">
        <f t="shared" si="165"/>
        <v/>
      </c>
      <c r="M1339" s="12" t="str">
        <f>IF(A1339="","",IFERROR(INDEX(المدخلات!$M$4:$M$15,MATCH(A1339,المدخلات!$L$4:$L$15,0)),""))</f>
        <v/>
      </c>
      <c r="N1339" s="4" t="str">
        <f t="shared" si="166"/>
        <v/>
      </c>
      <c r="O1339" s="4" t="str">
        <f t="shared" si="167"/>
        <v/>
      </c>
    </row>
    <row r="1340" spans="1:15">
      <c r="A1340" s="11"/>
      <c r="B1340" s="19"/>
      <c r="C1340" s="19"/>
      <c r="D1340" s="55"/>
      <c r="E1340" s="56"/>
      <c r="F1340" s="19"/>
      <c r="G1340" s="4" t="str">
        <f t="shared" si="160"/>
        <v/>
      </c>
      <c r="H1340" s="11" t="str">
        <f t="shared" si="161"/>
        <v/>
      </c>
      <c r="I1340" s="55" t="str">
        <f t="shared" si="162"/>
        <v/>
      </c>
      <c r="J1340" s="55" t="str">
        <f t="shared" si="163"/>
        <v/>
      </c>
      <c r="K1340" s="4" t="str">
        <f t="shared" si="164"/>
        <v/>
      </c>
      <c r="L1340" s="19" t="str">
        <f t="shared" si="165"/>
        <v/>
      </c>
      <c r="M1340" s="12" t="str">
        <f>IF(A1340="","",IFERROR(INDEX(المدخلات!$M$4:$M$15,MATCH(A1340,المدخلات!$L$4:$L$15,0)),""))</f>
        <v/>
      </c>
      <c r="N1340" s="4" t="str">
        <f t="shared" si="166"/>
        <v/>
      </c>
      <c r="O1340" s="4" t="str">
        <f t="shared" si="167"/>
        <v/>
      </c>
    </row>
    <row r="1341" spans="1:15">
      <c r="A1341" s="11"/>
      <c r="B1341" s="19"/>
      <c r="C1341" s="19"/>
      <c r="D1341" s="55"/>
      <c r="E1341" s="56"/>
      <c r="F1341" s="19"/>
      <c r="G1341" s="4" t="str">
        <f t="shared" si="160"/>
        <v/>
      </c>
      <c r="H1341" s="11" t="str">
        <f t="shared" si="161"/>
        <v/>
      </c>
      <c r="I1341" s="55" t="str">
        <f t="shared" si="162"/>
        <v/>
      </c>
      <c r="J1341" s="55" t="str">
        <f t="shared" si="163"/>
        <v/>
      </c>
      <c r="K1341" s="4" t="str">
        <f t="shared" si="164"/>
        <v/>
      </c>
      <c r="L1341" s="19" t="str">
        <f t="shared" si="165"/>
        <v/>
      </c>
      <c r="M1341" s="12" t="str">
        <f>IF(A1341="","",IFERROR(INDEX(المدخلات!$M$4:$M$15,MATCH(A1341,المدخلات!$L$4:$L$15,0)),""))</f>
        <v/>
      </c>
      <c r="N1341" s="4" t="str">
        <f t="shared" si="166"/>
        <v/>
      </c>
      <c r="O1341" s="4" t="str">
        <f t="shared" si="167"/>
        <v/>
      </c>
    </row>
    <row r="1342" spans="1:15">
      <c r="A1342" s="11"/>
      <c r="B1342" s="19"/>
      <c r="C1342" s="19"/>
      <c r="D1342" s="55"/>
      <c r="E1342" s="56"/>
      <c r="F1342" s="19"/>
      <c r="G1342" s="4" t="str">
        <f t="shared" si="160"/>
        <v/>
      </c>
      <c r="H1342" s="11" t="str">
        <f t="shared" si="161"/>
        <v/>
      </c>
      <c r="I1342" s="55" t="str">
        <f t="shared" si="162"/>
        <v/>
      </c>
      <c r="J1342" s="55" t="str">
        <f t="shared" si="163"/>
        <v/>
      </c>
      <c r="K1342" s="4" t="str">
        <f t="shared" si="164"/>
        <v/>
      </c>
      <c r="L1342" s="19" t="str">
        <f t="shared" si="165"/>
        <v/>
      </c>
      <c r="M1342" s="12" t="str">
        <f>IF(A1342="","",IFERROR(INDEX(المدخلات!$M$4:$M$15,MATCH(A1342,المدخلات!$L$4:$L$15,0)),""))</f>
        <v/>
      </c>
      <c r="N1342" s="4" t="str">
        <f t="shared" si="166"/>
        <v/>
      </c>
      <c r="O1342" s="4" t="str">
        <f t="shared" si="167"/>
        <v/>
      </c>
    </row>
    <row r="1343" spans="1:15">
      <c r="A1343" s="11"/>
      <c r="B1343" s="19"/>
      <c r="C1343" s="19"/>
      <c r="D1343" s="55"/>
      <c r="E1343" s="56"/>
      <c r="F1343" s="19"/>
      <c r="G1343" s="4" t="str">
        <f t="shared" si="160"/>
        <v/>
      </c>
      <c r="H1343" s="11" t="str">
        <f t="shared" si="161"/>
        <v/>
      </c>
      <c r="I1343" s="55" t="str">
        <f t="shared" si="162"/>
        <v/>
      </c>
      <c r="J1343" s="55" t="str">
        <f t="shared" si="163"/>
        <v/>
      </c>
      <c r="K1343" s="4" t="str">
        <f t="shared" si="164"/>
        <v/>
      </c>
      <c r="L1343" s="19" t="str">
        <f t="shared" si="165"/>
        <v/>
      </c>
      <c r="M1343" s="12" t="str">
        <f>IF(A1343="","",IFERROR(INDEX(المدخلات!$M$4:$M$15,MATCH(A1343,المدخلات!$L$4:$L$15,0)),""))</f>
        <v/>
      </c>
      <c r="N1343" s="4" t="str">
        <f t="shared" si="166"/>
        <v/>
      </c>
      <c r="O1343" s="4" t="str">
        <f t="shared" si="167"/>
        <v/>
      </c>
    </row>
    <row r="1344" spans="1:15">
      <c r="A1344" s="11"/>
      <c r="B1344" s="19"/>
      <c r="C1344" s="19"/>
      <c r="D1344" s="55"/>
      <c r="E1344" s="56"/>
      <c r="F1344" s="19"/>
      <c r="G1344" s="4" t="str">
        <f t="shared" si="160"/>
        <v/>
      </c>
      <c r="H1344" s="11" t="str">
        <f t="shared" si="161"/>
        <v/>
      </c>
      <c r="I1344" s="55" t="str">
        <f t="shared" si="162"/>
        <v/>
      </c>
      <c r="J1344" s="55" t="str">
        <f t="shared" si="163"/>
        <v/>
      </c>
      <c r="K1344" s="4" t="str">
        <f t="shared" si="164"/>
        <v/>
      </c>
      <c r="L1344" s="19" t="str">
        <f t="shared" si="165"/>
        <v/>
      </c>
      <c r="M1344" s="12" t="str">
        <f>IF(A1344="","",IFERROR(INDEX(المدخلات!$M$4:$M$15,MATCH(A1344,المدخلات!$L$4:$L$15,0)),""))</f>
        <v/>
      </c>
      <c r="N1344" s="4" t="str">
        <f t="shared" si="166"/>
        <v/>
      </c>
      <c r="O1344" s="4" t="str">
        <f t="shared" si="167"/>
        <v/>
      </c>
    </row>
    <row r="1345" spans="1:15">
      <c r="A1345" s="11"/>
      <c r="B1345" s="19"/>
      <c r="C1345" s="19"/>
      <c r="D1345" s="55"/>
      <c r="E1345" s="56"/>
      <c r="F1345" s="19"/>
      <c r="G1345" s="4" t="str">
        <f t="shared" si="160"/>
        <v/>
      </c>
      <c r="H1345" s="11" t="str">
        <f t="shared" si="161"/>
        <v/>
      </c>
      <c r="I1345" s="55" t="str">
        <f t="shared" si="162"/>
        <v/>
      </c>
      <c r="J1345" s="55" t="str">
        <f t="shared" si="163"/>
        <v/>
      </c>
      <c r="K1345" s="4" t="str">
        <f t="shared" si="164"/>
        <v/>
      </c>
      <c r="L1345" s="19" t="str">
        <f t="shared" si="165"/>
        <v/>
      </c>
      <c r="M1345" s="12" t="str">
        <f>IF(A1345="","",IFERROR(INDEX(المدخلات!$M$4:$M$15,MATCH(A1345,المدخلات!$L$4:$L$15,0)),""))</f>
        <v/>
      </c>
      <c r="N1345" s="4" t="str">
        <f t="shared" si="166"/>
        <v/>
      </c>
      <c r="O1345" s="4" t="str">
        <f t="shared" si="167"/>
        <v/>
      </c>
    </row>
    <row r="1346" spans="1:15">
      <c r="A1346" s="11"/>
      <c r="B1346" s="19"/>
      <c r="C1346" s="19"/>
      <c r="D1346" s="55"/>
      <c r="E1346" s="56"/>
      <c r="F1346" s="19"/>
      <c r="G1346" s="4" t="str">
        <f t="shared" si="160"/>
        <v/>
      </c>
      <c r="H1346" s="11" t="str">
        <f t="shared" si="161"/>
        <v/>
      </c>
      <c r="I1346" s="55" t="str">
        <f t="shared" si="162"/>
        <v/>
      </c>
      <c r="J1346" s="55" t="str">
        <f t="shared" si="163"/>
        <v/>
      </c>
      <c r="K1346" s="4" t="str">
        <f t="shared" si="164"/>
        <v/>
      </c>
      <c r="L1346" s="19" t="str">
        <f t="shared" si="165"/>
        <v/>
      </c>
      <c r="M1346" s="12" t="str">
        <f>IF(A1346="","",IFERROR(INDEX(المدخلات!$M$4:$M$15,MATCH(A1346,المدخلات!$L$4:$L$15,0)),""))</f>
        <v/>
      </c>
      <c r="N1346" s="4" t="str">
        <f t="shared" si="166"/>
        <v/>
      </c>
      <c r="O1346" s="4" t="str">
        <f t="shared" si="167"/>
        <v/>
      </c>
    </row>
    <row r="1347" spans="1:15">
      <c r="A1347" s="11"/>
      <c r="B1347" s="19"/>
      <c r="C1347" s="19"/>
      <c r="D1347" s="55"/>
      <c r="E1347" s="56"/>
      <c r="F1347" s="19"/>
      <c r="G1347" s="4" t="str">
        <f t="shared" si="160"/>
        <v/>
      </c>
      <c r="H1347" s="11" t="str">
        <f t="shared" si="161"/>
        <v/>
      </c>
      <c r="I1347" s="55" t="str">
        <f t="shared" si="162"/>
        <v/>
      </c>
      <c r="J1347" s="55" t="str">
        <f t="shared" si="163"/>
        <v/>
      </c>
      <c r="K1347" s="4" t="str">
        <f t="shared" si="164"/>
        <v/>
      </c>
      <c r="L1347" s="19" t="str">
        <f t="shared" si="165"/>
        <v/>
      </c>
      <c r="M1347" s="12" t="str">
        <f>IF(A1347="","",IFERROR(INDEX(المدخلات!$M$4:$M$15,MATCH(A1347,المدخلات!$L$4:$L$15,0)),""))</f>
        <v/>
      </c>
      <c r="N1347" s="4" t="str">
        <f t="shared" si="166"/>
        <v/>
      </c>
      <c r="O1347" s="4" t="str">
        <f t="shared" si="167"/>
        <v/>
      </c>
    </row>
    <row r="1348" spans="1:15">
      <c r="A1348" s="11"/>
      <c r="B1348" s="19"/>
      <c r="C1348" s="19"/>
      <c r="D1348" s="55"/>
      <c r="E1348" s="56"/>
      <c r="F1348" s="19"/>
      <c r="G1348" s="4" t="str">
        <f t="shared" si="160"/>
        <v/>
      </c>
      <c r="H1348" s="11" t="str">
        <f t="shared" si="161"/>
        <v/>
      </c>
      <c r="I1348" s="55" t="str">
        <f t="shared" si="162"/>
        <v/>
      </c>
      <c r="J1348" s="55" t="str">
        <f t="shared" si="163"/>
        <v/>
      </c>
      <c r="K1348" s="4" t="str">
        <f t="shared" si="164"/>
        <v/>
      </c>
      <c r="L1348" s="19" t="str">
        <f t="shared" si="165"/>
        <v/>
      </c>
      <c r="M1348" s="12" t="str">
        <f>IF(A1348="","",IFERROR(INDEX(المدخلات!$M$4:$M$15,MATCH(A1348,المدخلات!$L$4:$L$15,0)),""))</f>
        <v/>
      </c>
      <c r="N1348" s="4" t="str">
        <f t="shared" si="166"/>
        <v/>
      </c>
      <c r="O1348" s="4" t="str">
        <f t="shared" si="167"/>
        <v/>
      </c>
    </row>
    <row r="1349" spans="1:15">
      <c r="A1349" s="11"/>
      <c r="B1349" s="19"/>
      <c r="C1349" s="19"/>
      <c r="D1349" s="55"/>
      <c r="E1349" s="56"/>
      <c r="F1349" s="19"/>
      <c r="G1349" s="4" t="str">
        <f t="shared" ref="G1349:G1412" si="168">IF(OR(D1349="",E1349=""),"",D1349*E1349)</f>
        <v/>
      </c>
      <c r="H1349" s="11" t="str">
        <f t="shared" ref="H1349:H1412" si="169">IF(C1349="","",IFERROR(_xlfn.MAXIFS($A$5:$A$2003,$C$5:$C$2003,C1349,$A$5:$A$2003,"&lt;"&amp;A1349),0))</f>
        <v/>
      </c>
      <c r="I1349" s="55" t="str">
        <f t="shared" ref="I1349:I1412" si="170">IF(OR(H1349="",H1349=0),"",IFERROR(SUMIFS($D$5:$D$2003,$C$5:$C$2003,C1349,$A$5:$A$2003,H1349),""))</f>
        <v/>
      </c>
      <c r="J1349" s="55" t="str">
        <f t="shared" ref="J1349:J1412" si="171">IF(C1349="","",IF(I1349="",0,MAX(I1349-D1349,0)))</f>
        <v/>
      </c>
      <c r="K1349" s="4" t="str">
        <f t="shared" ref="K1349:K1412" si="172">IF(J1349="","",J1349*E1349)</f>
        <v/>
      </c>
      <c r="L1349" s="19" t="str">
        <f t="shared" ref="L1349:L1412" si="173">IF(C1349="","",IF(COUNTIFS($A$5:$A$2003,A1349,$C$5:$C$2003,C1349)&gt;1,"⚠️ مادة مكررة بنفس الشهر",IF(OR(H1349="",H1349=0),"🆕 أول ظهور لهذه المادة",IF(D1349&gt;I1349,"ℹ️ زيادة كمية (شراء/تصحيح) - لا تُحتسب استهلاكاً",IF(D1349=I1349,"➖ لا تغيير","")))))</f>
        <v/>
      </c>
      <c r="M1349" s="12" t="str">
        <f>IF(A1349="","",IFERROR(INDEX(المدخلات!$M$4:$M$15,MATCH(A1349,المدخلات!$L$4:$L$15,0)),""))</f>
        <v/>
      </c>
      <c r="N1349" s="4" t="str">
        <f t="shared" ref="N1349:N1412" si="174">IF(OR(G1349="",F1349=""),"",IF(F1349="دولار أمريكي",IF(M1349="","⚠️ لا يوجد سعر صرف",G1349*M1349),G1349))</f>
        <v/>
      </c>
      <c r="O1349" s="4" t="str">
        <f t="shared" ref="O1349:O1412" si="175">IF(OR(K1349="",F1349=""),"",IF(F1349="دولار أمريكي",IF(M1349="","⚠️ لا يوجد سعر صرف",K1349*M1349),K1349))</f>
        <v/>
      </c>
    </row>
    <row r="1350" spans="1:15">
      <c r="A1350" s="11"/>
      <c r="B1350" s="19"/>
      <c r="C1350" s="19"/>
      <c r="D1350" s="55"/>
      <c r="E1350" s="56"/>
      <c r="F1350" s="19"/>
      <c r="G1350" s="4" t="str">
        <f t="shared" si="168"/>
        <v/>
      </c>
      <c r="H1350" s="11" t="str">
        <f t="shared" si="169"/>
        <v/>
      </c>
      <c r="I1350" s="55" t="str">
        <f t="shared" si="170"/>
        <v/>
      </c>
      <c r="J1350" s="55" t="str">
        <f t="shared" si="171"/>
        <v/>
      </c>
      <c r="K1350" s="4" t="str">
        <f t="shared" si="172"/>
        <v/>
      </c>
      <c r="L1350" s="19" t="str">
        <f t="shared" si="173"/>
        <v/>
      </c>
      <c r="M1350" s="12" t="str">
        <f>IF(A1350="","",IFERROR(INDEX(المدخلات!$M$4:$M$15,MATCH(A1350,المدخلات!$L$4:$L$15,0)),""))</f>
        <v/>
      </c>
      <c r="N1350" s="4" t="str">
        <f t="shared" si="174"/>
        <v/>
      </c>
      <c r="O1350" s="4" t="str">
        <f t="shared" si="175"/>
        <v/>
      </c>
    </row>
    <row r="1351" spans="1:15">
      <c r="A1351" s="11"/>
      <c r="B1351" s="19"/>
      <c r="C1351" s="19"/>
      <c r="D1351" s="55"/>
      <c r="E1351" s="56"/>
      <c r="F1351" s="19"/>
      <c r="G1351" s="4" t="str">
        <f t="shared" si="168"/>
        <v/>
      </c>
      <c r="H1351" s="11" t="str">
        <f t="shared" si="169"/>
        <v/>
      </c>
      <c r="I1351" s="55" t="str">
        <f t="shared" si="170"/>
        <v/>
      </c>
      <c r="J1351" s="55" t="str">
        <f t="shared" si="171"/>
        <v/>
      </c>
      <c r="K1351" s="4" t="str">
        <f t="shared" si="172"/>
        <v/>
      </c>
      <c r="L1351" s="19" t="str">
        <f t="shared" si="173"/>
        <v/>
      </c>
      <c r="M1351" s="12" t="str">
        <f>IF(A1351="","",IFERROR(INDEX(المدخلات!$M$4:$M$15,MATCH(A1351,المدخلات!$L$4:$L$15,0)),""))</f>
        <v/>
      </c>
      <c r="N1351" s="4" t="str">
        <f t="shared" si="174"/>
        <v/>
      </c>
      <c r="O1351" s="4" t="str">
        <f t="shared" si="175"/>
        <v/>
      </c>
    </row>
    <row r="1352" spans="1:15">
      <c r="A1352" s="11"/>
      <c r="B1352" s="19"/>
      <c r="C1352" s="19"/>
      <c r="D1352" s="55"/>
      <c r="E1352" s="56"/>
      <c r="F1352" s="19"/>
      <c r="G1352" s="4" t="str">
        <f t="shared" si="168"/>
        <v/>
      </c>
      <c r="H1352" s="11" t="str">
        <f t="shared" si="169"/>
        <v/>
      </c>
      <c r="I1352" s="55" t="str">
        <f t="shared" si="170"/>
        <v/>
      </c>
      <c r="J1352" s="55" t="str">
        <f t="shared" si="171"/>
        <v/>
      </c>
      <c r="K1352" s="4" t="str">
        <f t="shared" si="172"/>
        <v/>
      </c>
      <c r="L1352" s="19" t="str">
        <f t="shared" si="173"/>
        <v/>
      </c>
      <c r="M1352" s="12" t="str">
        <f>IF(A1352="","",IFERROR(INDEX(المدخلات!$M$4:$M$15,MATCH(A1352,المدخلات!$L$4:$L$15,0)),""))</f>
        <v/>
      </c>
      <c r="N1352" s="4" t="str">
        <f t="shared" si="174"/>
        <v/>
      </c>
      <c r="O1352" s="4" t="str">
        <f t="shared" si="175"/>
        <v/>
      </c>
    </row>
    <row r="1353" spans="1:15">
      <c r="A1353" s="11"/>
      <c r="B1353" s="19"/>
      <c r="C1353" s="19"/>
      <c r="D1353" s="55"/>
      <c r="E1353" s="56"/>
      <c r="F1353" s="19"/>
      <c r="G1353" s="4" t="str">
        <f t="shared" si="168"/>
        <v/>
      </c>
      <c r="H1353" s="11" t="str">
        <f t="shared" si="169"/>
        <v/>
      </c>
      <c r="I1353" s="55" t="str">
        <f t="shared" si="170"/>
        <v/>
      </c>
      <c r="J1353" s="55" t="str">
        <f t="shared" si="171"/>
        <v/>
      </c>
      <c r="K1353" s="4" t="str">
        <f t="shared" si="172"/>
        <v/>
      </c>
      <c r="L1353" s="19" t="str">
        <f t="shared" si="173"/>
        <v/>
      </c>
      <c r="M1353" s="12" t="str">
        <f>IF(A1353="","",IFERROR(INDEX(المدخلات!$M$4:$M$15,MATCH(A1353,المدخلات!$L$4:$L$15,0)),""))</f>
        <v/>
      </c>
      <c r="N1353" s="4" t="str">
        <f t="shared" si="174"/>
        <v/>
      </c>
      <c r="O1353" s="4" t="str">
        <f t="shared" si="175"/>
        <v/>
      </c>
    </row>
    <row r="1354" spans="1:15">
      <c r="A1354" s="11"/>
      <c r="B1354" s="19"/>
      <c r="C1354" s="19"/>
      <c r="D1354" s="55"/>
      <c r="E1354" s="56"/>
      <c r="F1354" s="19"/>
      <c r="G1354" s="4" t="str">
        <f t="shared" si="168"/>
        <v/>
      </c>
      <c r="H1354" s="11" t="str">
        <f t="shared" si="169"/>
        <v/>
      </c>
      <c r="I1354" s="55" t="str">
        <f t="shared" si="170"/>
        <v/>
      </c>
      <c r="J1354" s="55" t="str">
        <f t="shared" si="171"/>
        <v/>
      </c>
      <c r="K1354" s="4" t="str">
        <f t="shared" si="172"/>
        <v/>
      </c>
      <c r="L1354" s="19" t="str">
        <f t="shared" si="173"/>
        <v/>
      </c>
      <c r="M1354" s="12" t="str">
        <f>IF(A1354="","",IFERROR(INDEX(المدخلات!$M$4:$M$15,MATCH(A1354,المدخلات!$L$4:$L$15,0)),""))</f>
        <v/>
      </c>
      <c r="N1354" s="4" t="str">
        <f t="shared" si="174"/>
        <v/>
      </c>
      <c r="O1354" s="4" t="str">
        <f t="shared" si="175"/>
        <v/>
      </c>
    </row>
    <row r="1355" spans="1:15">
      <c r="A1355" s="11"/>
      <c r="B1355" s="19"/>
      <c r="C1355" s="19"/>
      <c r="D1355" s="55"/>
      <c r="E1355" s="56"/>
      <c r="F1355" s="19"/>
      <c r="G1355" s="4" t="str">
        <f t="shared" si="168"/>
        <v/>
      </c>
      <c r="H1355" s="11" t="str">
        <f t="shared" si="169"/>
        <v/>
      </c>
      <c r="I1355" s="55" t="str">
        <f t="shared" si="170"/>
        <v/>
      </c>
      <c r="J1355" s="55" t="str">
        <f t="shared" si="171"/>
        <v/>
      </c>
      <c r="K1355" s="4" t="str">
        <f t="shared" si="172"/>
        <v/>
      </c>
      <c r="L1355" s="19" t="str">
        <f t="shared" si="173"/>
        <v/>
      </c>
      <c r="M1355" s="12" t="str">
        <f>IF(A1355="","",IFERROR(INDEX(المدخلات!$M$4:$M$15,MATCH(A1355,المدخلات!$L$4:$L$15,0)),""))</f>
        <v/>
      </c>
      <c r="N1355" s="4" t="str">
        <f t="shared" si="174"/>
        <v/>
      </c>
      <c r="O1355" s="4" t="str">
        <f t="shared" si="175"/>
        <v/>
      </c>
    </row>
    <row r="1356" spans="1:15">
      <c r="A1356" s="11"/>
      <c r="B1356" s="19"/>
      <c r="C1356" s="19"/>
      <c r="D1356" s="55"/>
      <c r="E1356" s="56"/>
      <c r="F1356" s="19"/>
      <c r="G1356" s="4" t="str">
        <f t="shared" si="168"/>
        <v/>
      </c>
      <c r="H1356" s="11" t="str">
        <f t="shared" si="169"/>
        <v/>
      </c>
      <c r="I1356" s="55" t="str">
        <f t="shared" si="170"/>
        <v/>
      </c>
      <c r="J1356" s="55" t="str">
        <f t="shared" si="171"/>
        <v/>
      </c>
      <c r="K1356" s="4" t="str">
        <f t="shared" si="172"/>
        <v/>
      </c>
      <c r="L1356" s="19" t="str">
        <f t="shared" si="173"/>
        <v/>
      </c>
      <c r="M1356" s="12" t="str">
        <f>IF(A1356="","",IFERROR(INDEX(المدخلات!$M$4:$M$15,MATCH(A1356,المدخلات!$L$4:$L$15,0)),""))</f>
        <v/>
      </c>
      <c r="N1356" s="4" t="str">
        <f t="shared" si="174"/>
        <v/>
      </c>
      <c r="O1356" s="4" t="str">
        <f t="shared" si="175"/>
        <v/>
      </c>
    </row>
    <row r="1357" spans="1:15">
      <c r="A1357" s="11"/>
      <c r="B1357" s="19"/>
      <c r="C1357" s="19"/>
      <c r="D1357" s="55"/>
      <c r="E1357" s="56"/>
      <c r="F1357" s="19"/>
      <c r="G1357" s="4" t="str">
        <f t="shared" si="168"/>
        <v/>
      </c>
      <c r="H1357" s="11" t="str">
        <f t="shared" si="169"/>
        <v/>
      </c>
      <c r="I1357" s="55" t="str">
        <f t="shared" si="170"/>
        <v/>
      </c>
      <c r="J1357" s="55" t="str">
        <f t="shared" si="171"/>
        <v/>
      </c>
      <c r="K1357" s="4" t="str">
        <f t="shared" si="172"/>
        <v/>
      </c>
      <c r="L1357" s="19" t="str">
        <f t="shared" si="173"/>
        <v/>
      </c>
      <c r="M1357" s="12" t="str">
        <f>IF(A1357="","",IFERROR(INDEX(المدخلات!$M$4:$M$15,MATCH(A1357,المدخلات!$L$4:$L$15,0)),""))</f>
        <v/>
      </c>
      <c r="N1357" s="4" t="str">
        <f t="shared" si="174"/>
        <v/>
      </c>
      <c r="O1357" s="4" t="str">
        <f t="shared" si="175"/>
        <v/>
      </c>
    </row>
    <row r="1358" spans="1:15">
      <c r="A1358" s="11"/>
      <c r="B1358" s="19"/>
      <c r="C1358" s="19"/>
      <c r="D1358" s="55"/>
      <c r="E1358" s="56"/>
      <c r="F1358" s="19"/>
      <c r="G1358" s="4" t="str">
        <f t="shared" si="168"/>
        <v/>
      </c>
      <c r="H1358" s="11" t="str">
        <f t="shared" si="169"/>
        <v/>
      </c>
      <c r="I1358" s="55" t="str">
        <f t="shared" si="170"/>
        <v/>
      </c>
      <c r="J1358" s="55" t="str">
        <f t="shared" si="171"/>
        <v/>
      </c>
      <c r="K1358" s="4" t="str">
        <f t="shared" si="172"/>
        <v/>
      </c>
      <c r="L1358" s="19" t="str">
        <f t="shared" si="173"/>
        <v/>
      </c>
      <c r="M1358" s="12" t="str">
        <f>IF(A1358="","",IFERROR(INDEX(المدخلات!$M$4:$M$15,MATCH(A1358,المدخلات!$L$4:$L$15,0)),""))</f>
        <v/>
      </c>
      <c r="N1358" s="4" t="str">
        <f t="shared" si="174"/>
        <v/>
      </c>
      <c r="O1358" s="4" t="str">
        <f t="shared" si="175"/>
        <v/>
      </c>
    </row>
    <row r="1359" spans="1:15">
      <c r="A1359" s="11"/>
      <c r="B1359" s="19"/>
      <c r="C1359" s="19"/>
      <c r="D1359" s="55"/>
      <c r="E1359" s="56"/>
      <c r="F1359" s="19"/>
      <c r="G1359" s="4" t="str">
        <f t="shared" si="168"/>
        <v/>
      </c>
      <c r="H1359" s="11" t="str">
        <f t="shared" si="169"/>
        <v/>
      </c>
      <c r="I1359" s="55" t="str">
        <f t="shared" si="170"/>
        <v/>
      </c>
      <c r="J1359" s="55" t="str">
        <f t="shared" si="171"/>
        <v/>
      </c>
      <c r="K1359" s="4" t="str">
        <f t="shared" si="172"/>
        <v/>
      </c>
      <c r="L1359" s="19" t="str">
        <f t="shared" si="173"/>
        <v/>
      </c>
      <c r="M1359" s="12" t="str">
        <f>IF(A1359="","",IFERROR(INDEX(المدخلات!$M$4:$M$15,MATCH(A1359,المدخلات!$L$4:$L$15,0)),""))</f>
        <v/>
      </c>
      <c r="N1359" s="4" t="str">
        <f t="shared" si="174"/>
        <v/>
      </c>
      <c r="O1359" s="4" t="str">
        <f t="shared" si="175"/>
        <v/>
      </c>
    </row>
    <row r="1360" spans="1:15">
      <c r="A1360" s="11"/>
      <c r="B1360" s="19"/>
      <c r="C1360" s="19"/>
      <c r="D1360" s="55"/>
      <c r="E1360" s="56"/>
      <c r="F1360" s="19"/>
      <c r="G1360" s="4" t="str">
        <f t="shared" si="168"/>
        <v/>
      </c>
      <c r="H1360" s="11" t="str">
        <f t="shared" si="169"/>
        <v/>
      </c>
      <c r="I1360" s="55" t="str">
        <f t="shared" si="170"/>
        <v/>
      </c>
      <c r="J1360" s="55" t="str">
        <f t="shared" si="171"/>
        <v/>
      </c>
      <c r="K1360" s="4" t="str">
        <f t="shared" si="172"/>
        <v/>
      </c>
      <c r="L1360" s="19" t="str">
        <f t="shared" si="173"/>
        <v/>
      </c>
      <c r="M1360" s="12" t="str">
        <f>IF(A1360="","",IFERROR(INDEX(المدخلات!$M$4:$M$15,MATCH(A1360,المدخلات!$L$4:$L$15,0)),""))</f>
        <v/>
      </c>
      <c r="N1360" s="4" t="str">
        <f t="shared" si="174"/>
        <v/>
      </c>
      <c r="O1360" s="4" t="str">
        <f t="shared" si="175"/>
        <v/>
      </c>
    </row>
    <row r="1361" spans="1:15">
      <c r="A1361" s="11"/>
      <c r="B1361" s="19"/>
      <c r="C1361" s="19"/>
      <c r="D1361" s="55"/>
      <c r="E1361" s="56"/>
      <c r="F1361" s="19"/>
      <c r="G1361" s="4" t="str">
        <f t="shared" si="168"/>
        <v/>
      </c>
      <c r="H1361" s="11" t="str">
        <f t="shared" si="169"/>
        <v/>
      </c>
      <c r="I1361" s="55" t="str">
        <f t="shared" si="170"/>
        <v/>
      </c>
      <c r="J1361" s="55" t="str">
        <f t="shared" si="171"/>
        <v/>
      </c>
      <c r="K1361" s="4" t="str">
        <f t="shared" si="172"/>
        <v/>
      </c>
      <c r="L1361" s="19" t="str">
        <f t="shared" si="173"/>
        <v/>
      </c>
      <c r="M1361" s="12" t="str">
        <f>IF(A1361="","",IFERROR(INDEX(المدخلات!$M$4:$M$15,MATCH(A1361,المدخلات!$L$4:$L$15,0)),""))</f>
        <v/>
      </c>
      <c r="N1361" s="4" t="str">
        <f t="shared" si="174"/>
        <v/>
      </c>
      <c r="O1361" s="4" t="str">
        <f t="shared" si="175"/>
        <v/>
      </c>
    </row>
    <row r="1362" spans="1:15">
      <c r="A1362" s="11"/>
      <c r="B1362" s="19"/>
      <c r="C1362" s="19"/>
      <c r="D1362" s="55"/>
      <c r="E1362" s="56"/>
      <c r="F1362" s="19"/>
      <c r="G1362" s="4" t="str">
        <f t="shared" si="168"/>
        <v/>
      </c>
      <c r="H1362" s="11" t="str">
        <f t="shared" si="169"/>
        <v/>
      </c>
      <c r="I1362" s="55" t="str">
        <f t="shared" si="170"/>
        <v/>
      </c>
      <c r="J1362" s="55" t="str">
        <f t="shared" si="171"/>
        <v/>
      </c>
      <c r="K1362" s="4" t="str">
        <f t="shared" si="172"/>
        <v/>
      </c>
      <c r="L1362" s="19" t="str">
        <f t="shared" si="173"/>
        <v/>
      </c>
      <c r="M1362" s="12" t="str">
        <f>IF(A1362="","",IFERROR(INDEX(المدخلات!$M$4:$M$15,MATCH(A1362,المدخلات!$L$4:$L$15,0)),""))</f>
        <v/>
      </c>
      <c r="N1362" s="4" t="str">
        <f t="shared" si="174"/>
        <v/>
      </c>
      <c r="O1362" s="4" t="str">
        <f t="shared" si="175"/>
        <v/>
      </c>
    </row>
    <row r="1363" spans="1:15">
      <c r="A1363" s="11"/>
      <c r="B1363" s="19"/>
      <c r="C1363" s="19"/>
      <c r="D1363" s="55"/>
      <c r="E1363" s="56"/>
      <c r="F1363" s="19"/>
      <c r="G1363" s="4" t="str">
        <f t="shared" si="168"/>
        <v/>
      </c>
      <c r="H1363" s="11" t="str">
        <f t="shared" si="169"/>
        <v/>
      </c>
      <c r="I1363" s="55" t="str">
        <f t="shared" si="170"/>
        <v/>
      </c>
      <c r="J1363" s="55" t="str">
        <f t="shared" si="171"/>
        <v/>
      </c>
      <c r="K1363" s="4" t="str">
        <f t="shared" si="172"/>
        <v/>
      </c>
      <c r="L1363" s="19" t="str">
        <f t="shared" si="173"/>
        <v/>
      </c>
      <c r="M1363" s="12" t="str">
        <f>IF(A1363="","",IFERROR(INDEX(المدخلات!$M$4:$M$15,MATCH(A1363,المدخلات!$L$4:$L$15,0)),""))</f>
        <v/>
      </c>
      <c r="N1363" s="4" t="str">
        <f t="shared" si="174"/>
        <v/>
      </c>
      <c r="O1363" s="4" t="str">
        <f t="shared" si="175"/>
        <v/>
      </c>
    </row>
    <row r="1364" spans="1:15">
      <c r="A1364" s="11"/>
      <c r="B1364" s="19"/>
      <c r="C1364" s="19"/>
      <c r="D1364" s="55"/>
      <c r="E1364" s="56"/>
      <c r="F1364" s="19"/>
      <c r="G1364" s="4" t="str">
        <f t="shared" si="168"/>
        <v/>
      </c>
      <c r="H1364" s="11" t="str">
        <f t="shared" si="169"/>
        <v/>
      </c>
      <c r="I1364" s="55" t="str">
        <f t="shared" si="170"/>
        <v/>
      </c>
      <c r="J1364" s="55" t="str">
        <f t="shared" si="171"/>
        <v/>
      </c>
      <c r="K1364" s="4" t="str">
        <f t="shared" si="172"/>
        <v/>
      </c>
      <c r="L1364" s="19" t="str">
        <f t="shared" si="173"/>
        <v/>
      </c>
      <c r="M1364" s="12" t="str">
        <f>IF(A1364="","",IFERROR(INDEX(المدخلات!$M$4:$M$15,MATCH(A1364,المدخلات!$L$4:$L$15,0)),""))</f>
        <v/>
      </c>
      <c r="N1364" s="4" t="str">
        <f t="shared" si="174"/>
        <v/>
      </c>
      <c r="O1364" s="4" t="str">
        <f t="shared" si="175"/>
        <v/>
      </c>
    </row>
    <row r="1365" spans="1:15">
      <c r="A1365" s="11"/>
      <c r="B1365" s="19"/>
      <c r="C1365" s="19"/>
      <c r="D1365" s="55"/>
      <c r="E1365" s="56"/>
      <c r="F1365" s="19"/>
      <c r="G1365" s="4" t="str">
        <f t="shared" si="168"/>
        <v/>
      </c>
      <c r="H1365" s="11" t="str">
        <f t="shared" si="169"/>
        <v/>
      </c>
      <c r="I1365" s="55" t="str">
        <f t="shared" si="170"/>
        <v/>
      </c>
      <c r="J1365" s="55" t="str">
        <f t="shared" si="171"/>
        <v/>
      </c>
      <c r="K1365" s="4" t="str">
        <f t="shared" si="172"/>
        <v/>
      </c>
      <c r="L1365" s="19" t="str">
        <f t="shared" si="173"/>
        <v/>
      </c>
      <c r="M1365" s="12" t="str">
        <f>IF(A1365="","",IFERROR(INDEX(المدخلات!$M$4:$M$15,MATCH(A1365,المدخلات!$L$4:$L$15,0)),""))</f>
        <v/>
      </c>
      <c r="N1365" s="4" t="str">
        <f t="shared" si="174"/>
        <v/>
      </c>
      <c r="O1365" s="4" t="str">
        <f t="shared" si="175"/>
        <v/>
      </c>
    </row>
    <row r="1366" spans="1:15">
      <c r="A1366" s="11"/>
      <c r="B1366" s="19"/>
      <c r="C1366" s="19"/>
      <c r="D1366" s="55"/>
      <c r="E1366" s="56"/>
      <c r="F1366" s="19"/>
      <c r="G1366" s="4" t="str">
        <f t="shared" si="168"/>
        <v/>
      </c>
      <c r="H1366" s="11" t="str">
        <f t="shared" si="169"/>
        <v/>
      </c>
      <c r="I1366" s="55" t="str">
        <f t="shared" si="170"/>
        <v/>
      </c>
      <c r="J1366" s="55" t="str">
        <f t="shared" si="171"/>
        <v/>
      </c>
      <c r="K1366" s="4" t="str">
        <f t="shared" si="172"/>
        <v/>
      </c>
      <c r="L1366" s="19" t="str">
        <f t="shared" si="173"/>
        <v/>
      </c>
      <c r="M1366" s="12" t="str">
        <f>IF(A1366="","",IFERROR(INDEX(المدخلات!$M$4:$M$15,MATCH(A1366,المدخلات!$L$4:$L$15,0)),""))</f>
        <v/>
      </c>
      <c r="N1366" s="4" t="str">
        <f t="shared" si="174"/>
        <v/>
      </c>
      <c r="O1366" s="4" t="str">
        <f t="shared" si="175"/>
        <v/>
      </c>
    </row>
    <row r="1367" spans="1:15">
      <c r="A1367" s="11"/>
      <c r="B1367" s="19"/>
      <c r="C1367" s="19"/>
      <c r="D1367" s="55"/>
      <c r="E1367" s="56"/>
      <c r="F1367" s="19"/>
      <c r="G1367" s="4" t="str">
        <f t="shared" si="168"/>
        <v/>
      </c>
      <c r="H1367" s="11" t="str">
        <f t="shared" si="169"/>
        <v/>
      </c>
      <c r="I1367" s="55" t="str">
        <f t="shared" si="170"/>
        <v/>
      </c>
      <c r="J1367" s="55" t="str">
        <f t="shared" si="171"/>
        <v/>
      </c>
      <c r="K1367" s="4" t="str">
        <f t="shared" si="172"/>
        <v/>
      </c>
      <c r="L1367" s="19" t="str">
        <f t="shared" si="173"/>
        <v/>
      </c>
      <c r="M1367" s="12" t="str">
        <f>IF(A1367="","",IFERROR(INDEX(المدخلات!$M$4:$M$15,MATCH(A1367,المدخلات!$L$4:$L$15,0)),""))</f>
        <v/>
      </c>
      <c r="N1367" s="4" t="str">
        <f t="shared" si="174"/>
        <v/>
      </c>
      <c r="O1367" s="4" t="str">
        <f t="shared" si="175"/>
        <v/>
      </c>
    </row>
    <row r="1368" spans="1:15">
      <c r="A1368" s="11"/>
      <c r="B1368" s="19"/>
      <c r="C1368" s="19"/>
      <c r="D1368" s="55"/>
      <c r="E1368" s="56"/>
      <c r="F1368" s="19"/>
      <c r="G1368" s="4" t="str">
        <f t="shared" si="168"/>
        <v/>
      </c>
      <c r="H1368" s="11" t="str">
        <f t="shared" si="169"/>
        <v/>
      </c>
      <c r="I1368" s="55" t="str">
        <f t="shared" si="170"/>
        <v/>
      </c>
      <c r="J1368" s="55" t="str">
        <f t="shared" si="171"/>
        <v/>
      </c>
      <c r="K1368" s="4" t="str">
        <f t="shared" si="172"/>
        <v/>
      </c>
      <c r="L1368" s="19" t="str">
        <f t="shared" si="173"/>
        <v/>
      </c>
      <c r="M1368" s="12" t="str">
        <f>IF(A1368="","",IFERROR(INDEX(المدخلات!$M$4:$M$15,MATCH(A1368,المدخلات!$L$4:$L$15,0)),""))</f>
        <v/>
      </c>
      <c r="N1368" s="4" t="str">
        <f t="shared" si="174"/>
        <v/>
      </c>
      <c r="O1368" s="4" t="str">
        <f t="shared" si="175"/>
        <v/>
      </c>
    </row>
    <row r="1369" spans="1:15">
      <c r="A1369" s="11"/>
      <c r="B1369" s="19"/>
      <c r="C1369" s="19"/>
      <c r="D1369" s="55"/>
      <c r="E1369" s="56"/>
      <c r="F1369" s="19"/>
      <c r="G1369" s="4" t="str">
        <f t="shared" si="168"/>
        <v/>
      </c>
      <c r="H1369" s="11" t="str">
        <f t="shared" si="169"/>
        <v/>
      </c>
      <c r="I1369" s="55" t="str">
        <f t="shared" si="170"/>
        <v/>
      </c>
      <c r="J1369" s="55" t="str">
        <f t="shared" si="171"/>
        <v/>
      </c>
      <c r="K1369" s="4" t="str">
        <f t="shared" si="172"/>
        <v/>
      </c>
      <c r="L1369" s="19" t="str">
        <f t="shared" si="173"/>
        <v/>
      </c>
      <c r="M1369" s="12" t="str">
        <f>IF(A1369="","",IFERROR(INDEX(المدخلات!$M$4:$M$15,MATCH(A1369,المدخلات!$L$4:$L$15,0)),""))</f>
        <v/>
      </c>
      <c r="N1369" s="4" t="str">
        <f t="shared" si="174"/>
        <v/>
      </c>
      <c r="O1369" s="4" t="str">
        <f t="shared" si="175"/>
        <v/>
      </c>
    </row>
    <row r="1370" spans="1:15">
      <c r="A1370" s="11"/>
      <c r="B1370" s="19"/>
      <c r="C1370" s="19"/>
      <c r="D1370" s="55"/>
      <c r="E1370" s="56"/>
      <c r="F1370" s="19"/>
      <c r="G1370" s="4" t="str">
        <f t="shared" si="168"/>
        <v/>
      </c>
      <c r="H1370" s="11" t="str">
        <f t="shared" si="169"/>
        <v/>
      </c>
      <c r="I1370" s="55" t="str">
        <f t="shared" si="170"/>
        <v/>
      </c>
      <c r="J1370" s="55" t="str">
        <f t="shared" si="171"/>
        <v/>
      </c>
      <c r="K1370" s="4" t="str">
        <f t="shared" si="172"/>
        <v/>
      </c>
      <c r="L1370" s="19" t="str">
        <f t="shared" si="173"/>
        <v/>
      </c>
      <c r="M1370" s="12" t="str">
        <f>IF(A1370="","",IFERROR(INDEX(المدخلات!$M$4:$M$15,MATCH(A1370,المدخلات!$L$4:$L$15,0)),""))</f>
        <v/>
      </c>
      <c r="N1370" s="4" t="str">
        <f t="shared" si="174"/>
        <v/>
      </c>
      <c r="O1370" s="4" t="str">
        <f t="shared" si="175"/>
        <v/>
      </c>
    </row>
    <row r="1371" spans="1:15">
      <c r="A1371" s="11"/>
      <c r="B1371" s="19"/>
      <c r="C1371" s="19"/>
      <c r="D1371" s="55"/>
      <c r="E1371" s="56"/>
      <c r="F1371" s="19"/>
      <c r="G1371" s="4" t="str">
        <f t="shared" si="168"/>
        <v/>
      </c>
      <c r="H1371" s="11" t="str">
        <f t="shared" si="169"/>
        <v/>
      </c>
      <c r="I1371" s="55" t="str">
        <f t="shared" si="170"/>
        <v/>
      </c>
      <c r="J1371" s="55" t="str">
        <f t="shared" si="171"/>
        <v/>
      </c>
      <c r="K1371" s="4" t="str">
        <f t="shared" si="172"/>
        <v/>
      </c>
      <c r="L1371" s="19" t="str">
        <f t="shared" si="173"/>
        <v/>
      </c>
      <c r="M1371" s="12" t="str">
        <f>IF(A1371="","",IFERROR(INDEX(المدخلات!$M$4:$M$15,MATCH(A1371,المدخلات!$L$4:$L$15,0)),""))</f>
        <v/>
      </c>
      <c r="N1371" s="4" t="str">
        <f t="shared" si="174"/>
        <v/>
      </c>
      <c r="O1371" s="4" t="str">
        <f t="shared" si="175"/>
        <v/>
      </c>
    </row>
    <row r="1372" spans="1:15">
      <c r="A1372" s="11"/>
      <c r="B1372" s="19"/>
      <c r="C1372" s="19"/>
      <c r="D1372" s="55"/>
      <c r="E1372" s="56"/>
      <c r="F1372" s="19"/>
      <c r="G1372" s="4" t="str">
        <f t="shared" si="168"/>
        <v/>
      </c>
      <c r="H1372" s="11" t="str">
        <f t="shared" si="169"/>
        <v/>
      </c>
      <c r="I1372" s="55" t="str">
        <f t="shared" si="170"/>
        <v/>
      </c>
      <c r="J1372" s="55" t="str">
        <f t="shared" si="171"/>
        <v/>
      </c>
      <c r="K1372" s="4" t="str">
        <f t="shared" si="172"/>
        <v/>
      </c>
      <c r="L1372" s="19" t="str">
        <f t="shared" si="173"/>
        <v/>
      </c>
      <c r="M1372" s="12" t="str">
        <f>IF(A1372="","",IFERROR(INDEX(المدخلات!$M$4:$M$15,MATCH(A1372,المدخلات!$L$4:$L$15,0)),""))</f>
        <v/>
      </c>
      <c r="N1372" s="4" t="str">
        <f t="shared" si="174"/>
        <v/>
      </c>
      <c r="O1372" s="4" t="str">
        <f t="shared" si="175"/>
        <v/>
      </c>
    </row>
    <row r="1373" spans="1:15">
      <c r="A1373" s="11"/>
      <c r="B1373" s="19"/>
      <c r="C1373" s="19"/>
      <c r="D1373" s="55"/>
      <c r="E1373" s="56"/>
      <c r="F1373" s="19"/>
      <c r="G1373" s="4" t="str">
        <f t="shared" si="168"/>
        <v/>
      </c>
      <c r="H1373" s="11" t="str">
        <f t="shared" si="169"/>
        <v/>
      </c>
      <c r="I1373" s="55" t="str">
        <f t="shared" si="170"/>
        <v/>
      </c>
      <c r="J1373" s="55" t="str">
        <f t="shared" si="171"/>
        <v/>
      </c>
      <c r="K1373" s="4" t="str">
        <f t="shared" si="172"/>
        <v/>
      </c>
      <c r="L1373" s="19" t="str">
        <f t="shared" si="173"/>
        <v/>
      </c>
      <c r="M1373" s="12" t="str">
        <f>IF(A1373="","",IFERROR(INDEX(المدخلات!$M$4:$M$15,MATCH(A1373,المدخلات!$L$4:$L$15,0)),""))</f>
        <v/>
      </c>
      <c r="N1373" s="4" t="str">
        <f t="shared" si="174"/>
        <v/>
      </c>
      <c r="O1373" s="4" t="str">
        <f t="shared" si="175"/>
        <v/>
      </c>
    </row>
    <row r="1374" spans="1:15">
      <c r="A1374" s="11"/>
      <c r="B1374" s="19"/>
      <c r="C1374" s="19"/>
      <c r="D1374" s="55"/>
      <c r="E1374" s="56"/>
      <c r="F1374" s="19"/>
      <c r="G1374" s="4" t="str">
        <f t="shared" si="168"/>
        <v/>
      </c>
      <c r="H1374" s="11" t="str">
        <f t="shared" si="169"/>
        <v/>
      </c>
      <c r="I1374" s="55" t="str">
        <f t="shared" si="170"/>
        <v/>
      </c>
      <c r="J1374" s="55" t="str">
        <f t="shared" si="171"/>
        <v/>
      </c>
      <c r="K1374" s="4" t="str">
        <f t="shared" si="172"/>
        <v/>
      </c>
      <c r="L1374" s="19" t="str">
        <f t="shared" si="173"/>
        <v/>
      </c>
      <c r="M1374" s="12" t="str">
        <f>IF(A1374="","",IFERROR(INDEX(المدخلات!$M$4:$M$15,MATCH(A1374,المدخلات!$L$4:$L$15,0)),""))</f>
        <v/>
      </c>
      <c r="N1374" s="4" t="str">
        <f t="shared" si="174"/>
        <v/>
      </c>
      <c r="O1374" s="4" t="str">
        <f t="shared" si="175"/>
        <v/>
      </c>
    </row>
    <row r="1375" spans="1:15">
      <c r="A1375" s="11"/>
      <c r="B1375" s="19"/>
      <c r="C1375" s="19"/>
      <c r="D1375" s="55"/>
      <c r="E1375" s="56"/>
      <c r="F1375" s="19"/>
      <c r="G1375" s="4" t="str">
        <f t="shared" si="168"/>
        <v/>
      </c>
      <c r="H1375" s="11" t="str">
        <f t="shared" si="169"/>
        <v/>
      </c>
      <c r="I1375" s="55" t="str">
        <f t="shared" si="170"/>
        <v/>
      </c>
      <c r="J1375" s="55" t="str">
        <f t="shared" si="171"/>
        <v/>
      </c>
      <c r="K1375" s="4" t="str">
        <f t="shared" si="172"/>
        <v/>
      </c>
      <c r="L1375" s="19" t="str">
        <f t="shared" si="173"/>
        <v/>
      </c>
      <c r="M1375" s="12" t="str">
        <f>IF(A1375="","",IFERROR(INDEX(المدخلات!$M$4:$M$15,MATCH(A1375,المدخلات!$L$4:$L$15,0)),""))</f>
        <v/>
      </c>
      <c r="N1375" s="4" t="str">
        <f t="shared" si="174"/>
        <v/>
      </c>
      <c r="O1375" s="4" t="str">
        <f t="shared" si="175"/>
        <v/>
      </c>
    </row>
    <row r="1376" spans="1:15">
      <c r="A1376" s="11"/>
      <c r="B1376" s="19"/>
      <c r="C1376" s="19"/>
      <c r="D1376" s="55"/>
      <c r="E1376" s="56"/>
      <c r="F1376" s="19"/>
      <c r="G1376" s="4" t="str">
        <f t="shared" si="168"/>
        <v/>
      </c>
      <c r="H1376" s="11" t="str">
        <f t="shared" si="169"/>
        <v/>
      </c>
      <c r="I1376" s="55" t="str">
        <f t="shared" si="170"/>
        <v/>
      </c>
      <c r="J1376" s="55" t="str">
        <f t="shared" si="171"/>
        <v/>
      </c>
      <c r="K1376" s="4" t="str">
        <f t="shared" si="172"/>
        <v/>
      </c>
      <c r="L1376" s="19" t="str">
        <f t="shared" si="173"/>
        <v/>
      </c>
      <c r="M1376" s="12" t="str">
        <f>IF(A1376="","",IFERROR(INDEX(المدخلات!$M$4:$M$15,MATCH(A1376,المدخلات!$L$4:$L$15,0)),""))</f>
        <v/>
      </c>
      <c r="N1376" s="4" t="str">
        <f t="shared" si="174"/>
        <v/>
      </c>
      <c r="O1376" s="4" t="str">
        <f t="shared" si="175"/>
        <v/>
      </c>
    </row>
    <row r="1377" spans="1:15">
      <c r="A1377" s="11"/>
      <c r="B1377" s="19"/>
      <c r="C1377" s="19"/>
      <c r="D1377" s="55"/>
      <c r="E1377" s="56"/>
      <c r="F1377" s="19"/>
      <c r="G1377" s="4" t="str">
        <f t="shared" si="168"/>
        <v/>
      </c>
      <c r="H1377" s="11" t="str">
        <f t="shared" si="169"/>
        <v/>
      </c>
      <c r="I1377" s="55" t="str">
        <f t="shared" si="170"/>
        <v/>
      </c>
      <c r="J1377" s="55" t="str">
        <f t="shared" si="171"/>
        <v/>
      </c>
      <c r="K1377" s="4" t="str">
        <f t="shared" si="172"/>
        <v/>
      </c>
      <c r="L1377" s="19" t="str">
        <f t="shared" si="173"/>
        <v/>
      </c>
      <c r="M1377" s="12" t="str">
        <f>IF(A1377="","",IFERROR(INDEX(المدخلات!$M$4:$M$15,MATCH(A1377,المدخلات!$L$4:$L$15,0)),""))</f>
        <v/>
      </c>
      <c r="N1377" s="4" t="str">
        <f t="shared" si="174"/>
        <v/>
      </c>
      <c r="O1377" s="4" t="str">
        <f t="shared" si="175"/>
        <v/>
      </c>
    </row>
    <row r="1378" spans="1:15">
      <c r="A1378" s="11"/>
      <c r="B1378" s="19"/>
      <c r="C1378" s="19"/>
      <c r="D1378" s="55"/>
      <c r="E1378" s="56"/>
      <c r="F1378" s="19"/>
      <c r="G1378" s="4" t="str">
        <f t="shared" si="168"/>
        <v/>
      </c>
      <c r="H1378" s="11" t="str">
        <f t="shared" si="169"/>
        <v/>
      </c>
      <c r="I1378" s="55" t="str">
        <f t="shared" si="170"/>
        <v/>
      </c>
      <c r="J1378" s="55" t="str">
        <f t="shared" si="171"/>
        <v/>
      </c>
      <c r="K1378" s="4" t="str">
        <f t="shared" si="172"/>
        <v/>
      </c>
      <c r="L1378" s="19" t="str">
        <f t="shared" si="173"/>
        <v/>
      </c>
      <c r="M1378" s="12" t="str">
        <f>IF(A1378="","",IFERROR(INDEX(المدخلات!$M$4:$M$15,MATCH(A1378,المدخلات!$L$4:$L$15,0)),""))</f>
        <v/>
      </c>
      <c r="N1378" s="4" t="str">
        <f t="shared" si="174"/>
        <v/>
      </c>
      <c r="O1378" s="4" t="str">
        <f t="shared" si="175"/>
        <v/>
      </c>
    </row>
    <row r="1379" spans="1:15">
      <c r="A1379" s="11"/>
      <c r="B1379" s="19"/>
      <c r="C1379" s="19"/>
      <c r="D1379" s="55"/>
      <c r="E1379" s="56"/>
      <c r="F1379" s="19"/>
      <c r="G1379" s="4" t="str">
        <f t="shared" si="168"/>
        <v/>
      </c>
      <c r="H1379" s="11" t="str">
        <f t="shared" si="169"/>
        <v/>
      </c>
      <c r="I1379" s="55" t="str">
        <f t="shared" si="170"/>
        <v/>
      </c>
      <c r="J1379" s="55" t="str">
        <f t="shared" si="171"/>
        <v/>
      </c>
      <c r="K1379" s="4" t="str">
        <f t="shared" si="172"/>
        <v/>
      </c>
      <c r="L1379" s="19" t="str">
        <f t="shared" si="173"/>
        <v/>
      </c>
      <c r="M1379" s="12" t="str">
        <f>IF(A1379="","",IFERROR(INDEX(المدخلات!$M$4:$M$15,MATCH(A1379,المدخلات!$L$4:$L$15,0)),""))</f>
        <v/>
      </c>
      <c r="N1379" s="4" t="str">
        <f t="shared" si="174"/>
        <v/>
      </c>
      <c r="O1379" s="4" t="str">
        <f t="shared" si="175"/>
        <v/>
      </c>
    </row>
    <row r="1380" spans="1:15">
      <c r="A1380" s="11"/>
      <c r="B1380" s="19"/>
      <c r="C1380" s="19"/>
      <c r="D1380" s="55"/>
      <c r="E1380" s="56"/>
      <c r="F1380" s="19"/>
      <c r="G1380" s="4" t="str">
        <f t="shared" si="168"/>
        <v/>
      </c>
      <c r="H1380" s="11" t="str">
        <f t="shared" si="169"/>
        <v/>
      </c>
      <c r="I1380" s="55" t="str">
        <f t="shared" si="170"/>
        <v/>
      </c>
      <c r="J1380" s="55" t="str">
        <f t="shared" si="171"/>
        <v/>
      </c>
      <c r="K1380" s="4" t="str">
        <f t="shared" si="172"/>
        <v/>
      </c>
      <c r="L1380" s="19" t="str">
        <f t="shared" si="173"/>
        <v/>
      </c>
      <c r="M1380" s="12" t="str">
        <f>IF(A1380="","",IFERROR(INDEX(المدخلات!$M$4:$M$15,MATCH(A1380,المدخلات!$L$4:$L$15,0)),""))</f>
        <v/>
      </c>
      <c r="N1380" s="4" t="str">
        <f t="shared" si="174"/>
        <v/>
      </c>
      <c r="O1380" s="4" t="str">
        <f t="shared" si="175"/>
        <v/>
      </c>
    </row>
    <row r="1381" spans="1:15">
      <c r="A1381" s="11"/>
      <c r="B1381" s="19"/>
      <c r="C1381" s="19"/>
      <c r="D1381" s="55"/>
      <c r="E1381" s="56"/>
      <c r="F1381" s="19"/>
      <c r="G1381" s="4" t="str">
        <f t="shared" si="168"/>
        <v/>
      </c>
      <c r="H1381" s="11" t="str">
        <f t="shared" si="169"/>
        <v/>
      </c>
      <c r="I1381" s="55" t="str">
        <f t="shared" si="170"/>
        <v/>
      </c>
      <c r="J1381" s="55" t="str">
        <f t="shared" si="171"/>
        <v/>
      </c>
      <c r="K1381" s="4" t="str">
        <f t="shared" si="172"/>
        <v/>
      </c>
      <c r="L1381" s="19" t="str">
        <f t="shared" si="173"/>
        <v/>
      </c>
      <c r="M1381" s="12" t="str">
        <f>IF(A1381="","",IFERROR(INDEX(المدخلات!$M$4:$M$15,MATCH(A1381,المدخلات!$L$4:$L$15,0)),""))</f>
        <v/>
      </c>
      <c r="N1381" s="4" t="str">
        <f t="shared" si="174"/>
        <v/>
      </c>
      <c r="O1381" s="4" t="str">
        <f t="shared" si="175"/>
        <v/>
      </c>
    </row>
    <row r="1382" spans="1:15">
      <c r="A1382" s="11"/>
      <c r="B1382" s="19"/>
      <c r="C1382" s="19"/>
      <c r="D1382" s="55"/>
      <c r="E1382" s="56"/>
      <c r="F1382" s="19"/>
      <c r="G1382" s="4" t="str">
        <f t="shared" si="168"/>
        <v/>
      </c>
      <c r="H1382" s="11" t="str">
        <f t="shared" si="169"/>
        <v/>
      </c>
      <c r="I1382" s="55" t="str">
        <f t="shared" si="170"/>
        <v/>
      </c>
      <c r="J1382" s="55" t="str">
        <f t="shared" si="171"/>
        <v/>
      </c>
      <c r="K1382" s="4" t="str">
        <f t="shared" si="172"/>
        <v/>
      </c>
      <c r="L1382" s="19" t="str">
        <f t="shared" si="173"/>
        <v/>
      </c>
      <c r="M1382" s="12" t="str">
        <f>IF(A1382="","",IFERROR(INDEX(المدخلات!$M$4:$M$15,MATCH(A1382,المدخلات!$L$4:$L$15,0)),""))</f>
        <v/>
      </c>
      <c r="N1382" s="4" t="str">
        <f t="shared" si="174"/>
        <v/>
      </c>
      <c r="O1382" s="4" t="str">
        <f t="shared" si="175"/>
        <v/>
      </c>
    </row>
    <row r="1383" spans="1:15">
      <c r="A1383" s="11"/>
      <c r="B1383" s="19"/>
      <c r="C1383" s="19"/>
      <c r="D1383" s="55"/>
      <c r="E1383" s="56"/>
      <c r="F1383" s="19"/>
      <c r="G1383" s="4" t="str">
        <f t="shared" si="168"/>
        <v/>
      </c>
      <c r="H1383" s="11" t="str">
        <f t="shared" si="169"/>
        <v/>
      </c>
      <c r="I1383" s="55" t="str">
        <f t="shared" si="170"/>
        <v/>
      </c>
      <c r="J1383" s="55" t="str">
        <f t="shared" si="171"/>
        <v/>
      </c>
      <c r="K1383" s="4" t="str">
        <f t="shared" si="172"/>
        <v/>
      </c>
      <c r="L1383" s="19" t="str">
        <f t="shared" si="173"/>
        <v/>
      </c>
      <c r="M1383" s="12" t="str">
        <f>IF(A1383="","",IFERROR(INDEX(المدخلات!$M$4:$M$15,MATCH(A1383,المدخلات!$L$4:$L$15,0)),""))</f>
        <v/>
      </c>
      <c r="N1383" s="4" t="str">
        <f t="shared" si="174"/>
        <v/>
      </c>
      <c r="O1383" s="4" t="str">
        <f t="shared" si="175"/>
        <v/>
      </c>
    </row>
    <row r="1384" spans="1:15">
      <c r="A1384" s="11"/>
      <c r="B1384" s="19"/>
      <c r="C1384" s="19"/>
      <c r="D1384" s="55"/>
      <c r="E1384" s="56"/>
      <c r="F1384" s="19"/>
      <c r="G1384" s="4" t="str">
        <f t="shared" si="168"/>
        <v/>
      </c>
      <c r="H1384" s="11" t="str">
        <f t="shared" si="169"/>
        <v/>
      </c>
      <c r="I1384" s="55" t="str">
        <f t="shared" si="170"/>
        <v/>
      </c>
      <c r="J1384" s="55" t="str">
        <f t="shared" si="171"/>
        <v/>
      </c>
      <c r="K1384" s="4" t="str">
        <f t="shared" si="172"/>
        <v/>
      </c>
      <c r="L1384" s="19" t="str">
        <f t="shared" si="173"/>
        <v/>
      </c>
      <c r="M1384" s="12" t="str">
        <f>IF(A1384="","",IFERROR(INDEX(المدخلات!$M$4:$M$15,MATCH(A1384,المدخلات!$L$4:$L$15,0)),""))</f>
        <v/>
      </c>
      <c r="N1384" s="4" t="str">
        <f t="shared" si="174"/>
        <v/>
      </c>
      <c r="O1384" s="4" t="str">
        <f t="shared" si="175"/>
        <v/>
      </c>
    </row>
    <row r="1385" spans="1:15">
      <c r="A1385" s="11"/>
      <c r="B1385" s="19"/>
      <c r="C1385" s="19"/>
      <c r="D1385" s="55"/>
      <c r="E1385" s="56"/>
      <c r="F1385" s="19"/>
      <c r="G1385" s="4" t="str">
        <f t="shared" si="168"/>
        <v/>
      </c>
      <c r="H1385" s="11" t="str">
        <f t="shared" si="169"/>
        <v/>
      </c>
      <c r="I1385" s="55" t="str">
        <f t="shared" si="170"/>
        <v/>
      </c>
      <c r="J1385" s="55" t="str">
        <f t="shared" si="171"/>
        <v/>
      </c>
      <c r="K1385" s="4" t="str">
        <f t="shared" si="172"/>
        <v/>
      </c>
      <c r="L1385" s="19" t="str">
        <f t="shared" si="173"/>
        <v/>
      </c>
      <c r="M1385" s="12" t="str">
        <f>IF(A1385="","",IFERROR(INDEX(المدخلات!$M$4:$M$15,MATCH(A1385,المدخلات!$L$4:$L$15,0)),""))</f>
        <v/>
      </c>
      <c r="N1385" s="4" t="str">
        <f t="shared" si="174"/>
        <v/>
      </c>
      <c r="O1385" s="4" t="str">
        <f t="shared" si="175"/>
        <v/>
      </c>
    </row>
    <row r="1386" spans="1:15">
      <c r="A1386" s="11"/>
      <c r="B1386" s="19"/>
      <c r="C1386" s="19"/>
      <c r="D1386" s="55"/>
      <c r="E1386" s="56"/>
      <c r="F1386" s="19"/>
      <c r="G1386" s="4" t="str">
        <f t="shared" si="168"/>
        <v/>
      </c>
      <c r="H1386" s="11" t="str">
        <f t="shared" si="169"/>
        <v/>
      </c>
      <c r="I1386" s="55" t="str">
        <f t="shared" si="170"/>
        <v/>
      </c>
      <c r="J1386" s="55" t="str">
        <f t="shared" si="171"/>
        <v/>
      </c>
      <c r="K1386" s="4" t="str">
        <f t="shared" si="172"/>
        <v/>
      </c>
      <c r="L1386" s="19" t="str">
        <f t="shared" si="173"/>
        <v/>
      </c>
      <c r="M1386" s="12" t="str">
        <f>IF(A1386="","",IFERROR(INDEX(المدخلات!$M$4:$M$15,MATCH(A1386,المدخلات!$L$4:$L$15,0)),""))</f>
        <v/>
      </c>
      <c r="N1386" s="4" t="str">
        <f t="shared" si="174"/>
        <v/>
      </c>
      <c r="O1386" s="4" t="str">
        <f t="shared" si="175"/>
        <v/>
      </c>
    </row>
    <row r="1387" spans="1:15">
      <c r="A1387" s="11"/>
      <c r="B1387" s="19"/>
      <c r="C1387" s="19"/>
      <c r="D1387" s="55"/>
      <c r="E1387" s="56"/>
      <c r="F1387" s="19"/>
      <c r="G1387" s="4" t="str">
        <f t="shared" si="168"/>
        <v/>
      </c>
      <c r="H1387" s="11" t="str">
        <f t="shared" si="169"/>
        <v/>
      </c>
      <c r="I1387" s="55" t="str">
        <f t="shared" si="170"/>
        <v/>
      </c>
      <c r="J1387" s="55" t="str">
        <f t="shared" si="171"/>
        <v/>
      </c>
      <c r="K1387" s="4" t="str">
        <f t="shared" si="172"/>
        <v/>
      </c>
      <c r="L1387" s="19" t="str">
        <f t="shared" si="173"/>
        <v/>
      </c>
      <c r="M1387" s="12" t="str">
        <f>IF(A1387="","",IFERROR(INDEX(المدخلات!$M$4:$M$15,MATCH(A1387,المدخلات!$L$4:$L$15,0)),""))</f>
        <v/>
      </c>
      <c r="N1387" s="4" t="str">
        <f t="shared" si="174"/>
        <v/>
      </c>
      <c r="O1387" s="4" t="str">
        <f t="shared" si="175"/>
        <v/>
      </c>
    </row>
    <row r="1388" spans="1:15">
      <c r="A1388" s="11"/>
      <c r="B1388" s="19"/>
      <c r="C1388" s="19"/>
      <c r="D1388" s="55"/>
      <c r="E1388" s="56"/>
      <c r="F1388" s="19"/>
      <c r="G1388" s="4" t="str">
        <f t="shared" si="168"/>
        <v/>
      </c>
      <c r="H1388" s="11" t="str">
        <f t="shared" si="169"/>
        <v/>
      </c>
      <c r="I1388" s="55" t="str">
        <f t="shared" si="170"/>
        <v/>
      </c>
      <c r="J1388" s="55" t="str">
        <f t="shared" si="171"/>
        <v/>
      </c>
      <c r="K1388" s="4" t="str">
        <f t="shared" si="172"/>
        <v/>
      </c>
      <c r="L1388" s="19" t="str">
        <f t="shared" si="173"/>
        <v/>
      </c>
      <c r="M1388" s="12" t="str">
        <f>IF(A1388="","",IFERROR(INDEX(المدخلات!$M$4:$M$15,MATCH(A1388,المدخلات!$L$4:$L$15,0)),""))</f>
        <v/>
      </c>
      <c r="N1388" s="4" t="str">
        <f t="shared" si="174"/>
        <v/>
      </c>
      <c r="O1388" s="4" t="str">
        <f t="shared" si="175"/>
        <v/>
      </c>
    </row>
    <row r="1389" spans="1:15">
      <c r="A1389" s="11"/>
      <c r="B1389" s="19"/>
      <c r="C1389" s="19"/>
      <c r="D1389" s="55"/>
      <c r="E1389" s="56"/>
      <c r="F1389" s="19"/>
      <c r="G1389" s="4" t="str">
        <f t="shared" si="168"/>
        <v/>
      </c>
      <c r="H1389" s="11" t="str">
        <f t="shared" si="169"/>
        <v/>
      </c>
      <c r="I1389" s="55" t="str">
        <f t="shared" si="170"/>
        <v/>
      </c>
      <c r="J1389" s="55" t="str">
        <f t="shared" si="171"/>
        <v/>
      </c>
      <c r="K1389" s="4" t="str">
        <f t="shared" si="172"/>
        <v/>
      </c>
      <c r="L1389" s="19" t="str">
        <f t="shared" si="173"/>
        <v/>
      </c>
      <c r="M1389" s="12" t="str">
        <f>IF(A1389="","",IFERROR(INDEX(المدخلات!$M$4:$M$15,MATCH(A1389,المدخلات!$L$4:$L$15,0)),""))</f>
        <v/>
      </c>
      <c r="N1389" s="4" t="str">
        <f t="shared" si="174"/>
        <v/>
      </c>
      <c r="O1389" s="4" t="str">
        <f t="shared" si="175"/>
        <v/>
      </c>
    </row>
    <row r="1390" spans="1:15">
      <c r="A1390" s="11"/>
      <c r="B1390" s="19"/>
      <c r="C1390" s="19"/>
      <c r="D1390" s="55"/>
      <c r="E1390" s="56"/>
      <c r="F1390" s="19"/>
      <c r="G1390" s="4" t="str">
        <f t="shared" si="168"/>
        <v/>
      </c>
      <c r="H1390" s="11" t="str">
        <f t="shared" si="169"/>
        <v/>
      </c>
      <c r="I1390" s="55" t="str">
        <f t="shared" si="170"/>
        <v/>
      </c>
      <c r="J1390" s="55" t="str">
        <f t="shared" si="171"/>
        <v/>
      </c>
      <c r="K1390" s="4" t="str">
        <f t="shared" si="172"/>
        <v/>
      </c>
      <c r="L1390" s="19" t="str">
        <f t="shared" si="173"/>
        <v/>
      </c>
      <c r="M1390" s="12" t="str">
        <f>IF(A1390="","",IFERROR(INDEX(المدخلات!$M$4:$M$15,MATCH(A1390,المدخلات!$L$4:$L$15,0)),""))</f>
        <v/>
      </c>
      <c r="N1390" s="4" t="str">
        <f t="shared" si="174"/>
        <v/>
      </c>
      <c r="O1390" s="4" t="str">
        <f t="shared" si="175"/>
        <v/>
      </c>
    </row>
    <row r="1391" spans="1:15">
      <c r="A1391" s="11"/>
      <c r="B1391" s="19"/>
      <c r="C1391" s="19"/>
      <c r="D1391" s="55"/>
      <c r="E1391" s="56"/>
      <c r="F1391" s="19"/>
      <c r="G1391" s="4" t="str">
        <f t="shared" si="168"/>
        <v/>
      </c>
      <c r="H1391" s="11" t="str">
        <f t="shared" si="169"/>
        <v/>
      </c>
      <c r="I1391" s="55" t="str">
        <f t="shared" si="170"/>
        <v/>
      </c>
      <c r="J1391" s="55" t="str">
        <f t="shared" si="171"/>
        <v/>
      </c>
      <c r="K1391" s="4" t="str">
        <f t="shared" si="172"/>
        <v/>
      </c>
      <c r="L1391" s="19" t="str">
        <f t="shared" si="173"/>
        <v/>
      </c>
      <c r="M1391" s="12" t="str">
        <f>IF(A1391="","",IFERROR(INDEX(المدخلات!$M$4:$M$15,MATCH(A1391,المدخلات!$L$4:$L$15,0)),""))</f>
        <v/>
      </c>
      <c r="N1391" s="4" t="str">
        <f t="shared" si="174"/>
        <v/>
      </c>
      <c r="O1391" s="4" t="str">
        <f t="shared" si="175"/>
        <v/>
      </c>
    </row>
    <row r="1392" spans="1:15">
      <c r="A1392" s="11"/>
      <c r="B1392" s="19"/>
      <c r="C1392" s="19"/>
      <c r="D1392" s="55"/>
      <c r="E1392" s="56"/>
      <c r="F1392" s="19"/>
      <c r="G1392" s="4" t="str">
        <f t="shared" si="168"/>
        <v/>
      </c>
      <c r="H1392" s="11" t="str">
        <f t="shared" si="169"/>
        <v/>
      </c>
      <c r="I1392" s="55" t="str">
        <f t="shared" si="170"/>
        <v/>
      </c>
      <c r="J1392" s="55" t="str">
        <f t="shared" si="171"/>
        <v/>
      </c>
      <c r="K1392" s="4" t="str">
        <f t="shared" si="172"/>
        <v/>
      </c>
      <c r="L1392" s="19" t="str">
        <f t="shared" si="173"/>
        <v/>
      </c>
      <c r="M1392" s="12" t="str">
        <f>IF(A1392="","",IFERROR(INDEX(المدخلات!$M$4:$M$15,MATCH(A1392,المدخلات!$L$4:$L$15,0)),""))</f>
        <v/>
      </c>
      <c r="N1392" s="4" t="str">
        <f t="shared" si="174"/>
        <v/>
      </c>
      <c r="O1392" s="4" t="str">
        <f t="shared" si="175"/>
        <v/>
      </c>
    </row>
    <row r="1393" spans="1:15">
      <c r="A1393" s="11"/>
      <c r="B1393" s="19"/>
      <c r="C1393" s="19"/>
      <c r="D1393" s="55"/>
      <c r="E1393" s="56"/>
      <c r="F1393" s="19"/>
      <c r="G1393" s="4" t="str">
        <f t="shared" si="168"/>
        <v/>
      </c>
      <c r="H1393" s="11" t="str">
        <f t="shared" si="169"/>
        <v/>
      </c>
      <c r="I1393" s="55" t="str">
        <f t="shared" si="170"/>
        <v/>
      </c>
      <c r="J1393" s="55" t="str">
        <f t="shared" si="171"/>
        <v/>
      </c>
      <c r="K1393" s="4" t="str">
        <f t="shared" si="172"/>
        <v/>
      </c>
      <c r="L1393" s="19" t="str">
        <f t="shared" si="173"/>
        <v/>
      </c>
      <c r="M1393" s="12" t="str">
        <f>IF(A1393="","",IFERROR(INDEX(المدخلات!$M$4:$M$15,MATCH(A1393,المدخلات!$L$4:$L$15,0)),""))</f>
        <v/>
      </c>
      <c r="N1393" s="4" t="str">
        <f t="shared" si="174"/>
        <v/>
      </c>
      <c r="O1393" s="4" t="str">
        <f t="shared" si="175"/>
        <v/>
      </c>
    </row>
    <row r="1394" spans="1:15">
      <c r="A1394" s="11"/>
      <c r="B1394" s="19"/>
      <c r="C1394" s="19"/>
      <c r="D1394" s="55"/>
      <c r="E1394" s="56"/>
      <c r="F1394" s="19"/>
      <c r="G1394" s="4" t="str">
        <f t="shared" si="168"/>
        <v/>
      </c>
      <c r="H1394" s="11" t="str">
        <f t="shared" si="169"/>
        <v/>
      </c>
      <c r="I1394" s="55" t="str">
        <f t="shared" si="170"/>
        <v/>
      </c>
      <c r="J1394" s="55" t="str">
        <f t="shared" si="171"/>
        <v/>
      </c>
      <c r="K1394" s="4" t="str">
        <f t="shared" si="172"/>
        <v/>
      </c>
      <c r="L1394" s="19" t="str">
        <f t="shared" si="173"/>
        <v/>
      </c>
      <c r="M1394" s="12" t="str">
        <f>IF(A1394="","",IFERROR(INDEX(المدخلات!$M$4:$M$15,MATCH(A1394,المدخلات!$L$4:$L$15,0)),""))</f>
        <v/>
      </c>
      <c r="N1394" s="4" t="str">
        <f t="shared" si="174"/>
        <v/>
      </c>
      <c r="O1394" s="4" t="str">
        <f t="shared" si="175"/>
        <v/>
      </c>
    </row>
    <row r="1395" spans="1:15">
      <c r="A1395" s="11"/>
      <c r="B1395" s="19"/>
      <c r="C1395" s="19"/>
      <c r="D1395" s="55"/>
      <c r="E1395" s="56"/>
      <c r="F1395" s="19"/>
      <c r="G1395" s="4" t="str">
        <f t="shared" si="168"/>
        <v/>
      </c>
      <c r="H1395" s="11" t="str">
        <f t="shared" si="169"/>
        <v/>
      </c>
      <c r="I1395" s="55" t="str">
        <f t="shared" si="170"/>
        <v/>
      </c>
      <c r="J1395" s="55" t="str">
        <f t="shared" si="171"/>
        <v/>
      </c>
      <c r="K1395" s="4" t="str">
        <f t="shared" si="172"/>
        <v/>
      </c>
      <c r="L1395" s="19" t="str">
        <f t="shared" si="173"/>
        <v/>
      </c>
      <c r="M1395" s="12" t="str">
        <f>IF(A1395="","",IFERROR(INDEX(المدخلات!$M$4:$M$15,MATCH(A1395,المدخلات!$L$4:$L$15,0)),""))</f>
        <v/>
      </c>
      <c r="N1395" s="4" t="str">
        <f t="shared" si="174"/>
        <v/>
      </c>
      <c r="O1395" s="4" t="str">
        <f t="shared" si="175"/>
        <v/>
      </c>
    </row>
    <row r="1396" spans="1:15">
      <c r="A1396" s="11"/>
      <c r="B1396" s="19"/>
      <c r="C1396" s="19"/>
      <c r="D1396" s="55"/>
      <c r="E1396" s="56"/>
      <c r="F1396" s="19"/>
      <c r="G1396" s="4" t="str">
        <f t="shared" si="168"/>
        <v/>
      </c>
      <c r="H1396" s="11" t="str">
        <f t="shared" si="169"/>
        <v/>
      </c>
      <c r="I1396" s="55" t="str">
        <f t="shared" si="170"/>
        <v/>
      </c>
      <c r="J1396" s="55" t="str">
        <f t="shared" si="171"/>
        <v/>
      </c>
      <c r="K1396" s="4" t="str">
        <f t="shared" si="172"/>
        <v/>
      </c>
      <c r="L1396" s="19" t="str">
        <f t="shared" si="173"/>
        <v/>
      </c>
      <c r="M1396" s="12" t="str">
        <f>IF(A1396="","",IFERROR(INDEX(المدخلات!$M$4:$M$15,MATCH(A1396,المدخلات!$L$4:$L$15,0)),""))</f>
        <v/>
      </c>
      <c r="N1396" s="4" t="str">
        <f t="shared" si="174"/>
        <v/>
      </c>
      <c r="O1396" s="4" t="str">
        <f t="shared" si="175"/>
        <v/>
      </c>
    </row>
    <row r="1397" spans="1:15">
      <c r="A1397" s="11"/>
      <c r="B1397" s="19"/>
      <c r="C1397" s="19"/>
      <c r="D1397" s="55"/>
      <c r="E1397" s="56"/>
      <c r="F1397" s="19"/>
      <c r="G1397" s="4" t="str">
        <f t="shared" si="168"/>
        <v/>
      </c>
      <c r="H1397" s="11" t="str">
        <f t="shared" si="169"/>
        <v/>
      </c>
      <c r="I1397" s="55" t="str">
        <f t="shared" si="170"/>
        <v/>
      </c>
      <c r="J1397" s="55" t="str">
        <f t="shared" si="171"/>
        <v/>
      </c>
      <c r="K1397" s="4" t="str">
        <f t="shared" si="172"/>
        <v/>
      </c>
      <c r="L1397" s="19" t="str">
        <f t="shared" si="173"/>
        <v/>
      </c>
      <c r="M1397" s="12" t="str">
        <f>IF(A1397="","",IFERROR(INDEX(المدخلات!$M$4:$M$15,MATCH(A1397,المدخلات!$L$4:$L$15,0)),""))</f>
        <v/>
      </c>
      <c r="N1397" s="4" t="str">
        <f t="shared" si="174"/>
        <v/>
      </c>
      <c r="O1397" s="4" t="str">
        <f t="shared" si="175"/>
        <v/>
      </c>
    </row>
    <row r="1398" spans="1:15">
      <c r="A1398" s="11"/>
      <c r="B1398" s="19"/>
      <c r="C1398" s="19"/>
      <c r="D1398" s="55"/>
      <c r="E1398" s="56"/>
      <c r="F1398" s="19"/>
      <c r="G1398" s="4" t="str">
        <f t="shared" si="168"/>
        <v/>
      </c>
      <c r="H1398" s="11" t="str">
        <f t="shared" si="169"/>
        <v/>
      </c>
      <c r="I1398" s="55" t="str">
        <f t="shared" si="170"/>
        <v/>
      </c>
      <c r="J1398" s="55" t="str">
        <f t="shared" si="171"/>
        <v/>
      </c>
      <c r="K1398" s="4" t="str">
        <f t="shared" si="172"/>
        <v/>
      </c>
      <c r="L1398" s="19" t="str">
        <f t="shared" si="173"/>
        <v/>
      </c>
      <c r="M1398" s="12" t="str">
        <f>IF(A1398="","",IFERROR(INDEX(المدخلات!$M$4:$M$15,MATCH(A1398,المدخلات!$L$4:$L$15,0)),""))</f>
        <v/>
      </c>
      <c r="N1398" s="4" t="str">
        <f t="shared" si="174"/>
        <v/>
      </c>
      <c r="O1398" s="4" t="str">
        <f t="shared" si="175"/>
        <v/>
      </c>
    </row>
    <row r="1399" spans="1:15">
      <c r="A1399" s="11"/>
      <c r="B1399" s="19"/>
      <c r="C1399" s="19"/>
      <c r="D1399" s="55"/>
      <c r="E1399" s="56"/>
      <c r="F1399" s="19"/>
      <c r="G1399" s="4" t="str">
        <f t="shared" si="168"/>
        <v/>
      </c>
      <c r="H1399" s="11" t="str">
        <f t="shared" si="169"/>
        <v/>
      </c>
      <c r="I1399" s="55" t="str">
        <f t="shared" si="170"/>
        <v/>
      </c>
      <c r="J1399" s="55" t="str">
        <f t="shared" si="171"/>
        <v/>
      </c>
      <c r="K1399" s="4" t="str">
        <f t="shared" si="172"/>
        <v/>
      </c>
      <c r="L1399" s="19" t="str">
        <f t="shared" si="173"/>
        <v/>
      </c>
      <c r="M1399" s="12" t="str">
        <f>IF(A1399="","",IFERROR(INDEX(المدخلات!$M$4:$M$15,MATCH(A1399,المدخلات!$L$4:$L$15,0)),""))</f>
        <v/>
      </c>
      <c r="N1399" s="4" t="str">
        <f t="shared" si="174"/>
        <v/>
      </c>
      <c r="O1399" s="4" t="str">
        <f t="shared" si="175"/>
        <v/>
      </c>
    </row>
    <row r="1400" spans="1:15">
      <c r="A1400" s="11"/>
      <c r="B1400" s="19"/>
      <c r="C1400" s="19"/>
      <c r="D1400" s="55"/>
      <c r="E1400" s="56"/>
      <c r="F1400" s="19"/>
      <c r="G1400" s="4" t="str">
        <f t="shared" si="168"/>
        <v/>
      </c>
      <c r="H1400" s="11" t="str">
        <f t="shared" si="169"/>
        <v/>
      </c>
      <c r="I1400" s="55" t="str">
        <f t="shared" si="170"/>
        <v/>
      </c>
      <c r="J1400" s="55" t="str">
        <f t="shared" si="171"/>
        <v/>
      </c>
      <c r="K1400" s="4" t="str">
        <f t="shared" si="172"/>
        <v/>
      </c>
      <c r="L1400" s="19" t="str">
        <f t="shared" si="173"/>
        <v/>
      </c>
      <c r="M1400" s="12" t="str">
        <f>IF(A1400="","",IFERROR(INDEX(المدخلات!$M$4:$M$15,MATCH(A1400,المدخلات!$L$4:$L$15,0)),""))</f>
        <v/>
      </c>
      <c r="N1400" s="4" t="str">
        <f t="shared" si="174"/>
        <v/>
      </c>
      <c r="O1400" s="4" t="str">
        <f t="shared" si="175"/>
        <v/>
      </c>
    </row>
    <row r="1401" spans="1:15">
      <c r="A1401" s="11"/>
      <c r="B1401" s="19"/>
      <c r="C1401" s="19"/>
      <c r="D1401" s="55"/>
      <c r="E1401" s="56"/>
      <c r="F1401" s="19"/>
      <c r="G1401" s="4" t="str">
        <f t="shared" si="168"/>
        <v/>
      </c>
      <c r="H1401" s="11" t="str">
        <f t="shared" si="169"/>
        <v/>
      </c>
      <c r="I1401" s="55" t="str">
        <f t="shared" si="170"/>
        <v/>
      </c>
      <c r="J1401" s="55" t="str">
        <f t="shared" si="171"/>
        <v/>
      </c>
      <c r="K1401" s="4" t="str">
        <f t="shared" si="172"/>
        <v/>
      </c>
      <c r="L1401" s="19" t="str">
        <f t="shared" si="173"/>
        <v/>
      </c>
      <c r="M1401" s="12" t="str">
        <f>IF(A1401="","",IFERROR(INDEX(المدخلات!$M$4:$M$15,MATCH(A1401,المدخلات!$L$4:$L$15,0)),""))</f>
        <v/>
      </c>
      <c r="N1401" s="4" t="str">
        <f t="shared" si="174"/>
        <v/>
      </c>
      <c r="O1401" s="4" t="str">
        <f t="shared" si="175"/>
        <v/>
      </c>
    </row>
    <row r="1402" spans="1:15">
      <c r="A1402" s="11"/>
      <c r="B1402" s="19"/>
      <c r="C1402" s="19"/>
      <c r="D1402" s="55"/>
      <c r="E1402" s="56"/>
      <c r="F1402" s="19"/>
      <c r="G1402" s="4" t="str">
        <f t="shared" si="168"/>
        <v/>
      </c>
      <c r="H1402" s="11" t="str">
        <f t="shared" si="169"/>
        <v/>
      </c>
      <c r="I1402" s="55" t="str">
        <f t="shared" si="170"/>
        <v/>
      </c>
      <c r="J1402" s="55" t="str">
        <f t="shared" si="171"/>
        <v/>
      </c>
      <c r="K1402" s="4" t="str">
        <f t="shared" si="172"/>
        <v/>
      </c>
      <c r="L1402" s="19" t="str">
        <f t="shared" si="173"/>
        <v/>
      </c>
      <c r="M1402" s="12" t="str">
        <f>IF(A1402="","",IFERROR(INDEX(المدخلات!$M$4:$M$15,MATCH(A1402,المدخلات!$L$4:$L$15,0)),""))</f>
        <v/>
      </c>
      <c r="N1402" s="4" t="str">
        <f t="shared" si="174"/>
        <v/>
      </c>
      <c r="O1402" s="4" t="str">
        <f t="shared" si="175"/>
        <v/>
      </c>
    </row>
    <row r="1403" spans="1:15">
      <c r="A1403" s="11"/>
      <c r="B1403" s="19"/>
      <c r="C1403" s="19"/>
      <c r="D1403" s="55"/>
      <c r="E1403" s="56"/>
      <c r="F1403" s="19"/>
      <c r="G1403" s="4" t="str">
        <f t="shared" si="168"/>
        <v/>
      </c>
      <c r="H1403" s="11" t="str">
        <f t="shared" si="169"/>
        <v/>
      </c>
      <c r="I1403" s="55" t="str">
        <f t="shared" si="170"/>
        <v/>
      </c>
      <c r="J1403" s="55" t="str">
        <f t="shared" si="171"/>
        <v/>
      </c>
      <c r="K1403" s="4" t="str">
        <f t="shared" si="172"/>
        <v/>
      </c>
      <c r="L1403" s="19" t="str">
        <f t="shared" si="173"/>
        <v/>
      </c>
      <c r="M1403" s="12" t="str">
        <f>IF(A1403="","",IFERROR(INDEX(المدخلات!$M$4:$M$15,MATCH(A1403,المدخلات!$L$4:$L$15,0)),""))</f>
        <v/>
      </c>
      <c r="N1403" s="4" t="str">
        <f t="shared" si="174"/>
        <v/>
      </c>
      <c r="O1403" s="4" t="str">
        <f t="shared" si="175"/>
        <v/>
      </c>
    </row>
    <row r="1404" spans="1:15">
      <c r="A1404" s="11"/>
      <c r="B1404" s="19"/>
      <c r="C1404" s="19"/>
      <c r="D1404" s="55"/>
      <c r="E1404" s="56"/>
      <c r="F1404" s="19"/>
      <c r="G1404" s="4" t="str">
        <f t="shared" si="168"/>
        <v/>
      </c>
      <c r="H1404" s="11" t="str">
        <f t="shared" si="169"/>
        <v/>
      </c>
      <c r="I1404" s="55" t="str">
        <f t="shared" si="170"/>
        <v/>
      </c>
      <c r="J1404" s="55" t="str">
        <f t="shared" si="171"/>
        <v/>
      </c>
      <c r="K1404" s="4" t="str">
        <f t="shared" si="172"/>
        <v/>
      </c>
      <c r="L1404" s="19" t="str">
        <f t="shared" si="173"/>
        <v/>
      </c>
      <c r="M1404" s="12" t="str">
        <f>IF(A1404="","",IFERROR(INDEX(المدخلات!$M$4:$M$15,MATCH(A1404,المدخلات!$L$4:$L$15,0)),""))</f>
        <v/>
      </c>
      <c r="N1404" s="4" t="str">
        <f t="shared" si="174"/>
        <v/>
      </c>
      <c r="O1404" s="4" t="str">
        <f t="shared" si="175"/>
        <v/>
      </c>
    </row>
    <row r="1405" spans="1:15">
      <c r="A1405" s="11"/>
      <c r="B1405" s="19"/>
      <c r="C1405" s="19"/>
      <c r="D1405" s="55"/>
      <c r="E1405" s="56"/>
      <c r="F1405" s="19"/>
      <c r="G1405" s="4" t="str">
        <f t="shared" si="168"/>
        <v/>
      </c>
      <c r="H1405" s="11" t="str">
        <f t="shared" si="169"/>
        <v/>
      </c>
      <c r="I1405" s="55" t="str">
        <f t="shared" si="170"/>
        <v/>
      </c>
      <c r="J1405" s="55" t="str">
        <f t="shared" si="171"/>
        <v/>
      </c>
      <c r="K1405" s="4" t="str">
        <f t="shared" si="172"/>
        <v/>
      </c>
      <c r="L1405" s="19" t="str">
        <f t="shared" si="173"/>
        <v/>
      </c>
      <c r="M1405" s="12" t="str">
        <f>IF(A1405="","",IFERROR(INDEX(المدخلات!$M$4:$M$15,MATCH(A1405,المدخلات!$L$4:$L$15,0)),""))</f>
        <v/>
      </c>
      <c r="N1405" s="4" t="str">
        <f t="shared" si="174"/>
        <v/>
      </c>
      <c r="O1405" s="4" t="str">
        <f t="shared" si="175"/>
        <v/>
      </c>
    </row>
    <row r="1406" spans="1:15">
      <c r="A1406" s="11"/>
      <c r="B1406" s="19"/>
      <c r="C1406" s="19"/>
      <c r="D1406" s="55"/>
      <c r="E1406" s="56"/>
      <c r="F1406" s="19"/>
      <c r="G1406" s="4" t="str">
        <f t="shared" si="168"/>
        <v/>
      </c>
      <c r="H1406" s="11" t="str">
        <f t="shared" si="169"/>
        <v/>
      </c>
      <c r="I1406" s="55" t="str">
        <f t="shared" si="170"/>
        <v/>
      </c>
      <c r="J1406" s="55" t="str">
        <f t="shared" si="171"/>
        <v/>
      </c>
      <c r="K1406" s="4" t="str">
        <f t="shared" si="172"/>
        <v/>
      </c>
      <c r="L1406" s="19" t="str">
        <f t="shared" si="173"/>
        <v/>
      </c>
      <c r="M1406" s="12" t="str">
        <f>IF(A1406="","",IFERROR(INDEX(المدخلات!$M$4:$M$15,MATCH(A1406,المدخلات!$L$4:$L$15,0)),""))</f>
        <v/>
      </c>
      <c r="N1406" s="4" t="str">
        <f t="shared" si="174"/>
        <v/>
      </c>
      <c r="O1406" s="4" t="str">
        <f t="shared" si="175"/>
        <v/>
      </c>
    </row>
    <row r="1407" spans="1:15">
      <c r="A1407" s="11"/>
      <c r="B1407" s="19"/>
      <c r="C1407" s="19"/>
      <c r="D1407" s="55"/>
      <c r="E1407" s="56"/>
      <c r="F1407" s="19"/>
      <c r="G1407" s="4" t="str">
        <f t="shared" si="168"/>
        <v/>
      </c>
      <c r="H1407" s="11" t="str">
        <f t="shared" si="169"/>
        <v/>
      </c>
      <c r="I1407" s="55" t="str">
        <f t="shared" si="170"/>
        <v/>
      </c>
      <c r="J1407" s="55" t="str">
        <f t="shared" si="171"/>
        <v/>
      </c>
      <c r="K1407" s="4" t="str">
        <f t="shared" si="172"/>
        <v/>
      </c>
      <c r="L1407" s="19" t="str">
        <f t="shared" si="173"/>
        <v/>
      </c>
      <c r="M1407" s="12" t="str">
        <f>IF(A1407="","",IFERROR(INDEX(المدخلات!$M$4:$M$15,MATCH(A1407,المدخلات!$L$4:$L$15,0)),""))</f>
        <v/>
      </c>
      <c r="N1407" s="4" t="str">
        <f t="shared" si="174"/>
        <v/>
      </c>
      <c r="O1407" s="4" t="str">
        <f t="shared" si="175"/>
        <v/>
      </c>
    </row>
    <row r="1408" spans="1:15">
      <c r="A1408" s="11"/>
      <c r="B1408" s="19"/>
      <c r="C1408" s="19"/>
      <c r="D1408" s="55"/>
      <c r="E1408" s="56"/>
      <c r="F1408" s="19"/>
      <c r="G1408" s="4" t="str">
        <f t="shared" si="168"/>
        <v/>
      </c>
      <c r="H1408" s="11" t="str">
        <f t="shared" si="169"/>
        <v/>
      </c>
      <c r="I1408" s="55" t="str">
        <f t="shared" si="170"/>
        <v/>
      </c>
      <c r="J1408" s="55" t="str">
        <f t="shared" si="171"/>
        <v/>
      </c>
      <c r="K1408" s="4" t="str">
        <f t="shared" si="172"/>
        <v/>
      </c>
      <c r="L1408" s="19" t="str">
        <f t="shared" si="173"/>
        <v/>
      </c>
      <c r="M1408" s="12" t="str">
        <f>IF(A1408="","",IFERROR(INDEX(المدخلات!$M$4:$M$15,MATCH(A1408,المدخلات!$L$4:$L$15,0)),""))</f>
        <v/>
      </c>
      <c r="N1408" s="4" t="str">
        <f t="shared" si="174"/>
        <v/>
      </c>
      <c r="O1408" s="4" t="str">
        <f t="shared" si="175"/>
        <v/>
      </c>
    </row>
    <row r="1409" spans="1:15">
      <c r="A1409" s="11"/>
      <c r="B1409" s="19"/>
      <c r="C1409" s="19"/>
      <c r="D1409" s="55"/>
      <c r="E1409" s="56"/>
      <c r="F1409" s="19"/>
      <c r="G1409" s="4" t="str">
        <f t="shared" si="168"/>
        <v/>
      </c>
      <c r="H1409" s="11" t="str">
        <f t="shared" si="169"/>
        <v/>
      </c>
      <c r="I1409" s="55" t="str">
        <f t="shared" si="170"/>
        <v/>
      </c>
      <c r="J1409" s="55" t="str">
        <f t="shared" si="171"/>
        <v/>
      </c>
      <c r="K1409" s="4" t="str">
        <f t="shared" si="172"/>
        <v/>
      </c>
      <c r="L1409" s="19" t="str">
        <f t="shared" si="173"/>
        <v/>
      </c>
      <c r="M1409" s="12" t="str">
        <f>IF(A1409="","",IFERROR(INDEX(المدخلات!$M$4:$M$15,MATCH(A1409,المدخلات!$L$4:$L$15,0)),""))</f>
        <v/>
      </c>
      <c r="N1409" s="4" t="str">
        <f t="shared" si="174"/>
        <v/>
      </c>
      <c r="O1409" s="4" t="str">
        <f t="shared" si="175"/>
        <v/>
      </c>
    </row>
    <row r="1410" spans="1:15">
      <c r="A1410" s="11"/>
      <c r="B1410" s="19"/>
      <c r="C1410" s="19"/>
      <c r="D1410" s="55"/>
      <c r="E1410" s="56"/>
      <c r="F1410" s="19"/>
      <c r="G1410" s="4" t="str">
        <f t="shared" si="168"/>
        <v/>
      </c>
      <c r="H1410" s="11" t="str">
        <f t="shared" si="169"/>
        <v/>
      </c>
      <c r="I1410" s="55" t="str">
        <f t="shared" si="170"/>
        <v/>
      </c>
      <c r="J1410" s="55" t="str">
        <f t="shared" si="171"/>
        <v/>
      </c>
      <c r="K1410" s="4" t="str">
        <f t="shared" si="172"/>
        <v/>
      </c>
      <c r="L1410" s="19" t="str">
        <f t="shared" si="173"/>
        <v/>
      </c>
      <c r="M1410" s="12" t="str">
        <f>IF(A1410="","",IFERROR(INDEX(المدخلات!$M$4:$M$15,MATCH(A1410,المدخلات!$L$4:$L$15,0)),""))</f>
        <v/>
      </c>
      <c r="N1410" s="4" t="str">
        <f t="shared" si="174"/>
        <v/>
      </c>
      <c r="O1410" s="4" t="str">
        <f t="shared" si="175"/>
        <v/>
      </c>
    </row>
    <row r="1411" spans="1:15">
      <c r="A1411" s="11"/>
      <c r="B1411" s="19"/>
      <c r="C1411" s="19"/>
      <c r="D1411" s="55"/>
      <c r="E1411" s="56"/>
      <c r="F1411" s="19"/>
      <c r="G1411" s="4" t="str">
        <f t="shared" si="168"/>
        <v/>
      </c>
      <c r="H1411" s="11" t="str">
        <f t="shared" si="169"/>
        <v/>
      </c>
      <c r="I1411" s="55" t="str">
        <f t="shared" si="170"/>
        <v/>
      </c>
      <c r="J1411" s="55" t="str">
        <f t="shared" si="171"/>
        <v/>
      </c>
      <c r="K1411" s="4" t="str">
        <f t="shared" si="172"/>
        <v/>
      </c>
      <c r="L1411" s="19" t="str">
        <f t="shared" si="173"/>
        <v/>
      </c>
      <c r="M1411" s="12" t="str">
        <f>IF(A1411="","",IFERROR(INDEX(المدخلات!$M$4:$M$15,MATCH(A1411,المدخلات!$L$4:$L$15,0)),""))</f>
        <v/>
      </c>
      <c r="N1411" s="4" t="str">
        <f t="shared" si="174"/>
        <v/>
      </c>
      <c r="O1411" s="4" t="str">
        <f t="shared" si="175"/>
        <v/>
      </c>
    </row>
    <row r="1412" spans="1:15">
      <c r="A1412" s="11"/>
      <c r="B1412" s="19"/>
      <c r="C1412" s="19"/>
      <c r="D1412" s="55"/>
      <c r="E1412" s="56"/>
      <c r="F1412" s="19"/>
      <c r="G1412" s="4" t="str">
        <f t="shared" si="168"/>
        <v/>
      </c>
      <c r="H1412" s="11" t="str">
        <f t="shared" si="169"/>
        <v/>
      </c>
      <c r="I1412" s="55" t="str">
        <f t="shared" si="170"/>
        <v/>
      </c>
      <c r="J1412" s="55" t="str">
        <f t="shared" si="171"/>
        <v/>
      </c>
      <c r="K1412" s="4" t="str">
        <f t="shared" si="172"/>
        <v/>
      </c>
      <c r="L1412" s="19" t="str">
        <f t="shared" si="173"/>
        <v/>
      </c>
      <c r="M1412" s="12" t="str">
        <f>IF(A1412="","",IFERROR(INDEX(المدخلات!$M$4:$M$15,MATCH(A1412,المدخلات!$L$4:$L$15,0)),""))</f>
        <v/>
      </c>
      <c r="N1412" s="4" t="str">
        <f t="shared" si="174"/>
        <v/>
      </c>
      <c r="O1412" s="4" t="str">
        <f t="shared" si="175"/>
        <v/>
      </c>
    </row>
    <row r="1413" spans="1:15">
      <c r="A1413" s="11"/>
      <c r="B1413" s="19"/>
      <c r="C1413" s="19"/>
      <c r="D1413" s="55"/>
      <c r="E1413" s="56"/>
      <c r="F1413" s="19"/>
      <c r="G1413" s="4" t="str">
        <f t="shared" ref="G1413:G1476" si="176">IF(OR(D1413="",E1413=""),"",D1413*E1413)</f>
        <v/>
      </c>
      <c r="H1413" s="11" t="str">
        <f t="shared" ref="H1413:H1476" si="177">IF(C1413="","",IFERROR(_xlfn.MAXIFS($A$5:$A$2003,$C$5:$C$2003,C1413,$A$5:$A$2003,"&lt;"&amp;A1413),0))</f>
        <v/>
      </c>
      <c r="I1413" s="55" t="str">
        <f t="shared" ref="I1413:I1476" si="178">IF(OR(H1413="",H1413=0),"",IFERROR(SUMIFS($D$5:$D$2003,$C$5:$C$2003,C1413,$A$5:$A$2003,H1413),""))</f>
        <v/>
      </c>
      <c r="J1413" s="55" t="str">
        <f t="shared" ref="J1413:J1476" si="179">IF(C1413="","",IF(I1413="",0,MAX(I1413-D1413,0)))</f>
        <v/>
      </c>
      <c r="K1413" s="4" t="str">
        <f t="shared" ref="K1413:K1476" si="180">IF(J1413="","",J1413*E1413)</f>
        <v/>
      </c>
      <c r="L1413" s="19" t="str">
        <f t="shared" ref="L1413:L1476" si="181">IF(C1413="","",IF(COUNTIFS($A$5:$A$2003,A1413,$C$5:$C$2003,C1413)&gt;1,"⚠️ مادة مكررة بنفس الشهر",IF(OR(H1413="",H1413=0),"🆕 أول ظهور لهذه المادة",IF(D1413&gt;I1413,"ℹ️ زيادة كمية (شراء/تصحيح) - لا تُحتسب استهلاكاً",IF(D1413=I1413,"➖ لا تغيير","")))))</f>
        <v/>
      </c>
      <c r="M1413" s="12" t="str">
        <f>IF(A1413="","",IFERROR(INDEX(المدخلات!$M$4:$M$15,MATCH(A1413,المدخلات!$L$4:$L$15,0)),""))</f>
        <v/>
      </c>
      <c r="N1413" s="4" t="str">
        <f t="shared" ref="N1413:N1476" si="182">IF(OR(G1413="",F1413=""),"",IF(F1413="دولار أمريكي",IF(M1413="","⚠️ لا يوجد سعر صرف",G1413*M1413),G1413))</f>
        <v/>
      </c>
      <c r="O1413" s="4" t="str">
        <f t="shared" ref="O1413:O1476" si="183">IF(OR(K1413="",F1413=""),"",IF(F1413="دولار أمريكي",IF(M1413="","⚠️ لا يوجد سعر صرف",K1413*M1413),K1413))</f>
        <v/>
      </c>
    </row>
    <row r="1414" spans="1:15">
      <c r="A1414" s="11"/>
      <c r="B1414" s="19"/>
      <c r="C1414" s="19"/>
      <c r="D1414" s="55"/>
      <c r="E1414" s="56"/>
      <c r="F1414" s="19"/>
      <c r="G1414" s="4" t="str">
        <f t="shared" si="176"/>
        <v/>
      </c>
      <c r="H1414" s="11" t="str">
        <f t="shared" si="177"/>
        <v/>
      </c>
      <c r="I1414" s="55" t="str">
        <f t="shared" si="178"/>
        <v/>
      </c>
      <c r="J1414" s="55" t="str">
        <f t="shared" si="179"/>
        <v/>
      </c>
      <c r="K1414" s="4" t="str">
        <f t="shared" si="180"/>
        <v/>
      </c>
      <c r="L1414" s="19" t="str">
        <f t="shared" si="181"/>
        <v/>
      </c>
      <c r="M1414" s="12" t="str">
        <f>IF(A1414="","",IFERROR(INDEX(المدخلات!$M$4:$M$15,MATCH(A1414,المدخلات!$L$4:$L$15,0)),""))</f>
        <v/>
      </c>
      <c r="N1414" s="4" t="str">
        <f t="shared" si="182"/>
        <v/>
      </c>
      <c r="O1414" s="4" t="str">
        <f t="shared" si="183"/>
        <v/>
      </c>
    </row>
    <row r="1415" spans="1:15">
      <c r="A1415" s="11"/>
      <c r="B1415" s="19"/>
      <c r="C1415" s="19"/>
      <c r="D1415" s="55"/>
      <c r="E1415" s="56"/>
      <c r="F1415" s="19"/>
      <c r="G1415" s="4" t="str">
        <f t="shared" si="176"/>
        <v/>
      </c>
      <c r="H1415" s="11" t="str">
        <f t="shared" si="177"/>
        <v/>
      </c>
      <c r="I1415" s="55" t="str">
        <f t="shared" si="178"/>
        <v/>
      </c>
      <c r="J1415" s="55" t="str">
        <f t="shared" si="179"/>
        <v/>
      </c>
      <c r="K1415" s="4" t="str">
        <f t="shared" si="180"/>
        <v/>
      </c>
      <c r="L1415" s="19" t="str">
        <f t="shared" si="181"/>
        <v/>
      </c>
      <c r="M1415" s="12" t="str">
        <f>IF(A1415="","",IFERROR(INDEX(المدخلات!$M$4:$M$15,MATCH(A1415,المدخلات!$L$4:$L$15,0)),""))</f>
        <v/>
      </c>
      <c r="N1415" s="4" t="str">
        <f t="shared" si="182"/>
        <v/>
      </c>
      <c r="O1415" s="4" t="str">
        <f t="shared" si="183"/>
        <v/>
      </c>
    </row>
    <row r="1416" spans="1:15">
      <c r="A1416" s="11"/>
      <c r="B1416" s="19"/>
      <c r="C1416" s="19"/>
      <c r="D1416" s="55"/>
      <c r="E1416" s="56"/>
      <c r="F1416" s="19"/>
      <c r="G1416" s="4" t="str">
        <f t="shared" si="176"/>
        <v/>
      </c>
      <c r="H1416" s="11" t="str">
        <f t="shared" si="177"/>
        <v/>
      </c>
      <c r="I1416" s="55" t="str">
        <f t="shared" si="178"/>
        <v/>
      </c>
      <c r="J1416" s="55" t="str">
        <f t="shared" si="179"/>
        <v/>
      </c>
      <c r="K1416" s="4" t="str">
        <f t="shared" si="180"/>
        <v/>
      </c>
      <c r="L1416" s="19" t="str">
        <f t="shared" si="181"/>
        <v/>
      </c>
      <c r="M1416" s="12" t="str">
        <f>IF(A1416="","",IFERROR(INDEX(المدخلات!$M$4:$M$15,MATCH(A1416,المدخلات!$L$4:$L$15,0)),""))</f>
        <v/>
      </c>
      <c r="N1416" s="4" t="str">
        <f t="shared" si="182"/>
        <v/>
      </c>
      <c r="O1416" s="4" t="str">
        <f t="shared" si="183"/>
        <v/>
      </c>
    </row>
    <row r="1417" spans="1:15">
      <c r="A1417" s="11"/>
      <c r="B1417" s="19"/>
      <c r="C1417" s="19"/>
      <c r="D1417" s="55"/>
      <c r="E1417" s="56"/>
      <c r="F1417" s="19"/>
      <c r="G1417" s="4" t="str">
        <f t="shared" si="176"/>
        <v/>
      </c>
      <c r="H1417" s="11" t="str">
        <f t="shared" si="177"/>
        <v/>
      </c>
      <c r="I1417" s="55" t="str">
        <f t="shared" si="178"/>
        <v/>
      </c>
      <c r="J1417" s="55" t="str">
        <f t="shared" si="179"/>
        <v/>
      </c>
      <c r="K1417" s="4" t="str">
        <f t="shared" si="180"/>
        <v/>
      </c>
      <c r="L1417" s="19" t="str">
        <f t="shared" si="181"/>
        <v/>
      </c>
      <c r="M1417" s="12" t="str">
        <f>IF(A1417="","",IFERROR(INDEX(المدخلات!$M$4:$M$15,MATCH(A1417,المدخلات!$L$4:$L$15,0)),""))</f>
        <v/>
      </c>
      <c r="N1417" s="4" t="str">
        <f t="shared" si="182"/>
        <v/>
      </c>
      <c r="O1417" s="4" t="str">
        <f t="shared" si="183"/>
        <v/>
      </c>
    </row>
    <row r="1418" spans="1:15">
      <c r="A1418" s="11"/>
      <c r="B1418" s="19"/>
      <c r="C1418" s="19"/>
      <c r="D1418" s="55"/>
      <c r="E1418" s="56"/>
      <c r="F1418" s="19"/>
      <c r="G1418" s="4" t="str">
        <f t="shared" si="176"/>
        <v/>
      </c>
      <c r="H1418" s="11" t="str">
        <f t="shared" si="177"/>
        <v/>
      </c>
      <c r="I1418" s="55" t="str">
        <f t="shared" si="178"/>
        <v/>
      </c>
      <c r="J1418" s="55" t="str">
        <f t="shared" si="179"/>
        <v/>
      </c>
      <c r="K1418" s="4" t="str">
        <f t="shared" si="180"/>
        <v/>
      </c>
      <c r="L1418" s="19" t="str">
        <f t="shared" si="181"/>
        <v/>
      </c>
      <c r="M1418" s="12" t="str">
        <f>IF(A1418="","",IFERROR(INDEX(المدخلات!$M$4:$M$15,MATCH(A1418,المدخلات!$L$4:$L$15,0)),""))</f>
        <v/>
      </c>
      <c r="N1418" s="4" t="str">
        <f t="shared" si="182"/>
        <v/>
      </c>
      <c r="O1418" s="4" t="str">
        <f t="shared" si="183"/>
        <v/>
      </c>
    </row>
    <row r="1419" spans="1:15">
      <c r="A1419" s="11"/>
      <c r="B1419" s="19"/>
      <c r="C1419" s="19"/>
      <c r="D1419" s="55"/>
      <c r="E1419" s="56"/>
      <c r="F1419" s="19"/>
      <c r="G1419" s="4" t="str">
        <f t="shared" si="176"/>
        <v/>
      </c>
      <c r="H1419" s="11" t="str">
        <f t="shared" si="177"/>
        <v/>
      </c>
      <c r="I1419" s="55" t="str">
        <f t="shared" si="178"/>
        <v/>
      </c>
      <c r="J1419" s="55" t="str">
        <f t="shared" si="179"/>
        <v/>
      </c>
      <c r="K1419" s="4" t="str">
        <f t="shared" si="180"/>
        <v/>
      </c>
      <c r="L1419" s="19" t="str">
        <f t="shared" si="181"/>
        <v/>
      </c>
      <c r="M1419" s="12" t="str">
        <f>IF(A1419="","",IFERROR(INDEX(المدخلات!$M$4:$M$15,MATCH(A1419,المدخلات!$L$4:$L$15,0)),""))</f>
        <v/>
      </c>
      <c r="N1419" s="4" t="str">
        <f t="shared" si="182"/>
        <v/>
      </c>
      <c r="O1419" s="4" t="str">
        <f t="shared" si="183"/>
        <v/>
      </c>
    </row>
    <row r="1420" spans="1:15">
      <c r="A1420" s="11"/>
      <c r="B1420" s="19"/>
      <c r="C1420" s="19"/>
      <c r="D1420" s="55"/>
      <c r="E1420" s="56"/>
      <c r="F1420" s="19"/>
      <c r="G1420" s="4" t="str">
        <f t="shared" si="176"/>
        <v/>
      </c>
      <c r="H1420" s="11" t="str">
        <f t="shared" si="177"/>
        <v/>
      </c>
      <c r="I1420" s="55" t="str">
        <f t="shared" si="178"/>
        <v/>
      </c>
      <c r="J1420" s="55" t="str">
        <f t="shared" si="179"/>
        <v/>
      </c>
      <c r="K1420" s="4" t="str">
        <f t="shared" si="180"/>
        <v/>
      </c>
      <c r="L1420" s="19" t="str">
        <f t="shared" si="181"/>
        <v/>
      </c>
      <c r="M1420" s="12" t="str">
        <f>IF(A1420="","",IFERROR(INDEX(المدخلات!$M$4:$M$15,MATCH(A1420,المدخلات!$L$4:$L$15,0)),""))</f>
        <v/>
      </c>
      <c r="N1420" s="4" t="str">
        <f t="shared" si="182"/>
        <v/>
      </c>
      <c r="O1420" s="4" t="str">
        <f t="shared" si="183"/>
        <v/>
      </c>
    </row>
    <row r="1421" spans="1:15">
      <c r="A1421" s="11"/>
      <c r="B1421" s="19"/>
      <c r="C1421" s="19"/>
      <c r="D1421" s="55"/>
      <c r="E1421" s="56"/>
      <c r="F1421" s="19"/>
      <c r="G1421" s="4" t="str">
        <f t="shared" si="176"/>
        <v/>
      </c>
      <c r="H1421" s="11" t="str">
        <f t="shared" si="177"/>
        <v/>
      </c>
      <c r="I1421" s="55" t="str">
        <f t="shared" si="178"/>
        <v/>
      </c>
      <c r="J1421" s="55" t="str">
        <f t="shared" si="179"/>
        <v/>
      </c>
      <c r="K1421" s="4" t="str">
        <f t="shared" si="180"/>
        <v/>
      </c>
      <c r="L1421" s="19" t="str">
        <f t="shared" si="181"/>
        <v/>
      </c>
      <c r="M1421" s="12" t="str">
        <f>IF(A1421="","",IFERROR(INDEX(المدخلات!$M$4:$M$15,MATCH(A1421,المدخلات!$L$4:$L$15,0)),""))</f>
        <v/>
      </c>
      <c r="N1421" s="4" t="str">
        <f t="shared" si="182"/>
        <v/>
      </c>
      <c r="O1421" s="4" t="str">
        <f t="shared" si="183"/>
        <v/>
      </c>
    </row>
    <row r="1422" spans="1:15">
      <c r="A1422" s="11"/>
      <c r="B1422" s="19"/>
      <c r="C1422" s="19"/>
      <c r="D1422" s="55"/>
      <c r="E1422" s="56"/>
      <c r="F1422" s="19"/>
      <c r="G1422" s="4" t="str">
        <f t="shared" si="176"/>
        <v/>
      </c>
      <c r="H1422" s="11" t="str">
        <f t="shared" si="177"/>
        <v/>
      </c>
      <c r="I1422" s="55" t="str">
        <f t="shared" si="178"/>
        <v/>
      </c>
      <c r="J1422" s="55" t="str">
        <f t="shared" si="179"/>
        <v/>
      </c>
      <c r="K1422" s="4" t="str">
        <f t="shared" si="180"/>
        <v/>
      </c>
      <c r="L1422" s="19" t="str">
        <f t="shared" si="181"/>
        <v/>
      </c>
      <c r="M1422" s="12" t="str">
        <f>IF(A1422="","",IFERROR(INDEX(المدخلات!$M$4:$M$15,MATCH(A1422,المدخلات!$L$4:$L$15,0)),""))</f>
        <v/>
      </c>
      <c r="N1422" s="4" t="str">
        <f t="shared" si="182"/>
        <v/>
      </c>
      <c r="O1422" s="4" t="str">
        <f t="shared" si="183"/>
        <v/>
      </c>
    </row>
    <row r="1423" spans="1:15">
      <c r="A1423" s="11"/>
      <c r="B1423" s="19"/>
      <c r="C1423" s="19"/>
      <c r="D1423" s="55"/>
      <c r="E1423" s="56"/>
      <c r="F1423" s="19"/>
      <c r="G1423" s="4" t="str">
        <f t="shared" si="176"/>
        <v/>
      </c>
      <c r="H1423" s="11" t="str">
        <f t="shared" si="177"/>
        <v/>
      </c>
      <c r="I1423" s="55" t="str">
        <f t="shared" si="178"/>
        <v/>
      </c>
      <c r="J1423" s="55" t="str">
        <f t="shared" si="179"/>
        <v/>
      </c>
      <c r="K1423" s="4" t="str">
        <f t="shared" si="180"/>
        <v/>
      </c>
      <c r="L1423" s="19" t="str">
        <f t="shared" si="181"/>
        <v/>
      </c>
      <c r="M1423" s="12" t="str">
        <f>IF(A1423="","",IFERROR(INDEX(المدخلات!$M$4:$M$15,MATCH(A1423,المدخلات!$L$4:$L$15,0)),""))</f>
        <v/>
      </c>
      <c r="N1423" s="4" t="str">
        <f t="shared" si="182"/>
        <v/>
      </c>
      <c r="O1423" s="4" t="str">
        <f t="shared" si="183"/>
        <v/>
      </c>
    </row>
    <row r="1424" spans="1:15">
      <c r="A1424" s="11"/>
      <c r="B1424" s="19"/>
      <c r="C1424" s="19"/>
      <c r="D1424" s="55"/>
      <c r="E1424" s="56"/>
      <c r="F1424" s="19"/>
      <c r="G1424" s="4" t="str">
        <f t="shared" si="176"/>
        <v/>
      </c>
      <c r="H1424" s="11" t="str">
        <f t="shared" si="177"/>
        <v/>
      </c>
      <c r="I1424" s="55" t="str">
        <f t="shared" si="178"/>
        <v/>
      </c>
      <c r="J1424" s="55" t="str">
        <f t="shared" si="179"/>
        <v/>
      </c>
      <c r="K1424" s="4" t="str">
        <f t="shared" si="180"/>
        <v/>
      </c>
      <c r="L1424" s="19" t="str">
        <f t="shared" si="181"/>
        <v/>
      </c>
      <c r="M1424" s="12" t="str">
        <f>IF(A1424="","",IFERROR(INDEX(المدخلات!$M$4:$M$15,MATCH(A1424,المدخلات!$L$4:$L$15,0)),""))</f>
        <v/>
      </c>
      <c r="N1424" s="4" t="str">
        <f t="shared" si="182"/>
        <v/>
      </c>
      <c r="O1424" s="4" t="str">
        <f t="shared" si="183"/>
        <v/>
      </c>
    </row>
    <row r="1425" spans="1:15">
      <c r="A1425" s="11"/>
      <c r="B1425" s="19"/>
      <c r="C1425" s="19"/>
      <c r="D1425" s="55"/>
      <c r="E1425" s="56"/>
      <c r="F1425" s="19"/>
      <c r="G1425" s="4" t="str">
        <f t="shared" si="176"/>
        <v/>
      </c>
      <c r="H1425" s="11" t="str">
        <f t="shared" si="177"/>
        <v/>
      </c>
      <c r="I1425" s="55" t="str">
        <f t="shared" si="178"/>
        <v/>
      </c>
      <c r="J1425" s="55" t="str">
        <f t="shared" si="179"/>
        <v/>
      </c>
      <c r="K1425" s="4" t="str">
        <f t="shared" si="180"/>
        <v/>
      </c>
      <c r="L1425" s="19" t="str">
        <f t="shared" si="181"/>
        <v/>
      </c>
      <c r="M1425" s="12" t="str">
        <f>IF(A1425="","",IFERROR(INDEX(المدخلات!$M$4:$M$15,MATCH(A1425,المدخلات!$L$4:$L$15,0)),""))</f>
        <v/>
      </c>
      <c r="N1425" s="4" t="str">
        <f t="shared" si="182"/>
        <v/>
      </c>
      <c r="O1425" s="4" t="str">
        <f t="shared" si="183"/>
        <v/>
      </c>
    </row>
    <row r="1426" spans="1:15">
      <c r="A1426" s="11"/>
      <c r="B1426" s="19"/>
      <c r="C1426" s="19"/>
      <c r="D1426" s="55"/>
      <c r="E1426" s="56"/>
      <c r="F1426" s="19"/>
      <c r="G1426" s="4" t="str">
        <f t="shared" si="176"/>
        <v/>
      </c>
      <c r="H1426" s="11" t="str">
        <f t="shared" si="177"/>
        <v/>
      </c>
      <c r="I1426" s="55" t="str">
        <f t="shared" si="178"/>
        <v/>
      </c>
      <c r="J1426" s="55" t="str">
        <f t="shared" si="179"/>
        <v/>
      </c>
      <c r="K1426" s="4" t="str">
        <f t="shared" si="180"/>
        <v/>
      </c>
      <c r="L1426" s="19" t="str">
        <f t="shared" si="181"/>
        <v/>
      </c>
      <c r="M1426" s="12" t="str">
        <f>IF(A1426="","",IFERROR(INDEX(المدخلات!$M$4:$M$15,MATCH(A1426,المدخلات!$L$4:$L$15,0)),""))</f>
        <v/>
      </c>
      <c r="N1426" s="4" t="str">
        <f t="shared" si="182"/>
        <v/>
      </c>
      <c r="O1426" s="4" t="str">
        <f t="shared" si="183"/>
        <v/>
      </c>
    </row>
    <row r="1427" spans="1:15">
      <c r="A1427" s="11"/>
      <c r="B1427" s="19"/>
      <c r="C1427" s="19"/>
      <c r="D1427" s="55"/>
      <c r="E1427" s="56"/>
      <c r="F1427" s="19"/>
      <c r="G1427" s="4" t="str">
        <f t="shared" si="176"/>
        <v/>
      </c>
      <c r="H1427" s="11" t="str">
        <f t="shared" si="177"/>
        <v/>
      </c>
      <c r="I1427" s="55" t="str">
        <f t="shared" si="178"/>
        <v/>
      </c>
      <c r="J1427" s="55" t="str">
        <f t="shared" si="179"/>
        <v/>
      </c>
      <c r="K1427" s="4" t="str">
        <f t="shared" si="180"/>
        <v/>
      </c>
      <c r="L1427" s="19" t="str">
        <f t="shared" si="181"/>
        <v/>
      </c>
      <c r="M1427" s="12" t="str">
        <f>IF(A1427="","",IFERROR(INDEX(المدخلات!$M$4:$M$15,MATCH(A1427,المدخلات!$L$4:$L$15,0)),""))</f>
        <v/>
      </c>
      <c r="N1427" s="4" t="str">
        <f t="shared" si="182"/>
        <v/>
      </c>
      <c r="O1427" s="4" t="str">
        <f t="shared" si="183"/>
        <v/>
      </c>
    </row>
    <row r="1428" spans="1:15">
      <c r="A1428" s="11"/>
      <c r="B1428" s="19"/>
      <c r="C1428" s="19"/>
      <c r="D1428" s="55"/>
      <c r="E1428" s="56"/>
      <c r="F1428" s="19"/>
      <c r="G1428" s="4" t="str">
        <f t="shared" si="176"/>
        <v/>
      </c>
      <c r="H1428" s="11" t="str">
        <f t="shared" si="177"/>
        <v/>
      </c>
      <c r="I1428" s="55" t="str">
        <f t="shared" si="178"/>
        <v/>
      </c>
      <c r="J1428" s="55" t="str">
        <f t="shared" si="179"/>
        <v/>
      </c>
      <c r="K1428" s="4" t="str">
        <f t="shared" si="180"/>
        <v/>
      </c>
      <c r="L1428" s="19" t="str">
        <f t="shared" si="181"/>
        <v/>
      </c>
      <c r="M1428" s="12" t="str">
        <f>IF(A1428="","",IFERROR(INDEX(المدخلات!$M$4:$M$15,MATCH(A1428,المدخلات!$L$4:$L$15,0)),""))</f>
        <v/>
      </c>
      <c r="N1428" s="4" t="str">
        <f t="shared" si="182"/>
        <v/>
      </c>
      <c r="O1428" s="4" t="str">
        <f t="shared" si="183"/>
        <v/>
      </c>
    </row>
    <row r="1429" spans="1:15">
      <c r="A1429" s="11"/>
      <c r="B1429" s="19"/>
      <c r="C1429" s="19"/>
      <c r="D1429" s="55"/>
      <c r="E1429" s="56"/>
      <c r="F1429" s="19"/>
      <c r="G1429" s="4" t="str">
        <f t="shared" si="176"/>
        <v/>
      </c>
      <c r="H1429" s="11" t="str">
        <f t="shared" si="177"/>
        <v/>
      </c>
      <c r="I1429" s="55" t="str">
        <f t="shared" si="178"/>
        <v/>
      </c>
      <c r="J1429" s="55" t="str">
        <f t="shared" si="179"/>
        <v/>
      </c>
      <c r="K1429" s="4" t="str">
        <f t="shared" si="180"/>
        <v/>
      </c>
      <c r="L1429" s="19" t="str">
        <f t="shared" si="181"/>
        <v/>
      </c>
      <c r="M1429" s="12" t="str">
        <f>IF(A1429="","",IFERROR(INDEX(المدخلات!$M$4:$M$15,MATCH(A1429,المدخلات!$L$4:$L$15,0)),""))</f>
        <v/>
      </c>
      <c r="N1429" s="4" t="str">
        <f t="shared" si="182"/>
        <v/>
      </c>
      <c r="O1429" s="4" t="str">
        <f t="shared" si="183"/>
        <v/>
      </c>
    </row>
    <row r="1430" spans="1:15">
      <c r="A1430" s="11"/>
      <c r="B1430" s="19"/>
      <c r="C1430" s="19"/>
      <c r="D1430" s="55"/>
      <c r="E1430" s="56"/>
      <c r="F1430" s="19"/>
      <c r="G1430" s="4" t="str">
        <f t="shared" si="176"/>
        <v/>
      </c>
      <c r="H1430" s="11" t="str">
        <f t="shared" si="177"/>
        <v/>
      </c>
      <c r="I1430" s="55" t="str">
        <f t="shared" si="178"/>
        <v/>
      </c>
      <c r="J1430" s="55" t="str">
        <f t="shared" si="179"/>
        <v/>
      </c>
      <c r="K1430" s="4" t="str">
        <f t="shared" si="180"/>
        <v/>
      </c>
      <c r="L1430" s="19" t="str">
        <f t="shared" si="181"/>
        <v/>
      </c>
      <c r="M1430" s="12" t="str">
        <f>IF(A1430="","",IFERROR(INDEX(المدخلات!$M$4:$M$15,MATCH(A1430,المدخلات!$L$4:$L$15,0)),""))</f>
        <v/>
      </c>
      <c r="N1430" s="4" t="str">
        <f t="shared" si="182"/>
        <v/>
      </c>
      <c r="O1430" s="4" t="str">
        <f t="shared" si="183"/>
        <v/>
      </c>
    </row>
    <row r="1431" spans="1:15">
      <c r="A1431" s="11"/>
      <c r="B1431" s="19"/>
      <c r="C1431" s="19"/>
      <c r="D1431" s="55"/>
      <c r="E1431" s="56"/>
      <c r="F1431" s="19"/>
      <c r="G1431" s="4" t="str">
        <f t="shared" si="176"/>
        <v/>
      </c>
      <c r="H1431" s="11" t="str">
        <f t="shared" si="177"/>
        <v/>
      </c>
      <c r="I1431" s="55" t="str">
        <f t="shared" si="178"/>
        <v/>
      </c>
      <c r="J1431" s="55" t="str">
        <f t="shared" si="179"/>
        <v/>
      </c>
      <c r="K1431" s="4" t="str">
        <f t="shared" si="180"/>
        <v/>
      </c>
      <c r="L1431" s="19" t="str">
        <f t="shared" si="181"/>
        <v/>
      </c>
      <c r="M1431" s="12" t="str">
        <f>IF(A1431="","",IFERROR(INDEX(المدخلات!$M$4:$M$15,MATCH(A1431,المدخلات!$L$4:$L$15,0)),""))</f>
        <v/>
      </c>
      <c r="N1431" s="4" t="str">
        <f t="shared" si="182"/>
        <v/>
      </c>
      <c r="O1431" s="4" t="str">
        <f t="shared" si="183"/>
        <v/>
      </c>
    </row>
    <row r="1432" spans="1:15">
      <c r="A1432" s="11"/>
      <c r="B1432" s="19"/>
      <c r="C1432" s="19"/>
      <c r="D1432" s="55"/>
      <c r="E1432" s="56"/>
      <c r="F1432" s="19"/>
      <c r="G1432" s="4" t="str">
        <f t="shared" si="176"/>
        <v/>
      </c>
      <c r="H1432" s="11" t="str">
        <f t="shared" si="177"/>
        <v/>
      </c>
      <c r="I1432" s="55" t="str">
        <f t="shared" si="178"/>
        <v/>
      </c>
      <c r="J1432" s="55" t="str">
        <f t="shared" si="179"/>
        <v/>
      </c>
      <c r="K1432" s="4" t="str">
        <f t="shared" si="180"/>
        <v/>
      </c>
      <c r="L1432" s="19" t="str">
        <f t="shared" si="181"/>
        <v/>
      </c>
      <c r="M1432" s="12" t="str">
        <f>IF(A1432="","",IFERROR(INDEX(المدخلات!$M$4:$M$15,MATCH(A1432,المدخلات!$L$4:$L$15,0)),""))</f>
        <v/>
      </c>
      <c r="N1432" s="4" t="str">
        <f t="shared" si="182"/>
        <v/>
      </c>
      <c r="O1432" s="4" t="str">
        <f t="shared" si="183"/>
        <v/>
      </c>
    </row>
    <row r="1433" spans="1:15">
      <c r="A1433" s="11"/>
      <c r="B1433" s="19"/>
      <c r="C1433" s="19"/>
      <c r="D1433" s="55"/>
      <c r="E1433" s="56"/>
      <c r="F1433" s="19"/>
      <c r="G1433" s="4" t="str">
        <f t="shared" si="176"/>
        <v/>
      </c>
      <c r="H1433" s="11" t="str">
        <f t="shared" si="177"/>
        <v/>
      </c>
      <c r="I1433" s="55" t="str">
        <f t="shared" si="178"/>
        <v/>
      </c>
      <c r="J1433" s="55" t="str">
        <f t="shared" si="179"/>
        <v/>
      </c>
      <c r="K1433" s="4" t="str">
        <f t="shared" si="180"/>
        <v/>
      </c>
      <c r="L1433" s="19" t="str">
        <f t="shared" si="181"/>
        <v/>
      </c>
      <c r="M1433" s="12" t="str">
        <f>IF(A1433="","",IFERROR(INDEX(المدخلات!$M$4:$M$15,MATCH(A1433,المدخلات!$L$4:$L$15,0)),""))</f>
        <v/>
      </c>
      <c r="N1433" s="4" t="str">
        <f t="shared" si="182"/>
        <v/>
      </c>
      <c r="O1433" s="4" t="str">
        <f t="shared" si="183"/>
        <v/>
      </c>
    </row>
    <row r="1434" spans="1:15">
      <c r="A1434" s="11"/>
      <c r="B1434" s="19"/>
      <c r="C1434" s="19"/>
      <c r="D1434" s="55"/>
      <c r="E1434" s="56"/>
      <c r="F1434" s="19"/>
      <c r="G1434" s="4" t="str">
        <f t="shared" si="176"/>
        <v/>
      </c>
      <c r="H1434" s="11" t="str">
        <f t="shared" si="177"/>
        <v/>
      </c>
      <c r="I1434" s="55" t="str">
        <f t="shared" si="178"/>
        <v/>
      </c>
      <c r="J1434" s="55" t="str">
        <f t="shared" si="179"/>
        <v/>
      </c>
      <c r="K1434" s="4" t="str">
        <f t="shared" si="180"/>
        <v/>
      </c>
      <c r="L1434" s="19" t="str">
        <f t="shared" si="181"/>
        <v/>
      </c>
      <c r="M1434" s="12" t="str">
        <f>IF(A1434="","",IFERROR(INDEX(المدخلات!$M$4:$M$15,MATCH(A1434,المدخلات!$L$4:$L$15,0)),""))</f>
        <v/>
      </c>
      <c r="N1434" s="4" t="str">
        <f t="shared" si="182"/>
        <v/>
      </c>
      <c r="O1434" s="4" t="str">
        <f t="shared" si="183"/>
        <v/>
      </c>
    </row>
    <row r="1435" spans="1:15">
      <c r="A1435" s="11"/>
      <c r="B1435" s="19"/>
      <c r="C1435" s="19"/>
      <c r="D1435" s="55"/>
      <c r="E1435" s="56"/>
      <c r="F1435" s="19"/>
      <c r="G1435" s="4" t="str">
        <f t="shared" si="176"/>
        <v/>
      </c>
      <c r="H1435" s="11" t="str">
        <f t="shared" si="177"/>
        <v/>
      </c>
      <c r="I1435" s="55" t="str">
        <f t="shared" si="178"/>
        <v/>
      </c>
      <c r="J1435" s="55" t="str">
        <f t="shared" si="179"/>
        <v/>
      </c>
      <c r="K1435" s="4" t="str">
        <f t="shared" si="180"/>
        <v/>
      </c>
      <c r="L1435" s="19" t="str">
        <f t="shared" si="181"/>
        <v/>
      </c>
      <c r="M1435" s="12" t="str">
        <f>IF(A1435="","",IFERROR(INDEX(المدخلات!$M$4:$M$15,MATCH(A1435,المدخلات!$L$4:$L$15,0)),""))</f>
        <v/>
      </c>
      <c r="N1435" s="4" t="str">
        <f t="shared" si="182"/>
        <v/>
      </c>
      <c r="O1435" s="4" t="str">
        <f t="shared" si="183"/>
        <v/>
      </c>
    </row>
    <row r="1436" spans="1:15">
      <c r="A1436" s="11"/>
      <c r="B1436" s="19"/>
      <c r="C1436" s="19"/>
      <c r="D1436" s="55"/>
      <c r="E1436" s="56"/>
      <c r="F1436" s="19"/>
      <c r="G1436" s="4" t="str">
        <f t="shared" si="176"/>
        <v/>
      </c>
      <c r="H1436" s="11" t="str">
        <f t="shared" si="177"/>
        <v/>
      </c>
      <c r="I1436" s="55" t="str">
        <f t="shared" si="178"/>
        <v/>
      </c>
      <c r="J1436" s="55" t="str">
        <f t="shared" si="179"/>
        <v/>
      </c>
      <c r="K1436" s="4" t="str">
        <f t="shared" si="180"/>
        <v/>
      </c>
      <c r="L1436" s="19" t="str">
        <f t="shared" si="181"/>
        <v/>
      </c>
      <c r="M1436" s="12" t="str">
        <f>IF(A1436="","",IFERROR(INDEX(المدخلات!$M$4:$M$15,MATCH(A1436,المدخلات!$L$4:$L$15,0)),""))</f>
        <v/>
      </c>
      <c r="N1436" s="4" t="str">
        <f t="shared" si="182"/>
        <v/>
      </c>
      <c r="O1436" s="4" t="str">
        <f t="shared" si="183"/>
        <v/>
      </c>
    </row>
    <row r="1437" spans="1:15">
      <c r="A1437" s="11"/>
      <c r="B1437" s="19"/>
      <c r="C1437" s="19"/>
      <c r="D1437" s="55"/>
      <c r="E1437" s="56"/>
      <c r="F1437" s="19"/>
      <c r="G1437" s="4" t="str">
        <f t="shared" si="176"/>
        <v/>
      </c>
      <c r="H1437" s="11" t="str">
        <f t="shared" si="177"/>
        <v/>
      </c>
      <c r="I1437" s="55" t="str">
        <f t="shared" si="178"/>
        <v/>
      </c>
      <c r="J1437" s="55" t="str">
        <f t="shared" si="179"/>
        <v/>
      </c>
      <c r="K1437" s="4" t="str">
        <f t="shared" si="180"/>
        <v/>
      </c>
      <c r="L1437" s="19" t="str">
        <f t="shared" si="181"/>
        <v/>
      </c>
      <c r="M1437" s="12" t="str">
        <f>IF(A1437="","",IFERROR(INDEX(المدخلات!$M$4:$M$15,MATCH(A1437,المدخلات!$L$4:$L$15,0)),""))</f>
        <v/>
      </c>
      <c r="N1437" s="4" t="str">
        <f t="shared" si="182"/>
        <v/>
      </c>
      <c r="O1437" s="4" t="str">
        <f t="shared" si="183"/>
        <v/>
      </c>
    </row>
    <row r="1438" spans="1:15">
      <c r="A1438" s="11"/>
      <c r="B1438" s="19"/>
      <c r="C1438" s="19"/>
      <c r="D1438" s="55"/>
      <c r="E1438" s="56"/>
      <c r="F1438" s="19"/>
      <c r="G1438" s="4" t="str">
        <f t="shared" si="176"/>
        <v/>
      </c>
      <c r="H1438" s="11" t="str">
        <f t="shared" si="177"/>
        <v/>
      </c>
      <c r="I1438" s="55" t="str">
        <f t="shared" si="178"/>
        <v/>
      </c>
      <c r="J1438" s="55" t="str">
        <f t="shared" si="179"/>
        <v/>
      </c>
      <c r="K1438" s="4" t="str">
        <f t="shared" si="180"/>
        <v/>
      </c>
      <c r="L1438" s="19" t="str">
        <f t="shared" si="181"/>
        <v/>
      </c>
      <c r="M1438" s="12" t="str">
        <f>IF(A1438="","",IFERROR(INDEX(المدخلات!$M$4:$M$15,MATCH(A1438,المدخلات!$L$4:$L$15,0)),""))</f>
        <v/>
      </c>
      <c r="N1438" s="4" t="str">
        <f t="shared" si="182"/>
        <v/>
      </c>
      <c r="O1438" s="4" t="str">
        <f t="shared" si="183"/>
        <v/>
      </c>
    </row>
    <row r="1439" spans="1:15">
      <c r="A1439" s="11"/>
      <c r="B1439" s="19"/>
      <c r="C1439" s="19"/>
      <c r="D1439" s="55"/>
      <c r="E1439" s="56"/>
      <c r="F1439" s="19"/>
      <c r="G1439" s="4" t="str">
        <f t="shared" si="176"/>
        <v/>
      </c>
      <c r="H1439" s="11" t="str">
        <f t="shared" si="177"/>
        <v/>
      </c>
      <c r="I1439" s="55" t="str">
        <f t="shared" si="178"/>
        <v/>
      </c>
      <c r="J1439" s="55" t="str">
        <f t="shared" si="179"/>
        <v/>
      </c>
      <c r="K1439" s="4" t="str">
        <f t="shared" si="180"/>
        <v/>
      </c>
      <c r="L1439" s="19" t="str">
        <f t="shared" si="181"/>
        <v/>
      </c>
      <c r="M1439" s="12" t="str">
        <f>IF(A1439="","",IFERROR(INDEX(المدخلات!$M$4:$M$15,MATCH(A1439,المدخلات!$L$4:$L$15,0)),""))</f>
        <v/>
      </c>
      <c r="N1439" s="4" t="str">
        <f t="shared" si="182"/>
        <v/>
      </c>
      <c r="O1439" s="4" t="str">
        <f t="shared" si="183"/>
        <v/>
      </c>
    </row>
    <row r="1440" spans="1:15">
      <c r="A1440" s="11"/>
      <c r="B1440" s="19"/>
      <c r="C1440" s="19"/>
      <c r="D1440" s="55"/>
      <c r="E1440" s="56"/>
      <c r="F1440" s="19"/>
      <c r="G1440" s="4" t="str">
        <f t="shared" si="176"/>
        <v/>
      </c>
      <c r="H1440" s="11" t="str">
        <f t="shared" si="177"/>
        <v/>
      </c>
      <c r="I1440" s="55" t="str">
        <f t="shared" si="178"/>
        <v/>
      </c>
      <c r="J1440" s="55" t="str">
        <f t="shared" si="179"/>
        <v/>
      </c>
      <c r="K1440" s="4" t="str">
        <f t="shared" si="180"/>
        <v/>
      </c>
      <c r="L1440" s="19" t="str">
        <f t="shared" si="181"/>
        <v/>
      </c>
      <c r="M1440" s="12" t="str">
        <f>IF(A1440="","",IFERROR(INDEX(المدخلات!$M$4:$M$15,MATCH(A1440,المدخلات!$L$4:$L$15,0)),""))</f>
        <v/>
      </c>
      <c r="N1440" s="4" t="str">
        <f t="shared" si="182"/>
        <v/>
      </c>
      <c r="O1440" s="4" t="str">
        <f t="shared" si="183"/>
        <v/>
      </c>
    </row>
    <row r="1441" spans="1:15">
      <c r="A1441" s="11"/>
      <c r="B1441" s="19"/>
      <c r="C1441" s="19"/>
      <c r="D1441" s="55"/>
      <c r="E1441" s="56"/>
      <c r="F1441" s="19"/>
      <c r="G1441" s="4" t="str">
        <f t="shared" si="176"/>
        <v/>
      </c>
      <c r="H1441" s="11" t="str">
        <f t="shared" si="177"/>
        <v/>
      </c>
      <c r="I1441" s="55" t="str">
        <f t="shared" si="178"/>
        <v/>
      </c>
      <c r="J1441" s="55" t="str">
        <f t="shared" si="179"/>
        <v/>
      </c>
      <c r="K1441" s="4" t="str">
        <f t="shared" si="180"/>
        <v/>
      </c>
      <c r="L1441" s="19" t="str">
        <f t="shared" si="181"/>
        <v/>
      </c>
      <c r="M1441" s="12" t="str">
        <f>IF(A1441="","",IFERROR(INDEX(المدخلات!$M$4:$M$15,MATCH(A1441,المدخلات!$L$4:$L$15,0)),""))</f>
        <v/>
      </c>
      <c r="N1441" s="4" t="str">
        <f t="shared" si="182"/>
        <v/>
      </c>
      <c r="O1441" s="4" t="str">
        <f t="shared" si="183"/>
        <v/>
      </c>
    </row>
    <row r="1442" spans="1:15">
      <c r="A1442" s="11"/>
      <c r="B1442" s="19"/>
      <c r="C1442" s="19"/>
      <c r="D1442" s="55"/>
      <c r="E1442" s="56"/>
      <c r="F1442" s="19"/>
      <c r="G1442" s="4" t="str">
        <f t="shared" si="176"/>
        <v/>
      </c>
      <c r="H1442" s="11" t="str">
        <f t="shared" si="177"/>
        <v/>
      </c>
      <c r="I1442" s="55" t="str">
        <f t="shared" si="178"/>
        <v/>
      </c>
      <c r="J1442" s="55" t="str">
        <f t="shared" si="179"/>
        <v/>
      </c>
      <c r="K1442" s="4" t="str">
        <f t="shared" si="180"/>
        <v/>
      </c>
      <c r="L1442" s="19" t="str">
        <f t="shared" si="181"/>
        <v/>
      </c>
      <c r="M1442" s="12" t="str">
        <f>IF(A1442="","",IFERROR(INDEX(المدخلات!$M$4:$M$15,MATCH(A1442,المدخلات!$L$4:$L$15,0)),""))</f>
        <v/>
      </c>
      <c r="N1442" s="4" t="str">
        <f t="shared" si="182"/>
        <v/>
      </c>
      <c r="O1442" s="4" t="str">
        <f t="shared" si="183"/>
        <v/>
      </c>
    </row>
    <row r="1443" spans="1:15">
      <c r="A1443" s="11"/>
      <c r="B1443" s="19"/>
      <c r="C1443" s="19"/>
      <c r="D1443" s="55"/>
      <c r="E1443" s="56"/>
      <c r="F1443" s="19"/>
      <c r="G1443" s="4" t="str">
        <f t="shared" si="176"/>
        <v/>
      </c>
      <c r="H1443" s="11" t="str">
        <f t="shared" si="177"/>
        <v/>
      </c>
      <c r="I1443" s="55" t="str">
        <f t="shared" si="178"/>
        <v/>
      </c>
      <c r="J1443" s="55" t="str">
        <f t="shared" si="179"/>
        <v/>
      </c>
      <c r="K1443" s="4" t="str">
        <f t="shared" si="180"/>
        <v/>
      </c>
      <c r="L1443" s="19" t="str">
        <f t="shared" si="181"/>
        <v/>
      </c>
      <c r="M1443" s="12" t="str">
        <f>IF(A1443="","",IFERROR(INDEX(المدخلات!$M$4:$M$15,MATCH(A1443,المدخلات!$L$4:$L$15,0)),""))</f>
        <v/>
      </c>
      <c r="N1443" s="4" t="str">
        <f t="shared" si="182"/>
        <v/>
      </c>
      <c r="O1443" s="4" t="str">
        <f t="shared" si="183"/>
        <v/>
      </c>
    </row>
    <row r="1444" spans="1:15">
      <c r="A1444" s="11"/>
      <c r="B1444" s="19"/>
      <c r="C1444" s="19"/>
      <c r="D1444" s="55"/>
      <c r="E1444" s="56"/>
      <c r="F1444" s="19"/>
      <c r="G1444" s="4" t="str">
        <f t="shared" si="176"/>
        <v/>
      </c>
      <c r="H1444" s="11" t="str">
        <f t="shared" si="177"/>
        <v/>
      </c>
      <c r="I1444" s="55" t="str">
        <f t="shared" si="178"/>
        <v/>
      </c>
      <c r="J1444" s="55" t="str">
        <f t="shared" si="179"/>
        <v/>
      </c>
      <c r="K1444" s="4" t="str">
        <f t="shared" si="180"/>
        <v/>
      </c>
      <c r="L1444" s="19" t="str">
        <f t="shared" si="181"/>
        <v/>
      </c>
      <c r="M1444" s="12" t="str">
        <f>IF(A1444="","",IFERROR(INDEX(المدخلات!$M$4:$M$15,MATCH(A1444,المدخلات!$L$4:$L$15,0)),""))</f>
        <v/>
      </c>
      <c r="N1444" s="4" t="str">
        <f t="shared" si="182"/>
        <v/>
      </c>
      <c r="O1444" s="4" t="str">
        <f t="shared" si="183"/>
        <v/>
      </c>
    </row>
    <row r="1445" spans="1:15">
      <c r="A1445" s="11"/>
      <c r="B1445" s="19"/>
      <c r="C1445" s="19"/>
      <c r="D1445" s="55"/>
      <c r="E1445" s="56"/>
      <c r="F1445" s="19"/>
      <c r="G1445" s="4" t="str">
        <f t="shared" si="176"/>
        <v/>
      </c>
      <c r="H1445" s="11" t="str">
        <f t="shared" si="177"/>
        <v/>
      </c>
      <c r="I1445" s="55" t="str">
        <f t="shared" si="178"/>
        <v/>
      </c>
      <c r="J1445" s="55" t="str">
        <f t="shared" si="179"/>
        <v/>
      </c>
      <c r="K1445" s="4" t="str">
        <f t="shared" si="180"/>
        <v/>
      </c>
      <c r="L1445" s="19" t="str">
        <f t="shared" si="181"/>
        <v/>
      </c>
      <c r="M1445" s="12" t="str">
        <f>IF(A1445="","",IFERROR(INDEX(المدخلات!$M$4:$M$15,MATCH(A1445,المدخلات!$L$4:$L$15,0)),""))</f>
        <v/>
      </c>
      <c r="N1445" s="4" t="str">
        <f t="shared" si="182"/>
        <v/>
      </c>
      <c r="O1445" s="4" t="str">
        <f t="shared" si="183"/>
        <v/>
      </c>
    </row>
    <row r="1446" spans="1:15">
      <c r="A1446" s="11"/>
      <c r="B1446" s="19"/>
      <c r="C1446" s="19"/>
      <c r="D1446" s="55"/>
      <c r="E1446" s="56"/>
      <c r="F1446" s="19"/>
      <c r="G1446" s="4" t="str">
        <f t="shared" si="176"/>
        <v/>
      </c>
      <c r="H1446" s="11" t="str">
        <f t="shared" si="177"/>
        <v/>
      </c>
      <c r="I1446" s="55" t="str">
        <f t="shared" si="178"/>
        <v/>
      </c>
      <c r="J1446" s="55" t="str">
        <f t="shared" si="179"/>
        <v/>
      </c>
      <c r="K1446" s="4" t="str">
        <f t="shared" si="180"/>
        <v/>
      </c>
      <c r="L1446" s="19" t="str">
        <f t="shared" si="181"/>
        <v/>
      </c>
      <c r="M1446" s="12" t="str">
        <f>IF(A1446="","",IFERROR(INDEX(المدخلات!$M$4:$M$15,MATCH(A1446,المدخلات!$L$4:$L$15,0)),""))</f>
        <v/>
      </c>
      <c r="N1446" s="4" t="str">
        <f t="shared" si="182"/>
        <v/>
      </c>
      <c r="O1446" s="4" t="str">
        <f t="shared" si="183"/>
        <v/>
      </c>
    </row>
    <row r="1447" spans="1:15">
      <c r="A1447" s="11"/>
      <c r="B1447" s="19"/>
      <c r="C1447" s="19"/>
      <c r="D1447" s="55"/>
      <c r="E1447" s="56"/>
      <c r="F1447" s="19"/>
      <c r="G1447" s="4" t="str">
        <f t="shared" si="176"/>
        <v/>
      </c>
      <c r="H1447" s="11" t="str">
        <f t="shared" si="177"/>
        <v/>
      </c>
      <c r="I1447" s="55" t="str">
        <f t="shared" si="178"/>
        <v/>
      </c>
      <c r="J1447" s="55" t="str">
        <f t="shared" si="179"/>
        <v/>
      </c>
      <c r="K1447" s="4" t="str">
        <f t="shared" si="180"/>
        <v/>
      </c>
      <c r="L1447" s="19" t="str">
        <f t="shared" si="181"/>
        <v/>
      </c>
      <c r="M1447" s="12" t="str">
        <f>IF(A1447="","",IFERROR(INDEX(المدخلات!$M$4:$M$15,MATCH(A1447,المدخلات!$L$4:$L$15,0)),""))</f>
        <v/>
      </c>
      <c r="N1447" s="4" t="str">
        <f t="shared" si="182"/>
        <v/>
      </c>
      <c r="O1447" s="4" t="str">
        <f t="shared" si="183"/>
        <v/>
      </c>
    </row>
    <row r="1448" spans="1:15">
      <c r="A1448" s="11"/>
      <c r="B1448" s="19"/>
      <c r="C1448" s="19"/>
      <c r="D1448" s="55"/>
      <c r="E1448" s="56"/>
      <c r="F1448" s="19"/>
      <c r="G1448" s="4" t="str">
        <f t="shared" si="176"/>
        <v/>
      </c>
      <c r="H1448" s="11" t="str">
        <f t="shared" si="177"/>
        <v/>
      </c>
      <c r="I1448" s="55" t="str">
        <f t="shared" si="178"/>
        <v/>
      </c>
      <c r="J1448" s="55" t="str">
        <f t="shared" si="179"/>
        <v/>
      </c>
      <c r="K1448" s="4" t="str">
        <f t="shared" si="180"/>
        <v/>
      </c>
      <c r="L1448" s="19" t="str">
        <f t="shared" si="181"/>
        <v/>
      </c>
      <c r="M1448" s="12" t="str">
        <f>IF(A1448="","",IFERROR(INDEX(المدخلات!$M$4:$M$15,MATCH(A1448,المدخلات!$L$4:$L$15,0)),""))</f>
        <v/>
      </c>
      <c r="N1448" s="4" t="str">
        <f t="shared" si="182"/>
        <v/>
      </c>
      <c r="O1448" s="4" t="str">
        <f t="shared" si="183"/>
        <v/>
      </c>
    </row>
    <row r="1449" spans="1:15">
      <c r="A1449" s="11"/>
      <c r="B1449" s="19"/>
      <c r="C1449" s="19"/>
      <c r="D1449" s="55"/>
      <c r="E1449" s="56"/>
      <c r="F1449" s="19"/>
      <c r="G1449" s="4" t="str">
        <f t="shared" si="176"/>
        <v/>
      </c>
      <c r="H1449" s="11" t="str">
        <f t="shared" si="177"/>
        <v/>
      </c>
      <c r="I1449" s="55" t="str">
        <f t="shared" si="178"/>
        <v/>
      </c>
      <c r="J1449" s="55" t="str">
        <f t="shared" si="179"/>
        <v/>
      </c>
      <c r="K1449" s="4" t="str">
        <f t="shared" si="180"/>
        <v/>
      </c>
      <c r="L1449" s="19" t="str">
        <f t="shared" si="181"/>
        <v/>
      </c>
      <c r="M1449" s="12" t="str">
        <f>IF(A1449="","",IFERROR(INDEX(المدخلات!$M$4:$M$15,MATCH(A1449,المدخلات!$L$4:$L$15,0)),""))</f>
        <v/>
      </c>
      <c r="N1449" s="4" t="str">
        <f t="shared" si="182"/>
        <v/>
      </c>
      <c r="O1449" s="4" t="str">
        <f t="shared" si="183"/>
        <v/>
      </c>
    </row>
    <row r="1450" spans="1:15">
      <c r="A1450" s="11"/>
      <c r="B1450" s="19"/>
      <c r="C1450" s="19"/>
      <c r="D1450" s="55"/>
      <c r="E1450" s="56"/>
      <c r="F1450" s="19"/>
      <c r="G1450" s="4" t="str">
        <f t="shared" si="176"/>
        <v/>
      </c>
      <c r="H1450" s="11" t="str">
        <f t="shared" si="177"/>
        <v/>
      </c>
      <c r="I1450" s="55" t="str">
        <f t="shared" si="178"/>
        <v/>
      </c>
      <c r="J1450" s="55" t="str">
        <f t="shared" si="179"/>
        <v/>
      </c>
      <c r="K1450" s="4" t="str">
        <f t="shared" si="180"/>
        <v/>
      </c>
      <c r="L1450" s="19" t="str">
        <f t="shared" si="181"/>
        <v/>
      </c>
      <c r="M1450" s="12" t="str">
        <f>IF(A1450="","",IFERROR(INDEX(المدخلات!$M$4:$M$15,MATCH(A1450,المدخلات!$L$4:$L$15,0)),""))</f>
        <v/>
      </c>
      <c r="N1450" s="4" t="str">
        <f t="shared" si="182"/>
        <v/>
      </c>
      <c r="O1450" s="4" t="str">
        <f t="shared" si="183"/>
        <v/>
      </c>
    </row>
    <row r="1451" spans="1:15">
      <c r="A1451" s="11"/>
      <c r="B1451" s="19"/>
      <c r="C1451" s="19"/>
      <c r="D1451" s="55"/>
      <c r="E1451" s="56"/>
      <c r="F1451" s="19"/>
      <c r="G1451" s="4" t="str">
        <f t="shared" si="176"/>
        <v/>
      </c>
      <c r="H1451" s="11" t="str">
        <f t="shared" si="177"/>
        <v/>
      </c>
      <c r="I1451" s="55" t="str">
        <f t="shared" si="178"/>
        <v/>
      </c>
      <c r="J1451" s="55" t="str">
        <f t="shared" si="179"/>
        <v/>
      </c>
      <c r="K1451" s="4" t="str">
        <f t="shared" si="180"/>
        <v/>
      </c>
      <c r="L1451" s="19" t="str">
        <f t="shared" si="181"/>
        <v/>
      </c>
      <c r="M1451" s="12" t="str">
        <f>IF(A1451="","",IFERROR(INDEX(المدخلات!$M$4:$M$15,MATCH(A1451,المدخلات!$L$4:$L$15,0)),""))</f>
        <v/>
      </c>
      <c r="N1451" s="4" t="str">
        <f t="shared" si="182"/>
        <v/>
      </c>
      <c r="O1451" s="4" t="str">
        <f t="shared" si="183"/>
        <v/>
      </c>
    </row>
    <row r="1452" spans="1:15">
      <c r="A1452" s="11"/>
      <c r="B1452" s="19"/>
      <c r="C1452" s="19"/>
      <c r="D1452" s="55"/>
      <c r="E1452" s="56"/>
      <c r="F1452" s="19"/>
      <c r="G1452" s="4" t="str">
        <f t="shared" si="176"/>
        <v/>
      </c>
      <c r="H1452" s="11" t="str">
        <f t="shared" si="177"/>
        <v/>
      </c>
      <c r="I1452" s="55" t="str">
        <f t="shared" si="178"/>
        <v/>
      </c>
      <c r="J1452" s="55" t="str">
        <f t="shared" si="179"/>
        <v/>
      </c>
      <c r="K1452" s="4" t="str">
        <f t="shared" si="180"/>
        <v/>
      </c>
      <c r="L1452" s="19" t="str">
        <f t="shared" si="181"/>
        <v/>
      </c>
      <c r="M1452" s="12" t="str">
        <f>IF(A1452="","",IFERROR(INDEX(المدخلات!$M$4:$M$15,MATCH(A1452,المدخلات!$L$4:$L$15,0)),""))</f>
        <v/>
      </c>
      <c r="N1452" s="4" t="str">
        <f t="shared" si="182"/>
        <v/>
      </c>
      <c r="O1452" s="4" t="str">
        <f t="shared" si="183"/>
        <v/>
      </c>
    </row>
    <row r="1453" spans="1:15">
      <c r="A1453" s="11"/>
      <c r="B1453" s="19"/>
      <c r="C1453" s="19"/>
      <c r="D1453" s="55"/>
      <c r="E1453" s="56"/>
      <c r="F1453" s="19"/>
      <c r="G1453" s="4" t="str">
        <f t="shared" si="176"/>
        <v/>
      </c>
      <c r="H1453" s="11" t="str">
        <f t="shared" si="177"/>
        <v/>
      </c>
      <c r="I1453" s="55" t="str">
        <f t="shared" si="178"/>
        <v/>
      </c>
      <c r="J1453" s="55" t="str">
        <f t="shared" si="179"/>
        <v/>
      </c>
      <c r="K1453" s="4" t="str">
        <f t="shared" si="180"/>
        <v/>
      </c>
      <c r="L1453" s="19" t="str">
        <f t="shared" si="181"/>
        <v/>
      </c>
      <c r="M1453" s="12" t="str">
        <f>IF(A1453="","",IFERROR(INDEX(المدخلات!$M$4:$M$15,MATCH(A1453,المدخلات!$L$4:$L$15,0)),""))</f>
        <v/>
      </c>
      <c r="N1453" s="4" t="str">
        <f t="shared" si="182"/>
        <v/>
      </c>
      <c r="O1453" s="4" t="str">
        <f t="shared" si="183"/>
        <v/>
      </c>
    </row>
    <row r="1454" spans="1:15">
      <c r="A1454" s="11"/>
      <c r="B1454" s="19"/>
      <c r="C1454" s="19"/>
      <c r="D1454" s="55"/>
      <c r="E1454" s="56"/>
      <c r="F1454" s="19"/>
      <c r="G1454" s="4" t="str">
        <f t="shared" si="176"/>
        <v/>
      </c>
      <c r="H1454" s="11" t="str">
        <f t="shared" si="177"/>
        <v/>
      </c>
      <c r="I1454" s="55" t="str">
        <f t="shared" si="178"/>
        <v/>
      </c>
      <c r="J1454" s="55" t="str">
        <f t="shared" si="179"/>
        <v/>
      </c>
      <c r="K1454" s="4" t="str">
        <f t="shared" si="180"/>
        <v/>
      </c>
      <c r="L1454" s="19" t="str">
        <f t="shared" si="181"/>
        <v/>
      </c>
      <c r="M1454" s="12" t="str">
        <f>IF(A1454="","",IFERROR(INDEX(المدخلات!$M$4:$M$15,MATCH(A1454,المدخلات!$L$4:$L$15,0)),""))</f>
        <v/>
      </c>
      <c r="N1454" s="4" t="str">
        <f t="shared" si="182"/>
        <v/>
      </c>
      <c r="O1454" s="4" t="str">
        <f t="shared" si="183"/>
        <v/>
      </c>
    </row>
    <row r="1455" spans="1:15">
      <c r="A1455" s="11"/>
      <c r="B1455" s="19"/>
      <c r="C1455" s="19"/>
      <c r="D1455" s="55"/>
      <c r="E1455" s="56"/>
      <c r="F1455" s="19"/>
      <c r="G1455" s="4" t="str">
        <f t="shared" si="176"/>
        <v/>
      </c>
      <c r="H1455" s="11" t="str">
        <f t="shared" si="177"/>
        <v/>
      </c>
      <c r="I1455" s="55" t="str">
        <f t="shared" si="178"/>
        <v/>
      </c>
      <c r="J1455" s="55" t="str">
        <f t="shared" si="179"/>
        <v/>
      </c>
      <c r="K1455" s="4" t="str">
        <f t="shared" si="180"/>
        <v/>
      </c>
      <c r="L1455" s="19" t="str">
        <f t="shared" si="181"/>
        <v/>
      </c>
      <c r="M1455" s="12" t="str">
        <f>IF(A1455="","",IFERROR(INDEX(المدخلات!$M$4:$M$15,MATCH(A1455,المدخلات!$L$4:$L$15,0)),""))</f>
        <v/>
      </c>
      <c r="N1455" s="4" t="str">
        <f t="shared" si="182"/>
        <v/>
      </c>
      <c r="O1455" s="4" t="str">
        <f t="shared" si="183"/>
        <v/>
      </c>
    </row>
    <row r="1456" spans="1:15">
      <c r="A1456" s="11"/>
      <c r="B1456" s="19"/>
      <c r="C1456" s="19"/>
      <c r="D1456" s="55"/>
      <c r="E1456" s="56"/>
      <c r="F1456" s="19"/>
      <c r="G1456" s="4" t="str">
        <f t="shared" si="176"/>
        <v/>
      </c>
      <c r="H1456" s="11" t="str">
        <f t="shared" si="177"/>
        <v/>
      </c>
      <c r="I1456" s="55" t="str">
        <f t="shared" si="178"/>
        <v/>
      </c>
      <c r="J1456" s="55" t="str">
        <f t="shared" si="179"/>
        <v/>
      </c>
      <c r="K1456" s="4" t="str">
        <f t="shared" si="180"/>
        <v/>
      </c>
      <c r="L1456" s="19" t="str">
        <f t="shared" si="181"/>
        <v/>
      </c>
      <c r="M1456" s="12" t="str">
        <f>IF(A1456="","",IFERROR(INDEX(المدخلات!$M$4:$M$15,MATCH(A1456,المدخلات!$L$4:$L$15,0)),""))</f>
        <v/>
      </c>
      <c r="N1456" s="4" t="str">
        <f t="shared" si="182"/>
        <v/>
      </c>
      <c r="O1456" s="4" t="str">
        <f t="shared" si="183"/>
        <v/>
      </c>
    </row>
    <row r="1457" spans="1:15">
      <c r="A1457" s="11"/>
      <c r="B1457" s="19"/>
      <c r="C1457" s="19"/>
      <c r="D1457" s="55"/>
      <c r="E1457" s="56"/>
      <c r="F1457" s="19"/>
      <c r="G1457" s="4" t="str">
        <f t="shared" si="176"/>
        <v/>
      </c>
      <c r="H1457" s="11" t="str">
        <f t="shared" si="177"/>
        <v/>
      </c>
      <c r="I1457" s="55" t="str">
        <f t="shared" si="178"/>
        <v/>
      </c>
      <c r="J1457" s="55" t="str">
        <f t="shared" si="179"/>
        <v/>
      </c>
      <c r="K1457" s="4" t="str">
        <f t="shared" si="180"/>
        <v/>
      </c>
      <c r="L1457" s="19" t="str">
        <f t="shared" si="181"/>
        <v/>
      </c>
      <c r="M1457" s="12" t="str">
        <f>IF(A1457="","",IFERROR(INDEX(المدخلات!$M$4:$M$15,MATCH(A1457,المدخلات!$L$4:$L$15,0)),""))</f>
        <v/>
      </c>
      <c r="N1457" s="4" t="str">
        <f t="shared" si="182"/>
        <v/>
      </c>
      <c r="O1457" s="4" t="str">
        <f t="shared" si="183"/>
        <v/>
      </c>
    </row>
    <row r="1458" spans="1:15">
      <c r="A1458" s="11"/>
      <c r="B1458" s="19"/>
      <c r="C1458" s="19"/>
      <c r="D1458" s="55"/>
      <c r="E1458" s="56"/>
      <c r="F1458" s="19"/>
      <c r="G1458" s="4" t="str">
        <f t="shared" si="176"/>
        <v/>
      </c>
      <c r="H1458" s="11" t="str">
        <f t="shared" si="177"/>
        <v/>
      </c>
      <c r="I1458" s="55" t="str">
        <f t="shared" si="178"/>
        <v/>
      </c>
      <c r="J1458" s="55" t="str">
        <f t="shared" si="179"/>
        <v/>
      </c>
      <c r="K1458" s="4" t="str">
        <f t="shared" si="180"/>
        <v/>
      </c>
      <c r="L1458" s="19" t="str">
        <f t="shared" si="181"/>
        <v/>
      </c>
      <c r="M1458" s="12" t="str">
        <f>IF(A1458="","",IFERROR(INDEX(المدخلات!$M$4:$M$15,MATCH(A1458,المدخلات!$L$4:$L$15,0)),""))</f>
        <v/>
      </c>
      <c r="N1458" s="4" t="str">
        <f t="shared" si="182"/>
        <v/>
      </c>
      <c r="O1458" s="4" t="str">
        <f t="shared" si="183"/>
        <v/>
      </c>
    </row>
    <row r="1459" spans="1:15">
      <c r="A1459" s="11"/>
      <c r="B1459" s="19"/>
      <c r="C1459" s="19"/>
      <c r="D1459" s="55"/>
      <c r="E1459" s="56"/>
      <c r="F1459" s="19"/>
      <c r="G1459" s="4" t="str">
        <f t="shared" si="176"/>
        <v/>
      </c>
      <c r="H1459" s="11" t="str">
        <f t="shared" si="177"/>
        <v/>
      </c>
      <c r="I1459" s="55" t="str">
        <f t="shared" si="178"/>
        <v/>
      </c>
      <c r="J1459" s="55" t="str">
        <f t="shared" si="179"/>
        <v/>
      </c>
      <c r="K1459" s="4" t="str">
        <f t="shared" si="180"/>
        <v/>
      </c>
      <c r="L1459" s="19" t="str">
        <f t="shared" si="181"/>
        <v/>
      </c>
      <c r="M1459" s="12" t="str">
        <f>IF(A1459="","",IFERROR(INDEX(المدخلات!$M$4:$M$15,MATCH(A1459,المدخلات!$L$4:$L$15,0)),""))</f>
        <v/>
      </c>
      <c r="N1459" s="4" t="str">
        <f t="shared" si="182"/>
        <v/>
      </c>
      <c r="O1459" s="4" t="str">
        <f t="shared" si="183"/>
        <v/>
      </c>
    </row>
    <row r="1460" spans="1:15">
      <c r="A1460" s="11"/>
      <c r="B1460" s="19"/>
      <c r="C1460" s="19"/>
      <c r="D1460" s="55"/>
      <c r="E1460" s="56"/>
      <c r="F1460" s="19"/>
      <c r="G1460" s="4" t="str">
        <f t="shared" si="176"/>
        <v/>
      </c>
      <c r="H1460" s="11" t="str">
        <f t="shared" si="177"/>
        <v/>
      </c>
      <c r="I1460" s="55" t="str">
        <f t="shared" si="178"/>
        <v/>
      </c>
      <c r="J1460" s="55" t="str">
        <f t="shared" si="179"/>
        <v/>
      </c>
      <c r="K1460" s="4" t="str">
        <f t="shared" si="180"/>
        <v/>
      </c>
      <c r="L1460" s="19" t="str">
        <f t="shared" si="181"/>
        <v/>
      </c>
      <c r="M1460" s="12" t="str">
        <f>IF(A1460="","",IFERROR(INDEX(المدخلات!$M$4:$M$15,MATCH(A1460,المدخلات!$L$4:$L$15,0)),""))</f>
        <v/>
      </c>
      <c r="N1460" s="4" t="str">
        <f t="shared" si="182"/>
        <v/>
      </c>
      <c r="O1460" s="4" t="str">
        <f t="shared" si="183"/>
        <v/>
      </c>
    </row>
    <row r="1461" spans="1:15">
      <c r="A1461" s="11"/>
      <c r="B1461" s="19"/>
      <c r="C1461" s="19"/>
      <c r="D1461" s="55"/>
      <c r="E1461" s="56"/>
      <c r="F1461" s="19"/>
      <c r="G1461" s="4" t="str">
        <f t="shared" si="176"/>
        <v/>
      </c>
      <c r="H1461" s="11" t="str">
        <f t="shared" si="177"/>
        <v/>
      </c>
      <c r="I1461" s="55" t="str">
        <f t="shared" si="178"/>
        <v/>
      </c>
      <c r="J1461" s="55" t="str">
        <f t="shared" si="179"/>
        <v/>
      </c>
      <c r="K1461" s="4" t="str">
        <f t="shared" si="180"/>
        <v/>
      </c>
      <c r="L1461" s="19" t="str">
        <f t="shared" si="181"/>
        <v/>
      </c>
      <c r="M1461" s="12" t="str">
        <f>IF(A1461="","",IFERROR(INDEX(المدخلات!$M$4:$M$15,MATCH(A1461,المدخلات!$L$4:$L$15,0)),""))</f>
        <v/>
      </c>
      <c r="N1461" s="4" t="str">
        <f t="shared" si="182"/>
        <v/>
      </c>
      <c r="O1461" s="4" t="str">
        <f t="shared" si="183"/>
        <v/>
      </c>
    </row>
    <row r="1462" spans="1:15">
      <c r="A1462" s="11"/>
      <c r="B1462" s="19"/>
      <c r="C1462" s="19"/>
      <c r="D1462" s="55"/>
      <c r="E1462" s="56"/>
      <c r="F1462" s="19"/>
      <c r="G1462" s="4" t="str">
        <f t="shared" si="176"/>
        <v/>
      </c>
      <c r="H1462" s="11" t="str">
        <f t="shared" si="177"/>
        <v/>
      </c>
      <c r="I1462" s="55" t="str">
        <f t="shared" si="178"/>
        <v/>
      </c>
      <c r="J1462" s="55" t="str">
        <f t="shared" si="179"/>
        <v/>
      </c>
      <c r="K1462" s="4" t="str">
        <f t="shared" si="180"/>
        <v/>
      </c>
      <c r="L1462" s="19" t="str">
        <f t="shared" si="181"/>
        <v/>
      </c>
      <c r="M1462" s="12" t="str">
        <f>IF(A1462="","",IFERROR(INDEX(المدخلات!$M$4:$M$15,MATCH(A1462,المدخلات!$L$4:$L$15,0)),""))</f>
        <v/>
      </c>
      <c r="N1462" s="4" t="str">
        <f t="shared" si="182"/>
        <v/>
      </c>
      <c r="O1462" s="4" t="str">
        <f t="shared" si="183"/>
        <v/>
      </c>
    </row>
    <row r="1463" spans="1:15">
      <c r="A1463" s="11"/>
      <c r="B1463" s="19"/>
      <c r="C1463" s="19"/>
      <c r="D1463" s="55"/>
      <c r="E1463" s="56"/>
      <c r="F1463" s="19"/>
      <c r="G1463" s="4" t="str">
        <f t="shared" si="176"/>
        <v/>
      </c>
      <c r="H1463" s="11" t="str">
        <f t="shared" si="177"/>
        <v/>
      </c>
      <c r="I1463" s="55" t="str">
        <f t="shared" si="178"/>
        <v/>
      </c>
      <c r="J1463" s="55" t="str">
        <f t="shared" si="179"/>
        <v/>
      </c>
      <c r="K1463" s="4" t="str">
        <f t="shared" si="180"/>
        <v/>
      </c>
      <c r="L1463" s="19" t="str">
        <f t="shared" si="181"/>
        <v/>
      </c>
      <c r="M1463" s="12" t="str">
        <f>IF(A1463="","",IFERROR(INDEX(المدخلات!$M$4:$M$15,MATCH(A1463,المدخلات!$L$4:$L$15,0)),""))</f>
        <v/>
      </c>
      <c r="N1463" s="4" t="str">
        <f t="shared" si="182"/>
        <v/>
      </c>
      <c r="O1463" s="4" t="str">
        <f t="shared" si="183"/>
        <v/>
      </c>
    </row>
    <row r="1464" spans="1:15">
      <c r="A1464" s="11"/>
      <c r="B1464" s="19"/>
      <c r="C1464" s="19"/>
      <c r="D1464" s="55"/>
      <c r="E1464" s="56"/>
      <c r="F1464" s="19"/>
      <c r="G1464" s="4" t="str">
        <f t="shared" si="176"/>
        <v/>
      </c>
      <c r="H1464" s="11" t="str">
        <f t="shared" si="177"/>
        <v/>
      </c>
      <c r="I1464" s="55" t="str">
        <f t="shared" si="178"/>
        <v/>
      </c>
      <c r="J1464" s="55" t="str">
        <f t="shared" si="179"/>
        <v/>
      </c>
      <c r="K1464" s="4" t="str">
        <f t="shared" si="180"/>
        <v/>
      </c>
      <c r="L1464" s="19" t="str">
        <f t="shared" si="181"/>
        <v/>
      </c>
      <c r="M1464" s="12" t="str">
        <f>IF(A1464="","",IFERROR(INDEX(المدخلات!$M$4:$M$15,MATCH(A1464,المدخلات!$L$4:$L$15,0)),""))</f>
        <v/>
      </c>
      <c r="N1464" s="4" t="str">
        <f t="shared" si="182"/>
        <v/>
      </c>
      <c r="O1464" s="4" t="str">
        <f t="shared" si="183"/>
        <v/>
      </c>
    </row>
    <row r="1465" spans="1:15">
      <c r="A1465" s="11"/>
      <c r="B1465" s="19"/>
      <c r="C1465" s="19"/>
      <c r="D1465" s="55"/>
      <c r="E1465" s="56"/>
      <c r="F1465" s="19"/>
      <c r="G1465" s="4" t="str">
        <f t="shared" si="176"/>
        <v/>
      </c>
      <c r="H1465" s="11" t="str">
        <f t="shared" si="177"/>
        <v/>
      </c>
      <c r="I1465" s="55" t="str">
        <f t="shared" si="178"/>
        <v/>
      </c>
      <c r="J1465" s="55" t="str">
        <f t="shared" si="179"/>
        <v/>
      </c>
      <c r="K1465" s="4" t="str">
        <f t="shared" si="180"/>
        <v/>
      </c>
      <c r="L1465" s="19" t="str">
        <f t="shared" si="181"/>
        <v/>
      </c>
      <c r="M1465" s="12" t="str">
        <f>IF(A1465="","",IFERROR(INDEX(المدخلات!$M$4:$M$15,MATCH(A1465,المدخلات!$L$4:$L$15,0)),""))</f>
        <v/>
      </c>
      <c r="N1465" s="4" t="str">
        <f t="shared" si="182"/>
        <v/>
      </c>
      <c r="O1465" s="4" t="str">
        <f t="shared" si="183"/>
        <v/>
      </c>
    </row>
    <row r="1466" spans="1:15">
      <c r="A1466" s="11"/>
      <c r="B1466" s="19"/>
      <c r="C1466" s="19"/>
      <c r="D1466" s="55"/>
      <c r="E1466" s="56"/>
      <c r="F1466" s="19"/>
      <c r="G1466" s="4" t="str">
        <f t="shared" si="176"/>
        <v/>
      </c>
      <c r="H1466" s="11" t="str">
        <f t="shared" si="177"/>
        <v/>
      </c>
      <c r="I1466" s="55" t="str">
        <f t="shared" si="178"/>
        <v/>
      </c>
      <c r="J1466" s="55" t="str">
        <f t="shared" si="179"/>
        <v/>
      </c>
      <c r="K1466" s="4" t="str">
        <f t="shared" si="180"/>
        <v/>
      </c>
      <c r="L1466" s="19" t="str">
        <f t="shared" si="181"/>
        <v/>
      </c>
      <c r="M1466" s="12" t="str">
        <f>IF(A1466="","",IFERROR(INDEX(المدخلات!$M$4:$M$15,MATCH(A1466,المدخلات!$L$4:$L$15,0)),""))</f>
        <v/>
      </c>
      <c r="N1466" s="4" t="str">
        <f t="shared" si="182"/>
        <v/>
      </c>
      <c r="O1466" s="4" t="str">
        <f t="shared" si="183"/>
        <v/>
      </c>
    </row>
    <row r="1467" spans="1:15">
      <c r="A1467" s="11"/>
      <c r="B1467" s="19"/>
      <c r="C1467" s="19"/>
      <c r="D1467" s="55"/>
      <c r="E1467" s="56"/>
      <c r="F1467" s="19"/>
      <c r="G1467" s="4" t="str">
        <f t="shared" si="176"/>
        <v/>
      </c>
      <c r="H1467" s="11" t="str">
        <f t="shared" si="177"/>
        <v/>
      </c>
      <c r="I1467" s="55" t="str">
        <f t="shared" si="178"/>
        <v/>
      </c>
      <c r="J1467" s="55" t="str">
        <f t="shared" si="179"/>
        <v/>
      </c>
      <c r="K1467" s="4" t="str">
        <f t="shared" si="180"/>
        <v/>
      </c>
      <c r="L1467" s="19" t="str">
        <f t="shared" si="181"/>
        <v/>
      </c>
      <c r="M1467" s="12" t="str">
        <f>IF(A1467="","",IFERROR(INDEX(المدخلات!$M$4:$M$15,MATCH(A1467,المدخلات!$L$4:$L$15,0)),""))</f>
        <v/>
      </c>
      <c r="N1467" s="4" t="str">
        <f t="shared" si="182"/>
        <v/>
      </c>
      <c r="O1467" s="4" t="str">
        <f t="shared" si="183"/>
        <v/>
      </c>
    </row>
    <row r="1468" spans="1:15">
      <c r="A1468" s="11"/>
      <c r="B1468" s="19"/>
      <c r="C1468" s="19"/>
      <c r="D1468" s="55"/>
      <c r="E1468" s="56"/>
      <c r="F1468" s="19"/>
      <c r="G1468" s="4" t="str">
        <f t="shared" si="176"/>
        <v/>
      </c>
      <c r="H1468" s="11" t="str">
        <f t="shared" si="177"/>
        <v/>
      </c>
      <c r="I1468" s="55" t="str">
        <f t="shared" si="178"/>
        <v/>
      </c>
      <c r="J1468" s="55" t="str">
        <f t="shared" si="179"/>
        <v/>
      </c>
      <c r="K1468" s="4" t="str">
        <f t="shared" si="180"/>
        <v/>
      </c>
      <c r="L1468" s="19" t="str">
        <f t="shared" si="181"/>
        <v/>
      </c>
      <c r="M1468" s="12" t="str">
        <f>IF(A1468="","",IFERROR(INDEX(المدخلات!$M$4:$M$15,MATCH(A1468,المدخلات!$L$4:$L$15,0)),""))</f>
        <v/>
      </c>
      <c r="N1468" s="4" t="str">
        <f t="shared" si="182"/>
        <v/>
      </c>
      <c r="O1468" s="4" t="str">
        <f t="shared" si="183"/>
        <v/>
      </c>
    </row>
    <row r="1469" spans="1:15">
      <c r="A1469" s="11"/>
      <c r="B1469" s="19"/>
      <c r="C1469" s="19"/>
      <c r="D1469" s="55"/>
      <c r="E1469" s="56"/>
      <c r="F1469" s="19"/>
      <c r="G1469" s="4" t="str">
        <f t="shared" si="176"/>
        <v/>
      </c>
      <c r="H1469" s="11" t="str">
        <f t="shared" si="177"/>
        <v/>
      </c>
      <c r="I1469" s="55" t="str">
        <f t="shared" si="178"/>
        <v/>
      </c>
      <c r="J1469" s="55" t="str">
        <f t="shared" si="179"/>
        <v/>
      </c>
      <c r="K1469" s="4" t="str">
        <f t="shared" si="180"/>
        <v/>
      </c>
      <c r="L1469" s="19" t="str">
        <f t="shared" si="181"/>
        <v/>
      </c>
      <c r="M1469" s="12" t="str">
        <f>IF(A1469="","",IFERROR(INDEX(المدخلات!$M$4:$M$15,MATCH(A1469,المدخلات!$L$4:$L$15,0)),""))</f>
        <v/>
      </c>
      <c r="N1469" s="4" t="str">
        <f t="shared" si="182"/>
        <v/>
      </c>
      <c r="O1469" s="4" t="str">
        <f t="shared" si="183"/>
        <v/>
      </c>
    </row>
    <row r="1470" spans="1:15">
      <c r="A1470" s="11"/>
      <c r="B1470" s="19"/>
      <c r="C1470" s="19"/>
      <c r="D1470" s="55"/>
      <c r="E1470" s="56"/>
      <c r="F1470" s="19"/>
      <c r="G1470" s="4" t="str">
        <f t="shared" si="176"/>
        <v/>
      </c>
      <c r="H1470" s="11" t="str">
        <f t="shared" si="177"/>
        <v/>
      </c>
      <c r="I1470" s="55" t="str">
        <f t="shared" si="178"/>
        <v/>
      </c>
      <c r="J1470" s="55" t="str">
        <f t="shared" si="179"/>
        <v/>
      </c>
      <c r="K1470" s="4" t="str">
        <f t="shared" si="180"/>
        <v/>
      </c>
      <c r="L1470" s="19" t="str">
        <f t="shared" si="181"/>
        <v/>
      </c>
      <c r="M1470" s="12" t="str">
        <f>IF(A1470="","",IFERROR(INDEX(المدخلات!$M$4:$M$15,MATCH(A1470,المدخلات!$L$4:$L$15,0)),""))</f>
        <v/>
      </c>
      <c r="N1470" s="4" t="str">
        <f t="shared" si="182"/>
        <v/>
      </c>
      <c r="O1470" s="4" t="str">
        <f t="shared" si="183"/>
        <v/>
      </c>
    </row>
    <row r="1471" spans="1:15">
      <c r="A1471" s="11"/>
      <c r="B1471" s="19"/>
      <c r="C1471" s="19"/>
      <c r="D1471" s="55"/>
      <c r="E1471" s="56"/>
      <c r="F1471" s="19"/>
      <c r="G1471" s="4" t="str">
        <f t="shared" si="176"/>
        <v/>
      </c>
      <c r="H1471" s="11" t="str">
        <f t="shared" si="177"/>
        <v/>
      </c>
      <c r="I1471" s="55" t="str">
        <f t="shared" si="178"/>
        <v/>
      </c>
      <c r="J1471" s="55" t="str">
        <f t="shared" si="179"/>
        <v/>
      </c>
      <c r="K1471" s="4" t="str">
        <f t="shared" si="180"/>
        <v/>
      </c>
      <c r="L1471" s="19" t="str">
        <f t="shared" si="181"/>
        <v/>
      </c>
      <c r="M1471" s="12" t="str">
        <f>IF(A1471="","",IFERROR(INDEX(المدخلات!$M$4:$M$15,MATCH(A1471,المدخلات!$L$4:$L$15,0)),""))</f>
        <v/>
      </c>
      <c r="N1471" s="4" t="str">
        <f t="shared" si="182"/>
        <v/>
      </c>
      <c r="O1471" s="4" t="str">
        <f t="shared" si="183"/>
        <v/>
      </c>
    </row>
    <row r="1472" spans="1:15">
      <c r="A1472" s="11"/>
      <c r="B1472" s="19"/>
      <c r="C1472" s="19"/>
      <c r="D1472" s="55"/>
      <c r="E1472" s="56"/>
      <c r="F1472" s="19"/>
      <c r="G1472" s="4" t="str">
        <f t="shared" si="176"/>
        <v/>
      </c>
      <c r="H1472" s="11" t="str">
        <f t="shared" si="177"/>
        <v/>
      </c>
      <c r="I1472" s="55" t="str">
        <f t="shared" si="178"/>
        <v/>
      </c>
      <c r="J1472" s="55" t="str">
        <f t="shared" si="179"/>
        <v/>
      </c>
      <c r="K1472" s="4" t="str">
        <f t="shared" si="180"/>
        <v/>
      </c>
      <c r="L1472" s="19" t="str">
        <f t="shared" si="181"/>
        <v/>
      </c>
      <c r="M1472" s="12" t="str">
        <f>IF(A1472="","",IFERROR(INDEX(المدخلات!$M$4:$M$15,MATCH(A1472,المدخلات!$L$4:$L$15,0)),""))</f>
        <v/>
      </c>
      <c r="N1472" s="4" t="str">
        <f t="shared" si="182"/>
        <v/>
      </c>
      <c r="O1472" s="4" t="str">
        <f t="shared" si="183"/>
        <v/>
      </c>
    </row>
    <row r="1473" spans="1:15">
      <c r="A1473" s="11"/>
      <c r="B1473" s="19"/>
      <c r="C1473" s="19"/>
      <c r="D1473" s="55"/>
      <c r="E1473" s="56"/>
      <c r="F1473" s="19"/>
      <c r="G1473" s="4" t="str">
        <f t="shared" si="176"/>
        <v/>
      </c>
      <c r="H1473" s="11" t="str">
        <f t="shared" si="177"/>
        <v/>
      </c>
      <c r="I1473" s="55" t="str">
        <f t="shared" si="178"/>
        <v/>
      </c>
      <c r="J1473" s="55" t="str">
        <f t="shared" si="179"/>
        <v/>
      </c>
      <c r="K1473" s="4" t="str">
        <f t="shared" si="180"/>
        <v/>
      </c>
      <c r="L1473" s="19" t="str">
        <f t="shared" si="181"/>
        <v/>
      </c>
      <c r="M1473" s="12" t="str">
        <f>IF(A1473="","",IFERROR(INDEX(المدخلات!$M$4:$M$15,MATCH(A1473,المدخلات!$L$4:$L$15,0)),""))</f>
        <v/>
      </c>
      <c r="N1473" s="4" t="str">
        <f t="shared" si="182"/>
        <v/>
      </c>
      <c r="O1473" s="4" t="str">
        <f t="shared" si="183"/>
        <v/>
      </c>
    </row>
    <row r="1474" spans="1:15">
      <c r="A1474" s="11"/>
      <c r="B1474" s="19"/>
      <c r="C1474" s="19"/>
      <c r="D1474" s="55"/>
      <c r="E1474" s="56"/>
      <c r="F1474" s="19"/>
      <c r="G1474" s="4" t="str">
        <f t="shared" si="176"/>
        <v/>
      </c>
      <c r="H1474" s="11" t="str">
        <f t="shared" si="177"/>
        <v/>
      </c>
      <c r="I1474" s="55" t="str">
        <f t="shared" si="178"/>
        <v/>
      </c>
      <c r="J1474" s="55" t="str">
        <f t="shared" si="179"/>
        <v/>
      </c>
      <c r="K1474" s="4" t="str">
        <f t="shared" si="180"/>
        <v/>
      </c>
      <c r="L1474" s="19" t="str">
        <f t="shared" si="181"/>
        <v/>
      </c>
      <c r="M1474" s="12" t="str">
        <f>IF(A1474="","",IFERROR(INDEX(المدخلات!$M$4:$M$15,MATCH(A1474,المدخلات!$L$4:$L$15,0)),""))</f>
        <v/>
      </c>
      <c r="N1474" s="4" t="str">
        <f t="shared" si="182"/>
        <v/>
      </c>
      <c r="O1474" s="4" t="str">
        <f t="shared" si="183"/>
        <v/>
      </c>
    </row>
    <row r="1475" spans="1:15">
      <c r="A1475" s="11"/>
      <c r="B1475" s="19"/>
      <c r="C1475" s="19"/>
      <c r="D1475" s="55"/>
      <c r="E1475" s="56"/>
      <c r="F1475" s="19"/>
      <c r="G1475" s="4" t="str">
        <f t="shared" si="176"/>
        <v/>
      </c>
      <c r="H1475" s="11" t="str">
        <f t="shared" si="177"/>
        <v/>
      </c>
      <c r="I1475" s="55" t="str">
        <f t="shared" si="178"/>
        <v/>
      </c>
      <c r="J1475" s="55" t="str">
        <f t="shared" si="179"/>
        <v/>
      </c>
      <c r="K1475" s="4" t="str">
        <f t="shared" si="180"/>
        <v/>
      </c>
      <c r="L1475" s="19" t="str">
        <f t="shared" si="181"/>
        <v/>
      </c>
      <c r="M1475" s="12" t="str">
        <f>IF(A1475="","",IFERROR(INDEX(المدخلات!$M$4:$M$15,MATCH(A1475,المدخلات!$L$4:$L$15,0)),""))</f>
        <v/>
      </c>
      <c r="N1475" s="4" t="str">
        <f t="shared" si="182"/>
        <v/>
      </c>
      <c r="O1475" s="4" t="str">
        <f t="shared" si="183"/>
        <v/>
      </c>
    </row>
    <row r="1476" spans="1:15">
      <c r="A1476" s="11"/>
      <c r="B1476" s="19"/>
      <c r="C1476" s="19"/>
      <c r="D1476" s="55"/>
      <c r="E1476" s="56"/>
      <c r="F1476" s="19"/>
      <c r="G1476" s="4" t="str">
        <f t="shared" si="176"/>
        <v/>
      </c>
      <c r="H1476" s="11" t="str">
        <f t="shared" si="177"/>
        <v/>
      </c>
      <c r="I1476" s="55" t="str">
        <f t="shared" si="178"/>
        <v/>
      </c>
      <c r="J1476" s="55" t="str">
        <f t="shared" si="179"/>
        <v/>
      </c>
      <c r="K1476" s="4" t="str">
        <f t="shared" si="180"/>
        <v/>
      </c>
      <c r="L1476" s="19" t="str">
        <f t="shared" si="181"/>
        <v/>
      </c>
      <c r="M1476" s="12" t="str">
        <f>IF(A1476="","",IFERROR(INDEX(المدخلات!$M$4:$M$15,MATCH(A1476,المدخلات!$L$4:$L$15,0)),""))</f>
        <v/>
      </c>
      <c r="N1476" s="4" t="str">
        <f t="shared" si="182"/>
        <v/>
      </c>
      <c r="O1476" s="4" t="str">
        <f t="shared" si="183"/>
        <v/>
      </c>
    </row>
    <row r="1477" spans="1:15">
      <c r="A1477" s="11"/>
      <c r="B1477" s="19"/>
      <c r="C1477" s="19"/>
      <c r="D1477" s="55"/>
      <c r="E1477" s="56"/>
      <c r="F1477" s="19"/>
      <c r="G1477" s="4" t="str">
        <f t="shared" ref="G1477:G1540" si="184">IF(OR(D1477="",E1477=""),"",D1477*E1477)</f>
        <v/>
      </c>
      <c r="H1477" s="11" t="str">
        <f t="shared" ref="H1477:H1540" si="185">IF(C1477="","",IFERROR(_xlfn.MAXIFS($A$5:$A$2003,$C$5:$C$2003,C1477,$A$5:$A$2003,"&lt;"&amp;A1477),0))</f>
        <v/>
      </c>
      <c r="I1477" s="55" t="str">
        <f t="shared" ref="I1477:I1540" si="186">IF(OR(H1477="",H1477=0),"",IFERROR(SUMIFS($D$5:$D$2003,$C$5:$C$2003,C1477,$A$5:$A$2003,H1477),""))</f>
        <v/>
      </c>
      <c r="J1477" s="55" t="str">
        <f t="shared" ref="J1477:J1540" si="187">IF(C1477="","",IF(I1477="",0,MAX(I1477-D1477,0)))</f>
        <v/>
      </c>
      <c r="K1477" s="4" t="str">
        <f t="shared" ref="K1477:K1540" si="188">IF(J1477="","",J1477*E1477)</f>
        <v/>
      </c>
      <c r="L1477" s="19" t="str">
        <f t="shared" ref="L1477:L1540" si="189">IF(C1477="","",IF(COUNTIFS($A$5:$A$2003,A1477,$C$5:$C$2003,C1477)&gt;1,"⚠️ مادة مكررة بنفس الشهر",IF(OR(H1477="",H1477=0),"🆕 أول ظهور لهذه المادة",IF(D1477&gt;I1477,"ℹ️ زيادة كمية (شراء/تصحيح) - لا تُحتسب استهلاكاً",IF(D1477=I1477,"➖ لا تغيير","")))))</f>
        <v/>
      </c>
      <c r="M1477" s="12" t="str">
        <f>IF(A1477="","",IFERROR(INDEX(المدخلات!$M$4:$M$15,MATCH(A1477,المدخلات!$L$4:$L$15,0)),""))</f>
        <v/>
      </c>
      <c r="N1477" s="4" t="str">
        <f t="shared" ref="N1477:N1540" si="190">IF(OR(G1477="",F1477=""),"",IF(F1477="دولار أمريكي",IF(M1477="","⚠️ لا يوجد سعر صرف",G1477*M1477),G1477))</f>
        <v/>
      </c>
      <c r="O1477" s="4" t="str">
        <f t="shared" ref="O1477:O1540" si="191">IF(OR(K1477="",F1477=""),"",IF(F1477="دولار أمريكي",IF(M1477="","⚠️ لا يوجد سعر صرف",K1477*M1477),K1477))</f>
        <v/>
      </c>
    </row>
    <row r="1478" spans="1:15">
      <c r="A1478" s="11"/>
      <c r="B1478" s="19"/>
      <c r="C1478" s="19"/>
      <c r="D1478" s="55"/>
      <c r="E1478" s="56"/>
      <c r="F1478" s="19"/>
      <c r="G1478" s="4" t="str">
        <f t="shared" si="184"/>
        <v/>
      </c>
      <c r="H1478" s="11" t="str">
        <f t="shared" si="185"/>
        <v/>
      </c>
      <c r="I1478" s="55" t="str">
        <f t="shared" si="186"/>
        <v/>
      </c>
      <c r="J1478" s="55" t="str">
        <f t="shared" si="187"/>
        <v/>
      </c>
      <c r="K1478" s="4" t="str">
        <f t="shared" si="188"/>
        <v/>
      </c>
      <c r="L1478" s="19" t="str">
        <f t="shared" si="189"/>
        <v/>
      </c>
      <c r="M1478" s="12" t="str">
        <f>IF(A1478="","",IFERROR(INDEX(المدخلات!$M$4:$M$15,MATCH(A1478,المدخلات!$L$4:$L$15,0)),""))</f>
        <v/>
      </c>
      <c r="N1478" s="4" t="str">
        <f t="shared" si="190"/>
        <v/>
      </c>
      <c r="O1478" s="4" t="str">
        <f t="shared" si="191"/>
        <v/>
      </c>
    </row>
    <row r="1479" spans="1:15">
      <c r="A1479" s="11"/>
      <c r="B1479" s="19"/>
      <c r="C1479" s="19"/>
      <c r="D1479" s="55"/>
      <c r="E1479" s="56"/>
      <c r="F1479" s="19"/>
      <c r="G1479" s="4" t="str">
        <f t="shared" si="184"/>
        <v/>
      </c>
      <c r="H1479" s="11" t="str">
        <f t="shared" si="185"/>
        <v/>
      </c>
      <c r="I1479" s="55" t="str">
        <f t="shared" si="186"/>
        <v/>
      </c>
      <c r="J1479" s="55" t="str">
        <f t="shared" si="187"/>
        <v/>
      </c>
      <c r="K1479" s="4" t="str">
        <f t="shared" si="188"/>
        <v/>
      </c>
      <c r="L1479" s="19" t="str">
        <f t="shared" si="189"/>
        <v/>
      </c>
      <c r="M1479" s="12" t="str">
        <f>IF(A1479="","",IFERROR(INDEX(المدخلات!$M$4:$M$15,MATCH(A1479,المدخلات!$L$4:$L$15,0)),""))</f>
        <v/>
      </c>
      <c r="N1479" s="4" t="str">
        <f t="shared" si="190"/>
        <v/>
      </c>
      <c r="O1479" s="4" t="str">
        <f t="shared" si="191"/>
        <v/>
      </c>
    </row>
    <row r="1480" spans="1:15">
      <c r="A1480" s="11"/>
      <c r="B1480" s="19"/>
      <c r="C1480" s="19"/>
      <c r="D1480" s="55"/>
      <c r="E1480" s="56"/>
      <c r="F1480" s="19"/>
      <c r="G1480" s="4" t="str">
        <f t="shared" si="184"/>
        <v/>
      </c>
      <c r="H1480" s="11" t="str">
        <f t="shared" si="185"/>
        <v/>
      </c>
      <c r="I1480" s="55" t="str">
        <f t="shared" si="186"/>
        <v/>
      </c>
      <c r="J1480" s="55" t="str">
        <f t="shared" si="187"/>
        <v/>
      </c>
      <c r="K1480" s="4" t="str">
        <f t="shared" si="188"/>
        <v/>
      </c>
      <c r="L1480" s="19" t="str">
        <f t="shared" si="189"/>
        <v/>
      </c>
      <c r="M1480" s="12" t="str">
        <f>IF(A1480="","",IFERROR(INDEX(المدخلات!$M$4:$M$15,MATCH(A1480,المدخلات!$L$4:$L$15,0)),""))</f>
        <v/>
      </c>
      <c r="N1480" s="4" t="str">
        <f t="shared" si="190"/>
        <v/>
      </c>
      <c r="O1480" s="4" t="str">
        <f t="shared" si="191"/>
        <v/>
      </c>
    </row>
    <row r="1481" spans="1:15">
      <c r="A1481" s="11"/>
      <c r="B1481" s="19"/>
      <c r="C1481" s="19"/>
      <c r="D1481" s="55"/>
      <c r="E1481" s="56"/>
      <c r="F1481" s="19"/>
      <c r="G1481" s="4" t="str">
        <f t="shared" si="184"/>
        <v/>
      </c>
      <c r="H1481" s="11" t="str">
        <f t="shared" si="185"/>
        <v/>
      </c>
      <c r="I1481" s="55" t="str">
        <f t="shared" si="186"/>
        <v/>
      </c>
      <c r="J1481" s="55" t="str">
        <f t="shared" si="187"/>
        <v/>
      </c>
      <c r="K1481" s="4" t="str">
        <f t="shared" si="188"/>
        <v/>
      </c>
      <c r="L1481" s="19" t="str">
        <f t="shared" si="189"/>
        <v/>
      </c>
      <c r="M1481" s="12" t="str">
        <f>IF(A1481="","",IFERROR(INDEX(المدخلات!$M$4:$M$15,MATCH(A1481,المدخلات!$L$4:$L$15,0)),""))</f>
        <v/>
      </c>
      <c r="N1481" s="4" t="str">
        <f t="shared" si="190"/>
        <v/>
      </c>
      <c r="O1481" s="4" t="str">
        <f t="shared" si="191"/>
        <v/>
      </c>
    </row>
    <row r="1482" spans="1:15">
      <c r="A1482" s="11"/>
      <c r="B1482" s="19"/>
      <c r="C1482" s="19"/>
      <c r="D1482" s="55"/>
      <c r="E1482" s="56"/>
      <c r="F1482" s="19"/>
      <c r="G1482" s="4" t="str">
        <f t="shared" si="184"/>
        <v/>
      </c>
      <c r="H1482" s="11" t="str">
        <f t="shared" si="185"/>
        <v/>
      </c>
      <c r="I1482" s="55" t="str">
        <f t="shared" si="186"/>
        <v/>
      </c>
      <c r="J1482" s="55" t="str">
        <f t="shared" si="187"/>
        <v/>
      </c>
      <c r="K1482" s="4" t="str">
        <f t="shared" si="188"/>
        <v/>
      </c>
      <c r="L1482" s="19" t="str">
        <f t="shared" si="189"/>
        <v/>
      </c>
      <c r="M1482" s="12" t="str">
        <f>IF(A1482="","",IFERROR(INDEX(المدخلات!$M$4:$M$15,MATCH(A1482,المدخلات!$L$4:$L$15,0)),""))</f>
        <v/>
      </c>
      <c r="N1482" s="4" t="str">
        <f t="shared" si="190"/>
        <v/>
      </c>
      <c r="O1482" s="4" t="str">
        <f t="shared" si="191"/>
        <v/>
      </c>
    </row>
    <row r="1483" spans="1:15">
      <c r="A1483" s="11"/>
      <c r="B1483" s="19"/>
      <c r="C1483" s="19"/>
      <c r="D1483" s="55"/>
      <c r="E1483" s="56"/>
      <c r="F1483" s="19"/>
      <c r="G1483" s="4" t="str">
        <f t="shared" si="184"/>
        <v/>
      </c>
      <c r="H1483" s="11" t="str">
        <f t="shared" si="185"/>
        <v/>
      </c>
      <c r="I1483" s="55" t="str">
        <f t="shared" si="186"/>
        <v/>
      </c>
      <c r="J1483" s="55" t="str">
        <f t="shared" si="187"/>
        <v/>
      </c>
      <c r="K1483" s="4" t="str">
        <f t="shared" si="188"/>
        <v/>
      </c>
      <c r="L1483" s="19" t="str">
        <f t="shared" si="189"/>
        <v/>
      </c>
      <c r="M1483" s="12" t="str">
        <f>IF(A1483="","",IFERROR(INDEX(المدخلات!$M$4:$M$15,MATCH(A1483,المدخلات!$L$4:$L$15,0)),""))</f>
        <v/>
      </c>
      <c r="N1483" s="4" t="str">
        <f t="shared" si="190"/>
        <v/>
      </c>
      <c r="O1483" s="4" t="str">
        <f t="shared" si="191"/>
        <v/>
      </c>
    </row>
    <row r="1484" spans="1:15">
      <c r="A1484" s="11"/>
      <c r="B1484" s="19"/>
      <c r="C1484" s="19"/>
      <c r="D1484" s="55"/>
      <c r="E1484" s="56"/>
      <c r="F1484" s="19"/>
      <c r="G1484" s="4" t="str">
        <f t="shared" si="184"/>
        <v/>
      </c>
      <c r="H1484" s="11" t="str">
        <f t="shared" si="185"/>
        <v/>
      </c>
      <c r="I1484" s="55" t="str">
        <f t="shared" si="186"/>
        <v/>
      </c>
      <c r="J1484" s="55" t="str">
        <f t="shared" si="187"/>
        <v/>
      </c>
      <c r="K1484" s="4" t="str">
        <f t="shared" si="188"/>
        <v/>
      </c>
      <c r="L1484" s="19" t="str">
        <f t="shared" si="189"/>
        <v/>
      </c>
      <c r="M1484" s="12" t="str">
        <f>IF(A1484="","",IFERROR(INDEX(المدخلات!$M$4:$M$15,MATCH(A1484,المدخلات!$L$4:$L$15,0)),""))</f>
        <v/>
      </c>
      <c r="N1484" s="4" t="str">
        <f t="shared" si="190"/>
        <v/>
      </c>
      <c r="O1484" s="4" t="str">
        <f t="shared" si="191"/>
        <v/>
      </c>
    </row>
    <row r="1485" spans="1:15">
      <c r="A1485" s="11"/>
      <c r="B1485" s="19"/>
      <c r="C1485" s="19"/>
      <c r="D1485" s="55"/>
      <c r="E1485" s="56"/>
      <c r="F1485" s="19"/>
      <c r="G1485" s="4" t="str">
        <f t="shared" si="184"/>
        <v/>
      </c>
      <c r="H1485" s="11" t="str">
        <f t="shared" si="185"/>
        <v/>
      </c>
      <c r="I1485" s="55" t="str">
        <f t="shared" si="186"/>
        <v/>
      </c>
      <c r="J1485" s="55" t="str">
        <f t="shared" si="187"/>
        <v/>
      </c>
      <c r="K1485" s="4" t="str">
        <f t="shared" si="188"/>
        <v/>
      </c>
      <c r="L1485" s="19" t="str">
        <f t="shared" si="189"/>
        <v/>
      </c>
      <c r="M1485" s="12" t="str">
        <f>IF(A1485="","",IFERROR(INDEX(المدخلات!$M$4:$M$15,MATCH(A1485,المدخلات!$L$4:$L$15,0)),""))</f>
        <v/>
      </c>
      <c r="N1485" s="4" t="str">
        <f t="shared" si="190"/>
        <v/>
      </c>
      <c r="O1485" s="4" t="str">
        <f t="shared" si="191"/>
        <v/>
      </c>
    </row>
    <row r="1486" spans="1:15">
      <c r="A1486" s="11"/>
      <c r="B1486" s="19"/>
      <c r="C1486" s="19"/>
      <c r="D1486" s="55"/>
      <c r="E1486" s="56"/>
      <c r="F1486" s="19"/>
      <c r="G1486" s="4" t="str">
        <f t="shared" si="184"/>
        <v/>
      </c>
      <c r="H1486" s="11" t="str">
        <f t="shared" si="185"/>
        <v/>
      </c>
      <c r="I1486" s="55" t="str">
        <f t="shared" si="186"/>
        <v/>
      </c>
      <c r="J1486" s="55" t="str">
        <f t="shared" si="187"/>
        <v/>
      </c>
      <c r="K1486" s="4" t="str">
        <f t="shared" si="188"/>
        <v/>
      </c>
      <c r="L1486" s="19" t="str">
        <f t="shared" si="189"/>
        <v/>
      </c>
      <c r="M1486" s="12" t="str">
        <f>IF(A1486="","",IFERROR(INDEX(المدخلات!$M$4:$M$15,MATCH(A1486,المدخلات!$L$4:$L$15,0)),""))</f>
        <v/>
      </c>
      <c r="N1486" s="4" t="str">
        <f t="shared" si="190"/>
        <v/>
      </c>
      <c r="O1486" s="4" t="str">
        <f t="shared" si="191"/>
        <v/>
      </c>
    </row>
    <row r="1487" spans="1:15">
      <c r="A1487" s="11"/>
      <c r="B1487" s="19"/>
      <c r="C1487" s="19"/>
      <c r="D1487" s="55"/>
      <c r="E1487" s="56"/>
      <c r="F1487" s="19"/>
      <c r="G1487" s="4" t="str">
        <f t="shared" si="184"/>
        <v/>
      </c>
      <c r="H1487" s="11" t="str">
        <f t="shared" si="185"/>
        <v/>
      </c>
      <c r="I1487" s="55" t="str">
        <f t="shared" si="186"/>
        <v/>
      </c>
      <c r="J1487" s="55" t="str">
        <f t="shared" si="187"/>
        <v/>
      </c>
      <c r="K1487" s="4" t="str">
        <f t="shared" si="188"/>
        <v/>
      </c>
      <c r="L1487" s="19" t="str">
        <f t="shared" si="189"/>
        <v/>
      </c>
      <c r="M1487" s="12" t="str">
        <f>IF(A1487="","",IFERROR(INDEX(المدخلات!$M$4:$M$15,MATCH(A1487,المدخلات!$L$4:$L$15,0)),""))</f>
        <v/>
      </c>
      <c r="N1487" s="4" t="str">
        <f t="shared" si="190"/>
        <v/>
      </c>
      <c r="O1487" s="4" t="str">
        <f t="shared" si="191"/>
        <v/>
      </c>
    </row>
    <row r="1488" spans="1:15">
      <c r="A1488" s="11"/>
      <c r="B1488" s="19"/>
      <c r="C1488" s="19"/>
      <c r="D1488" s="55"/>
      <c r="E1488" s="56"/>
      <c r="F1488" s="19"/>
      <c r="G1488" s="4" t="str">
        <f t="shared" si="184"/>
        <v/>
      </c>
      <c r="H1488" s="11" t="str">
        <f t="shared" si="185"/>
        <v/>
      </c>
      <c r="I1488" s="55" t="str">
        <f t="shared" si="186"/>
        <v/>
      </c>
      <c r="J1488" s="55" t="str">
        <f t="shared" si="187"/>
        <v/>
      </c>
      <c r="K1488" s="4" t="str">
        <f t="shared" si="188"/>
        <v/>
      </c>
      <c r="L1488" s="19" t="str">
        <f t="shared" si="189"/>
        <v/>
      </c>
      <c r="M1488" s="12" t="str">
        <f>IF(A1488="","",IFERROR(INDEX(المدخلات!$M$4:$M$15,MATCH(A1488,المدخلات!$L$4:$L$15,0)),""))</f>
        <v/>
      </c>
      <c r="N1488" s="4" t="str">
        <f t="shared" si="190"/>
        <v/>
      </c>
      <c r="O1488" s="4" t="str">
        <f t="shared" si="191"/>
        <v/>
      </c>
    </row>
    <row r="1489" spans="1:15">
      <c r="A1489" s="11"/>
      <c r="B1489" s="19"/>
      <c r="C1489" s="19"/>
      <c r="D1489" s="55"/>
      <c r="E1489" s="56"/>
      <c r="F1489" s="19"/>
      <c r="G1489" s="4" t="str">
        <f t="shared" si="184"/>
        <v/>
      </c>
      <c r="H1489" s="11" t="str">
        <f t="shared" si="185"/>
        <v/>
      </c>
      <c r="I1489" s="55" t="str">
        <f t="shared" si="186"/>
        <v/>
      </c>
      <c r="J1489" s="55" t="str">
        <f t="shared" si="187"/>
        <v/>
      </c>
      <c r="K1489" s="4" t="str">
        <f t="shared" si="188"/>
        <v/>
      </c>
      <c r="L1489" s="19" t="str">
        <f t="shared" si="189"/>
        <v/>
      </c>
      <c r="M1489" s="12" t="str">
        <f>IF(A1489="","",IFERROR(INDEX(المدخلات!$M$4:$M$15,MATCH(A1489,المدخلات!$L$4:$L$15,0)),""))</f>
        <v/>
      </c>
      <c r="N1489" s="4" t="str">
        <f t="shared" si="190"/>
        <v/>
      </c>
      <c r="O1489" s="4" t="str">
        <f t="shared" si="191"/>
        <v/>
      </c>
    </row>
    <row r="1490" spans="1:15">
      <c r="A1490" s="11"/>
      <c r="B1490" s="19"/>
      <c r="C1490" s="19"/>
      <c r="D1490" s="55"/>
      <c r="E1490" s="56"/>
      <c r="F1490" s="19"/>
      <c r="G1490" s="4" t="str">
        <f t="shared" si="184"/>
        <v/>
      </c>
      <c r="H1490" s="11" t="str">
        <f t="shared" si="185"/>
        <v/>
      </c>
      <c r="I1490" s="55" t="str">
        <f t="shared" si="186"/>
        <v/>
      </c>
      <c r="J1490" s="55" t="str">
        <f t="shared" si="187"/>
        <v/>
      </c>
      <c r="K1490" s="4" t="str">
        <f t="shared" si="188"/>
        <v/>
      </c>
      <c r="L1490" s="19" t="str">
        <f t="shared" si="189"/>
        <v/>
      </c>
      <c r="M1490" s="12" t="str">
        <f>IF(A1490="","",IFERROR(INDEX(المدخلات!$M$4:$M$15,MATCH(A1490,المدخلات!$L$4:$L$15,0)),""))</f>
        <v/>
      </c>
      <c r="N1490" s="4" t="str">
        <f t="shared" si="190"/>
        <v/>
      </c>
      <c r="O1490" s="4" t="str">
        <f t="shared" si="191"/>
        <v/>
      </c>
    </row>
    <row r="1491" spans="1:15">
      <c r="A1491" s="11"/>
      <c r="B1491" s="19"/>
      <c r="C1491" s="19"/>
      <c r="D1491" s="55"/>
      <c r="E1491" s="56"/>
      <c r="F1491" s="19"/>
      <c r="G1491" s="4" t="str">
        <f t="shared" si="184"/>
        <v/>
      </c>
      <c r="H1491" s="11" t="str">
        <f t="shared" si="185"/>
        <v/>
      </c>
      <c r="I1491" s="55" t="str">
        <f t="shared" si="186"/>
        <v/>
      </c>
      <c r="J1491" s="55" t="str">
        <f t="shared" si="187"/>
        <v/>
      </c>
      <c r="K1491" s="4" t="str">
        <f t="shared" si="188"/>
        <v/>
      </c>
      <c r="L1491" s="19" t="str">
        <f t="shared" si="189"/>
        <v/>
      </c>
      <c r="M1491" s="12" t="str">
        <f>IF(A1491="","",IFERROR(INDEX(المدخلات!$M$4:$M$15,MATCH(A1491,المدخلات!$L$4:$L$15,0)),""))</f>
        <v/>
      </c>
      <c r="N1491" s="4" t="str">
        <f t="shared" si="190"/>
        <v/>
      </c>
      <c r="O1491" s="4" t="str">
        <f t="shared" si="191"/>
        <v/>
      </c>
    </row>
    <row r="1492" spans="1:15">
      <c r="A1492" s="11"/>
      <c r="B1492" s="19"/>
      <c r="C1492" s="19"/>
      <c r="D1492" s="55"/>
      <c r="E1492" s="56"/>
      <c r="F1492" s="19"/>
      <c r="G1492" s="4" t="str">
        <f t="shared" si="184"/>
        <v/>
      </c>
      <c r="H1492" s="11" t="str">
        <f t="shared" si="185"/>
        <v/>
      </c>
      <c r="I1492" s="55" t="str">
        <f t="shared" si="186"/>
        <v/>
      </c>
      <c r="J1492" s="55" t="str">
        <f t="shared" si="187"/>
        <v/>
      </c>
      <c r="K1492" s="4" t="str">
        <f t="shared" si="188"/>
        <v/>
      </c>
      <c r="L1492" s="19" t="str">
        <f t="shared" si="189"/>
        <v/>
      </c>
      <c r="M1492" s="12" t="str">
        <f>IF(A1492="","",IFERROR(INDEX(المدخلات!$M$4:$M$15,MATCH(A1492,المدخلات!$L$4:$L$15,0)),""))</f>
        <v/>
      </c>
      <c r="N1492" s="4" t="str">
        <f t="shared" si="190"/>
        <v/>
      </c>
      <c r="O1492" s="4" t="str">
        <f t="shared" si="191"/>
        <v/>
      </c>
    </row>
    <row r="1493" spans="1:15">
      <c r="A1493" s="11"/>
      <c r="B1493" s="19"/>
      <c r="C1493" s="19"/>
      <c r="D1493" s="55"/>
      <c r="E1493" s="56"/>
      <c r="F1493" s="19"/>
      <c r="G1493" s="4" t="str">
        <f t="shared" si="184"/>
        <v/>
      </c>
      <c r="H1493" s="11" t="str">
        <f t="shared" si="185"/>
        <v/>
      </c>
      <c r="I1493" s="55" t="str">
        <f t="shared" si="186"/>
        <v/>
      </c>
      <c r="J1493" s="55" t="str">
        <f t="shared" si="187"/>
        <v/>
      </c>
      <c r="K1493" s="4" t="str">
        <f t="shared" si="188"/>
        <v/>
      </c>
      <c r="L1493" s="19" t="str">
        <f t="shared" si="189"/>
        <v/>
      </c>
      <c r="M1493" s="12" t="str">
        <f>IF(A1493="","",IFERROR(INDEX(المدخلات!$M$4:$M$15,MATCH(A1493,المدخلات!$L$4:$L$15,0)),""))</f>
        <v/>
      </c>
      <c r="N1493" s="4" t="str">
        <f t="shared" si="190"/>
        <v/>
      </c>
      <c r="O1493" s="4" t="str">
        <f t="shared" si="191"/>
        <v/>
      </c>
    </row>
    <row r="1494" spans="1:15">
      <c r="A1494" s="11"/>
      <c r="B1494" s="19"/>
      <c r="C1494" s="19"/>
      <c r="D1494" s="55"/>
      <c r="E1494" s="56"/>
      <c r="F1494" s="19"/>
      <c r="G1494" s="4" t="str">
        <f t="shared" si="184"/>
        <v/>
      </c>
      <c r="H1494" s="11" t="str">
        <f t="shared" si="185"/>
        <v/>
      </c>
      <c r="I1494" s="55" t="str">
        <f t="shared" si="186"/>
        <v/>
      </c>
      <c r="J1494" s="55" t="str">
        <f t="shared" si="187"/>
        <v/>
      </c>
      <c r="K1494" s="4" t="str">
        <f t="shared" si="188"/>
        <v/>
      </c>
      <c r="L1494" s="19" t="str">
        <f t="shared" si="189"/>
        <v/>
      </c>
      <c r="M1494" s="12" t="str">
        <f>IF(A1494="","",IFERROR(INDEX(المدخلات!$M$4:$M$15,MATCH(A1494,المدخلات!$L$4:$L$15,0)),""))</f>
        <v/>
      </c>
      <c r="N1494" s="4" t="str">
        <f t="shared" si="190"/>
        <v/>
      </c>
      <c r="O1494" s="4" t="str">
        <f t="shared" si="191"/>
        <v/>
      </c>
    </row>
    <row r="1495" spans="1:15">
      <c r="A1495" s="11"/>
      <c r="B1495" s="19"/>
      <c r="C1495" s="19"/>
      <c r="D1495" s="55"/>
      <c r="E1495" s="56"/>
      <c r="F1495" s="19"/>
      <c r="G1495" s="4" t="str">
        <f t="shared" si="184"/>
        <v/>
      </c>
      <c r="H1495" s="11" t="str">
        <f t="shared" si="185"/>
        <v/>
      </c>
      <c r="I1495" s="55" t="str">
        <f t="shared" si="186"/>
        <v/>
      </c>
      <c r="J1495" s="55" t="str">
        <f t="shared" si="187"/>
        <v/>
      </c>
      <c r="K1495" s="4" t="str">
        <f t="shared" si="188"/>
        <v/>
      </c>
      <c r="L1495" s="19" t="str">
        <f t="shared" si="189"/>
        <v/>
      </c>
      <c r="M1495" s="12" t="str">
        <f>IF(A1495="","",IFERROR(INDEX(المدخلات!$M$4:$M$15,MATCH(A1495,المدخلات!$L$4:$L$15,0)),""))</f>
        <v/>
      </c>
      <c r="N1495" s="4" t="str">
        <f t="shared" si="190"/>
        <v/>
      </c>
      <c r="O1495" s="4" t="str">
        <f t="shared" si="191"/>
        <v/>
      </c>
    </row>
    <row r="1496" spans="1:15">
      <c r="A1496" s="11"/>
      <c r="B1496" s="19"/>
      <c r="C1496" s="19"/>
      <c r="D1496" s="55"/>
      <c r="E1496" s="56"/>
      <c r="F1496" s="19"/>
      <c r="G1496" s="4" t="str">
        <f t="shared" si="184"/>
        <v/>
      </c>
      <c r="H1496" s="11" t="str">
        <f t="shared" si="185"/>
        <v/>
      </c>
      <c r="I1496" s="55" t="str">
        <f t="shared" si="186"/>
        <v/>
      </c>
      <c r="J1496" s="55" t="str">
        <f t="shared" si="187"/>
        <v/>
      </c>
      <c r="K1496" s="4" t="str">
        <f t="shared" si="188"/>
        <v/>
      </c>
      <c r="L1496" s="19" t="str">
        <f t="shared" si="189"/>
        <v/>
      </c>
      <c r="M1496" s="12" t="str">
        <f>IF(A1496="","",IFERROR(INDEX(المدخلات!$M$4:$M$15,MATCH(A1496,المدخلات!$L$4:$L$15,0)),""))</f>
        <v/>
      </c>
      <c r="N1496" s="4" t="str">
        <f t="shared" si="190"/>
        <v/>
      </c>
      <c r="O1496" s="4" t="str">
        <f t="shared" si="191"/>
        <v/>
      </c>
    </row>
    <row r="1497" spans="1:15">
      <c r="A1497" s="11"/>
      <c r="B1497" s="19"/>
      <c r="C1497" s="19"/>
      <c r="D1497" s="55"/>
      <c r="E1497" s="56"/>
      <c r="F1497" s="19"/>
      <c r="G1497" s="4" t="str">
        <f t="shared" si="184"/>
        <v/>
      </c>
      <c r="H1497" s="11" t="str">
        <f t="shared" si="185"/>
        <v/>
      </c>
      <c r="I1497" s="55" t="str">
        <f t="shared" si="186"/>
        <v/>
      </c>
      <c r="J1497" s="55" t="str">
        <f t="shared" si="187"/>
        <v/>
      </c>
      <c r="K1497" s="4" t="str">
        <f t="shared" si="188"/>
        <v/>
      </c>
      <c r="L1497" s="19" t="str">
        <f t="shared" si="189"/>
        <v/>
      </c>
      <c r="M1497" s="12" t="str">
        <f>IF(A1497="","",IFERROR(INDEX(المدخلات!$M$4:$M$15,MATCH(A1497,المدخلات!$L$4:$L$15,0)),""))</f>
        <v/>
      </c>
      <c r="N1497" s="4" t="str">
        <f t="shared" si="190"/>
        <v/>
      </c>
      <c r="O1497" s="4" t="str">
        <f t="shared" si="191"/>
        <v/>
      </c>
    </row>
    <row r="1498" spans="1:15">
      <c r="A1498" s="11"/>
      <c r="B1498" s="19"/>
      <c r="C1498" s="19"/>
      <c r="D1498" s="55"/>
      <c r="E1498" s="56"/>
      <c r="F1498" s="19"/>
      <c r="G1498" s="4" t="str">
        <f t="shared" si="184"/>
        <v/>
      </c>
      <c r="H1498" s="11" t="str">
        <f t="shared" si="185"/>
        <v/>
      </c>
      <c r="I1498" s="55" t="str">
        <f t="shared" si="186"/>
        <v/>
      </c>
      <c r="J1498" s="55" t="str">
        <f t="shared" si="187"/>
        <v/>
      </c>
      <c r="K1498" s="4" t="str">
        <f t="shared" si="188"/>
        <v/>
      </c>
      <c r="L1498" s="19" t="str">
        <f t="shared" si="189"/>
        <v/>
      </c>
      <c r="M1498" s="12" t="str">
        <f>IF(A1498="","",IFERROR(INDEX(المدخلات!$M$4:$M$15,MATCH(A1498,المدخلات!$L$4:$L$15,0)),""))</f>
        <v/>
      </c>
      <c r="N1498" s="4" t="str">
        <f t="shared" si="190"/>
        <v/>
      </c>
      <c r="O1498" s="4" t="str">
        <f t="shared" si="191"/>
        <v/>
      </c>
    </row>
    <row r="1499" spans="1:15">
      <c r="A1499" s="11"/>
      <c r="B1499" s="19"/>
      <c r="C1499" s="19"/>
      <c r="D1499" s="55"/>
      <c r="E1499" s="56"/>
      <c r="F1499" s="19"/>
      <c r="G1499" s="4" t="str">
        <f t="shared" si="184"/>
        <v/>
      </c>
      <c r="H1499" s="11" t="str">
        <f t="shared" si="185"/>
        <v/>
      </c>
      <c r="I1499" s="55" t="str">
        <f t="shared" si="186"/>
        <v/>
      </c>
      <c r="J1499" s="55" t="str">
        <f t="shared" si="187"/>
        <v/>
      </c>
      <c r="K1499" s="4" t="str">
        <f t="shared" si="188"/>
        <v/>
      </c>
      <c r="L1499" s="19" t="str">
        <f t="shared" si="189"/>
        <v/>
      </c>
      <c r="M1499" s="12" t="str">
        <f>IF(A1499="","",IFERROR(INDEX(المدخلات!$M$4:$M$15,MATCH(A1499,المدخلات!$L$4:$L$15,0)),""))</f>
        <v/>
      </c>
      <c r="N1499" s="4" t="str">
        <f t="shared" si="190"/>
        <v/>
      </c>
      <c r="O1499" s="4" t="str">
        <f t="shared" si="191"/>
        <v/>
      </c>
    </row>
    <row r="1500" spans="1:15">
      <c r="A1500" s="11"/>
      <c r="B1500" s="19"/>
      <c r="C1500" s="19"/>
      <c r="D1500" s="55"/>
      <c r="E1500" s="56"/>
      <c r="F1500" s="19"/>
      <c r="G1500" s="4" t="str">
        <f t="shared" si="184"/>
        <v/>
      </c>
      <c r="H1500" s="11" t="str">
        <f t="shared" si="185"/>
        <v/>
      </c>
      <c r="I1500" s="55" t="str">
        <f t="shared" si="186"/>
        <v/>
      </c>
      <c r="J1500" s="55" t="str">
        <f t="shared" si="187"/>
        <v/>
      </c>
      <c r="K1500" s="4" t="str">
        <f t="shared" si="188"/>
        <v/>
      </c>
      <c r="L1500" s="19" t="str">
        <f t="shared" si="189"/>
        <v/>
      </c>
      <c r="M1500" s="12" t="str">
        <f>IF(A1500="","",IFERROR(INDEX(المدخلات!$M$4:$M$15,MATCH(A1500,المدخلات!$L$4:$L$15,0)),""))</f>
        <v/>
      </c>
      <c r="N1500" s="4" t="str">
        <f t="shared" si="190"/>
        <v/>
      </c>
      <c r="O1500" s="4" t="str">
        <f t="shared" si="191"/>
        <v/>
      </c>
    </row>
    <row r="1501" spans="1:15">
      <c r="A1501" s="11"/>
      <c r="B1501" s="19"/>
      <c r="C1501" s="19"/>
      <c r="D1501" s="55"/>
      <c r="E1501" s="56"/>
      <c r="F1501" s="19"/>
      <c r="G1501" s="4" t="str">
        <f t="shared" si="184"/>
        <v/>
      </c>
      <c r="H1501" s="11" t="str">
        <f t="shared" si="185"/>
        <v/>
      </c>
      <c r="I1501" s="55" t="str">
        <f t="shared" si="186"/>
        <v/>
      </c>
      <c r="J1501" s="55" t="str">
        <f t="shared" si="187"/>
        <v/>
      </c>
      <c r="K1501" s="4" t="str">
        <f t="shared" si="188"/>
        <v/>
      </c>
      <c r="L1501" s="19" t="str">
        <f t="shared" si="189"/>
        <v/>
      </c>
      <c r="M1501" s="12" t="str">
        <f>IF(A1501="","",IFERROR(INDEX(المدخلات!$M$4:$M$15,MATCH(A1501,المدخلات!$L$4:$L$15,0)),""))</f>
        <v/>
      </c>
      <c r="N1501" s="4" t="str">
        <f t="shared" si="190"/>
        <v/>
      </c>
      <c r="O1501" s="4" t="str">
        <f t="shared" si="191"/>
        <v/>
      </c>
    </row>
    <row r="1502" spans="1:15">
      <c r="A1502" s="11"/>
      <c r="B1502" s="19"/>
      <c r="C1502" s="19"/>
      <c r="D1502" s="55"/>
      <c r="E1502" s="56"/>
      <c r="F1502" s="19"/>
      <c r="G1502" s="4" t="str">
        <f t="shared" si="184"/>
        <v/>
      </c>
      <c r="H1502" s="11" t="str">
        <f t="shared" si="185"/>
        <v/>
      </c>
      <c r="I1502" s="55" t="str">
        <f t="shared" si="186"/>
        <v/>
      </c>
      <c r="J1502" s="55" t="str">
        <f t="shared" si="187"/>
        <v/>
      </c>
      <c r="K1502" s="4" t="str">
        <f t="shared" si="188"/>
        <v/>
      </c>
      <c r="L1502" s="19" t="str">
        <f t="shared" si="189"/>
        <v/>
      </c>
      <c r="M1502" s="12" t="str">
        <f>IF(A1502="","",IFERROR(INDEX(المدخلات!$M$4:$M$15,MATCH(A1502,المدخلات!$L$4:$L$15,0)),""))</f>
        <v/>
      </c>
      <c r="N1502" s="4" t="str">
        <f t="shared" si="190"/>
        <v/>
      </c>
      <c r="O1502" s="4" t="str">
        <f t="shared" si="191"/>
        <v/>
      </c>
    </row>
    <row r="1503" spans="1:15">
      <c r="A1503" s="11"/>
      <c r="B1503" s="19"/>
      <c r="C1503" s="19"/>
      <c r="D1503" s="55"/>
      <c r="E1503" s="56"/>
      <c r="F1503" s="19"/>
      <c r="G1503" s="4" t="str">
        <f t="shared" si="184"/>
        <v/>
      </c>
      <c r="H1503" s="11" t="str">
        <f t="shared" si="185"/>
        <v/>
      </c>
      <c r="I1503" s="55" t="str">
        <f t="shared" si="186"/>
        <v/>
      </c>
      <c r="J1503" s="55" t="str">
        <f t="shared" si="187"/>
        <v/>
      </c>
      <c r="K1503" s="4" t="str">
        <f t="shared" si="188"/>
        <v/>
      </c>
      <c r="L1503" s="19" t="str">
        <f t="shared" si="189"/>
        <v/>
      </c>
      <c r="M1503" s="12" t="str">
        <f>IF(A1503="","",IFERROR(INDEX(المدخلات!$M$4:$M$15,MATCH(A1503,المدخلات!$L$4:$L$15,0)),""))</f>
        <v/>
      </c>
      <c r="N1503" s="4" t="str">
        <f t="shared" si="190"/>
        <v/>
      </c>
      <c r="O1503" s="4" t="str">
        <f t="shared" si="191"/>
        <v/>
      </c>
    </row>
    <row r="1504" spans="1:15">
      <c r="A1504" s="11"/>
      <c r="B1504" s="19"/>
      <c r="C1504" s="19"/>
      <c r="D1504" s="55"/>
      <c r="E1504" s="56"/>
      <c r="F1504" s="19"/>
      <c r="G1504" s="4" t="str">
        <f t="shared" si="184"/>
        <v/>
      </c>
      <c r="H1504" s="11" t="str">
        <f t="shared" si="185"/>
        <v/>
      </c>
      <c r="I1504" s="55" t="str">
        <f t="shared" si="186"/>
        <v/>
      </c>
      <c r="J1504" s="55" t="str">
        <f t="shared" si="187"/>
        <v/>
      </c>
      <c r="K1504" s="4" t="str">
        <f t="shared" si="188"/>
        <v/>
      </c>
      <c r="L1504" s="19" t="str">
        <f t="shared" si="189"/>
        <v/>
      </c>
      <c r="M1504" s="12" t="str">
        <f>IF(A1504="","",IFERROR(INDEX(المدخلات!$M$4:$M$15,MATCH(A1504,المدخلات!$L$4:$L$15,0)),""))</f>
        <v/>
      </c>
      <c r="N1504" s="4" t="str">
        <f t="shared" si="190"/>
        <v/>
      </c>
      <c r="O1504" s="4" t="str">
        <f t="shared" si="191"/>
        <v/>
      </c>
    </row>
    <row r="1505" spans="1:15">
      <c r="A1505" s="11"/>
      <c r="B1505" s="19"/>
      <c r="C1505" s="19"/>
      <c r="D1505" s="55"/>
      <c r="E1505" s="56"/>
      <c r="F1505" s="19"/>
      <c r="G1505" s="4" t="str">
        <f t="shared" si="184"/>
        <v/>
      </c>
      <c r="H1505" s="11" t="str">
        <f t="shared" si="185"/>
        <v/>
      </c>
      <c r="I1505" s="55" t="str">
        <f t="shared" si="186"/>
        <v/>
      </c>
      <c r="J1505" s="55" t="str">
        <f t="shared" si="187"/>
        <v/>
      </c>
      <c r="K1505" s="4" t="str">
        <f t="shared" si="188"/>
        <v/>
      </c>
      <c r="L1505" s="19" t="str">
        <f t="shared" si="189"/>
        <v/>
      </c>
      <c r="M1505" s="12" t="str">
        <f>IF(A1505="","",IFERROR(INDEX(المدخلات!$M$4:$M$15,MATCH(A1505,المدخلات!$L$4:$L$15,0)),""))</f>
        <v/>
      </c>
      <c r="N1505" s="4" t="str">
        <f t="shared" si="190"/>
        <v/>
      </c>
      <c r="O1505" s="4" t="str">
        <f t="shared" si="191"/>
        <v/>
      </c>
    </row>
    <row r="1506" spans="1:15">
      <c r="A1506" s="11"/>
      <c r="B1506" s="19"/>
      <c r="C1506" s="19"/>
      <c r="D1506" s="55"/>
      <c r="E1506" s="56"/>
      <c r="F1506" s="19"/>
      <c r="G1506" s="4" t="str">
        <f t="shared" si="184"/>
        <v/>
      </c>
      <c r="H1506" s="11" t="str">
        <f t="shared" si="185"/>
        <v/>
      </c>
      <c r="I1506" s="55" t="str">
        <f t="shared" si="186"/>
        <v/>
      </c>
      <c r="J1506" s="55" t="str">
        <f t="shared" si="187"/>
        <v/>
      </c>
      <c r="K1506" s="4" t="str">
        <f t="shared" si="188"/>
        <v/>
      </c>
      <c r="L1506" s="19" t="str">
        <f t="shared" si="189"/>
        <v/>
      </c>
      <c r="M1506" s="12" t="str">
        <f>IF(A1506="","",IFERROR(INDEX(المدخلات!$M$4:$M$15,MATCH(A1506,المدخلات!$L$4:$L$15,0)),""))</f>
        <v/>
      </c>
      <c r="N1506" s="4" t="str">
        <f t="shared" si="190"/>
        <v/>
      </c>
      <c r="O1506" s="4" t="str">
        <f t="shared" si="191"/>
        <v/>
      </c>
    </row>
    <row r="1507" spans="1:15">
      <c r="A1507" s="11"/>
      <c r="B1507" s="19"/>
      <c r="C1507" s="19"/>
      <c r="D1507" s="55"/>
      <c r="E1507" s="56"/>
      <c r="F1507" s="19"/>
      <c r="G1507" s="4" t="str">
        <f t="shared" si="184"/>
        <v/>
      </c>
      <c r="H1507" s="11" t="str">
        <f t="shared" si="185"/>
        <v/>
      </c>
      <c r="I1507" s="55" t="str">
        <f t="shared" si="186"/>
        <v/>
      </c>
      <c r="J1507" s="55" t="str">
        <f t="shared" si="187"/>
        <v/>
      </c>
      <c r="K1507" s="4" t="str">
        <f t="shared" si="188"/>
        <v/>
      </c>
      <c r="L1507" s="19" t="str">
        <f t="shared" si="189"/>
        <v/>
      </c>
      <c r="M1507" s="12" t="str">
        <f>IF(A1507="","",IFERROR(INDEX(المدخلات!$M$4:$M$15,MATCH(A1507,المدخلات!$L$4:$L$15,0)),""))</f>
        <v/>
      </c>
      <c r="N1507" s="4" t="str">
        <f t="shared" si="190"/>
        <v/>
      </c>
      <c r="O1507" s="4" t="str">
        <f t="shared" si="191"/>
        <v/>
      </c>
    </row>
    <row r="1508" spans="1:15">
      <c r="A1508" s="11"/>
      <c r="B1508" s="19"/>
      <c r="C1508" s="19"/>
      <c r="D1508" s="55"/>
      <c r="E1508" s="56"/>
      <c r="F1508" s="19"/>
      <c r="G1508" s="4" t="str">
        <f t="shared" si="184"/>
        <v/>
      </c>
      <c r="H1508" s="11" t="str">
        <f t="shared" si="185"/>
        <v/>
      </c>
      <c r="I1508" s="55" t="str">
        <f t="shared" si="186"/>
        <v/>
      </c>
      <c r="J1508" s="55" t="str">
        <f t="shared" si="187"/>
        <v/>
      </c>
      <c r="K1508" s="4" t="str">
        <f t="shared" si="188"/>
        <v/>
      </c>
      <c r="L1508" s="19" t="str">
        <f t="shared" si="189"/>
        <v/>
      </c>
      <c r="M1508" s="12" t="str">
        <f>IF(A1508="","",IFERROR(INDEX(المدخلات!$M$4:$M$15,MATCH(A1508,المدخلات!$L$4:$L$15,0)),""))</f>
        <v/>
      </c>
      <c r="N1508" s="4" t="str">
        <f t="shared" si="190"/>
        <v/>
      </c>
      <c r="O1508" s="4" t="str">
        <f t="shared" si="191"/>
        <v/>
      </c>
    </row>
    <row r="1509" spans="1:15">
      <c r="A1509" s="11"/>
      <c r="B1509" s="19"/>
      <c r="C1509" s="19"/>
      <c r="D1509" s="55"/>
      <c r="E1509" s="56"/>
      <c r="F1509" s="19"/>
      <c r="G1509" s="4" t="str">
        <f t="shared" si="184"/>
        <v/>
      </c>
      <c r="H1509" s="11" t="str">
        <f t="shared" si="185"/>
        <v/>
      </c>
      <c r="I1509" s="55" t="str">
        <f t="shared" si="186"/>
        <v/>
      </c>
      <c r="J1509" s="55" t="str">
        <f t="shared" si="187"/>
        <v/>
      </c>
      <c r="K1509" s="4" t="str">
        <f t="shared" si="188"/>
        <v/>
      </c>
      <c r="L1509" s="19" t="str">
        <f t="shared" si="189"/>
        <v/>
      </c>
      <c r="M1509" s="12" t="str">
        <f>IF(A1509="","",IFERROR(INDEX(المدخلات!$M$4:$M$15,MATCH(A1509,المدخلات!$L$4:$L$15,0)),""))</f>
        <v/>
      </c>
      <c r="N1509" s="4" t="str">
        <f t="shared" si="190"/>
        <v/>
      </c>
      <c r="O1509" s="4" t="str">
        <f t="shared" si="191"/>
        <v/>
      </c>
    </row>
    <row r="1510" spans="1:15">
      <c r="A1510" s="11"/>
      <c r="B1510" s="19"/>
      <c r="C1510" s="19"/>
      <c r="D1510" s="55"/>
      <c r="E1510" s="56"/>
      <c r="F1510" s="19"/>
      <c r="G1510" s="4" t="str">
        <f t="shared" si="184"/>
        <v/>
      </c>
      <c r="H1510" s="11" t="str">
        <f t="shared" si="185"/>
        <v/>
      </c>
      <c r="I1510" s="55" t="str">
        <f t="shared" si="186"/>
        <v/>
      </c>
      <c r="J1510" s="55" t="str">
        <f t="shared" si="187"/>
        <v/>
      </c>
      <c r="K1510" s="4" t="str">
        <f t="shared" si="188"/>
        <v/>
      </c>
      <c r="L1510" s="19" t="str">
        <f t="shared" si="189"/>
        <v/>
      </c>
      <c r="M1510" s="12" t="str">
        <f>IF(A1510="","",IFERROR(INDEX(المدخلات!$M$4:$M$15,MATCH(A1510,المدخلات!$L$4:$L$15,0)),""))</f>
        <v/>
      </c>
      <c r="N1510" s="4" t="str">
        <f t="shared" si="190"/>
        <v/>
      </c>
      <c r="O1510" s="4" t="str">
        <f t="shared" si="191"/>
        <v/>
      </c>
    </row>
    <row r="1511" spans="1:15">
      <c r="A1511" s="11"/>
      <c r="B1511" s="19"/>
      <c r="C1511" s="19"/>
      <c r="D1511" s="55"/>
      <c r="E1511" s="56"/>
      <c r="F1511" s="19"/>
      <c r="G1511" s="4" t="str">
        <f t="shared" si="184"/>
        <v/>
      </c>
      <c r="H1511" s="11" t="str">
        <f t="shared" si="185"/>
        <v/>
      </c>
      <c r="I1511" s="55" t="str">
        <f t="shared" si="186"/>
        <v/>
      </c>
      <c r="J1511" s="55" t="str">
        <f t="shared" si="187"/>
        <v/>
      </c>
      <c r="K1511" s="4" t="str">
        <f t="shared" si="188"/>
        <v/>
      </c>
      <c r="L1511" s="19" t="str">
        <f t="shared" si="189"/>
        <v/>
      </c>
      <c r="M1511" s="12" t="str">
        <f>IF(A1511="","",IFERROR(INDEX(المدخلات!$M$4:$M$15,MATCH(A1511,المدخلات!$L$4:$L$15,0)),""))</f>
        <v/>
      </c>
      <c r="N1511" s="4" t="str">
        <f t="shared" si="190"/>
        <v/>
      </c>
      <c r="O1511" s="4" t="str">
        <f t="shared" si="191"/>
        <v/>
      </c>
    </row>
    <row r="1512" spans="1:15">
      <c r="A1512" s="11"/>
      <c r="B1512" s="19"/>
      <c r="C1512" s="19"/>
      <c r="D1512" s="55"/>
      <c r="E1512" s="56"/>
      <c r="F1512" s="19"/>
      <c r="G1512" s="4" t="str">
        <f t="shared" si="184"/>
        <v/>
      </c>
      <c r="H1512" s="11" t="str">
        <f t="shared" si="185"/>
        <v/>
      </c>
      <c r="I1512" s="55" t="str">
        <f t="shared" si="186"/>
        <v/>
      </c>
      <c r="J1512" s="55" t="str">
        <f t="shared" si="187"/>
        <v/>
      </c>
      <c r="K1512" s="4" t="str">
        <f t="shared" si="188"/>
        <v/>
      </c>
      <c r="L1512" s="19" t="str">
        <f t="shared" si="189"/>
        <v/>
      </c>
      <c r="M1512" s="12" t="str">
        <f>IF(A1512="","",IFERROR(INDEX(المدخلات!$M$4:$M$15,MATCH(A1512,المدخلات!$L$4:$L$15,0)),""))</f>
        <v/>
      </c>
      <c r="N1512" s="4" t="str">
        <f t="shared" si="190"/>
        <v/>
      </c>
      <c r="O1512" s="4" t="str">
        <f t="shared" si="191"/>
        <v/>
      </c>
    </row>
    <row r="1513" spans="1:15">
      <c r="A1513" s="11"/>
      <c r="B1513" s="19"/>
      <c r="C1513" s="19"/>
      <c r="D1513" s="55"/>
      <c r="E1513" s="56"/>
      <c r="F1513" s="19"/>
      <c r="G1513" s="4" t="str">
        <f t="shared" si="184"/>
        <v/>
      </c>
      <c r="H1513" s="11" t="str">
        <f t="shared" si="185"/>
        <v/>
      </c>
      <c r="I1513" s="55" t="str">
        <f t="shared" si="186"/>
        <v/>
      </c>
      <c r="J1513" s="55" t="str">
        <f t="shared" si="187"/>
        <v/>
      </c>
      <c r="K1513" s="4" t="str">
        <f t="shared" si="188"/>
        <v/>
      </c>
      <c r="L1513" s="19" t="str">
        <f t="shared" si="189"/>
        <v/>
      </c>
      <c r="M1513" s="12" t="str">
        <f>IF(A1513="","",IFERROR(INDEX(المدخلات!$M$4:$M$15,MATCH(A1513,المدخلات!$L$4:$L$15,0)),""))</f>
        <v/>
      </c>
      <c r="N1513" s="4" t="str">
        <f t="shared" si="190"/>
        <v/>
      </c>
      <c r="O1513" s="4" t="str">
        <f t="shared" si="191"/>
        <v/>
      </c>
    </row>
    <row r="1514" spans="1:15">
      <c r="A1514" s="11"/>
      <c r="B1514" s="19"/>
      <c r="C1514" s="19"/>
      <c r="D1514" s="55"/>
      <c r="E1514" s="56"/>
      <c r="F1514" s="19"/>
      <c r="G1514" s="4" t="str">
        <f t="shared" si="184"/>
        <v/>
      </c>
      <c r="H1514" s="11" t="str">
        <f t="shared" si="185"/>
        <v/>
      </c>
      <c r="I1514" s="55" t="str">
        <f t="shared" si="186"/>
        <v/>
      </c>
      <c r="J1514" s="55" t="str">
        <f t="shared" si="187"/>
        <v/>
      </c>
      <c r="K1514" s="4" t="str">
        <f t="shared" si="188"/>
        <v/>
      </c>
      <c r="L1514" s="19" t="str">
        <f t="shared" si="189"/>
        <v/>
      </c>
      <c r="M1514" s="12" t="str">
        <f>IF(A1514="","",IFERROR(INDEX(المدخلات!$M$4:$M$15,MATCH(A1514,المدخلات!$L$4:$L$15,0)),""))</f>
        <v/>
      </c>
      <c r="N1514" s="4" t="str">
        <f t="shared" si="190"/>
        <v/>
      </c>
      <c r="O1514" s="4" t="str">
        <f t="shared" si="191"/>
        <v/>
      </c>
    </row>
    <row r="1515" spans="1:15">
      <c r="A1515" s="11"/>
      <c r="B1515" s="19"/>
      <c r="C1515" s="19"/>
      <c r="D1515" s="55"/>
      <c r="E1515" s="56"/>
      <c r="F1515" s="19"/>
      <c r="G1515" s="4" t="str">
        <f t="shared" si="184"/>
        <v/>
      </c>
      <c r="H1515" s="11" t="str">
        <f t="shared" si="185"/>
        <v/>
      </c>
      <c r="I1515" s="55" t="str">
        <f t="shared" si="186"/>
        <v/>
      </c>
      <c r="J1515" s="55" t="str">
        <f t="shared" si="187"/>
        <v/>
      </c>
      <c r="K1515" s="4" t="str">
        <f t="shared" si="188"/>
        <v/>
      </c>
      <c r="L1515" s="19" t="str">
        <f t="shared" si="189"/>
        <v/>
      </c>
      <c r="M1515" s="12" t="str">
        <f>IF(A1515="","",IFERROR(INDEX(المدخلات!$M$4:$M$15,MATCH(A1515,المدخلات!$L$4:$L$15,0)),""))</f>
        <v/>
      </c>
      <c r="N1515" s="4" t="str">
        <f t="shared" si="190"/>
        <v/>
      </c>
      <c r="O1515" s="4" t="str">
        <f t="shared" si="191"/>
        <v/>
      </c>
    </row>
    <row r="1516" spans="1:15">
      <c r="A1516" s="11"/>
      <c r="B1516" s="19"/>
      <c r="C1516" s="19"/>
      <c r="D1516" s="55"/>
      <c r="E1516" s="56"/>
      <c r="F1516" s="19"/>
      <c r="G1516" s="4" t="str">
        <f t="shared" si="184"/>
        <v/>
      </c>
      <c r="H1516" s="11" t="str">
        <f t="shared" si="185"/>
        <v/>
      </c>
      <c r="I1516" s="55" t="str">
        <f t="shared" si="186"/>
        <v/>
      </c>
      <c r="J1516" s="55" t="str">
        <f t="shared" si="187"/>
        <v/>
      </c>
      <c r="K1516" s="4" t="str">
        <f t="shared" si="188"/>
        <v/>
      </c>
      <c r="L1516" s="19" t="str">
        <f t="shared" si="189"/>
        <v/>
      </c>
      <c r="M1516" s="12" t="str">
        <f>IF(A1516="","",IFERROR(INDEX(المدخلات!$M$4:$M$15,MATCH(A1516,المدخلات!$L$4:$L$15,0)),""))</f>
        <v/>
      </c>
      <c r="N1516" s="4" t="str">
        <f t="shared" si="190"/>
        <v/>
      </c>
      <c r="O1516" s="4" t="str">
        <f t="shared" si="191"/>
        <v/>
      </c>
    </row>
    <row r="1517" spans="1:15">
      <c r="A1517" s="11"/>
      <c r="B1517" s="19"/>
      <c r="C1517" s="19"/>
      <c r="D1517" s="55"/>
      <c r="E1517" s="56"/>
      <c r="F1517" s="19"/>
      <c r="G1517" s="4" t="str">
        <f t="shared" si="184"/>
        <v/>
      </c>
      <c r="H1517" s="11" t="str">
        <f t="shared" si="185"/>
        <v/>
      </c>
      <c r="I1517" s="55" t="str">
        <f t="shared" si="186"/>
        <v/>
      </c>
      <c r="J1517" s="55" t="str">
        <f t="shared" si="187"/>
        <v/>
      </c>
      <c r="K1517" s="4" t="str">
        <f t="shared" si="188"/>
        <v/>
      </c>
      <c r="L1517" s="19" t="str">
        <f t="shared" si="189"/>
        <v/>
      </c>
      <c r="M1517" s="12" t="str">
        <f>IF(A1517="","",IFERROR(INDEX(المدخلات!$M$4:$M$15,MATCH(A1517,المدخلات!$L$4:$L$15,0)),""))</f>
        <v/>
      </c>
      <c r="N1517" s="4" t="str">
        <f t="shared" si="190"/>
        <v/>
      </c>
      <c r="O1517" s="4" t="str">
        <f t="shared" si="191"/>
        <v/>
      </c>
    </row>
    <row r="1518" spans="1:15">
      <c r="A1518" s="11"/>
      <c r="B1518" s="19"/>
      <c r="C1518" s="19"/>
      <c r="D1518" s="55"/>
      <c r="E1518" s="56"/>
      <c r="F1518" s="19"/>
      <c r="G1518" s="4" t="str">
        <f t="shared" si="184"/>
        <v/>
      </c>
      <c r="H1518" s="11" t="str">
        <f t="shared" si="185"/>
        <v/>
      </c>
      <c r="I1518" s="55" t="str">
        <f t="shared" si="186"/>
        <v/>
      </c>
      <c r="J1518" s="55" t="str">
        <f t="shared" si="187"/>
        <v/>
      </c>
      <c r="K1518" s="4" t="str">
        <f t="shared" si="188"/>
        <v/>
      </c>
      <c r="L1518" s="19" t="str">
        <f t="shared" si="189"/>
        <v/>
      </c>
      <c r="M1518" s="12" t="str">
        <f>IF(A1518="","",IFERROR(INDEX(المدخلات!$M$4:$M$15,MATCH(A1518,المدخلات!$L$4:$L$15,0)),""))</f>
        <v/>
      </c>
      <c r="N1518" s="4" t="str">
        <f t="shared" si="190"/>
        <v/>
      </c>
      <c r="O1518" s="4" t="str">
        <f t="shared" si="191"/>
        <v/>
      </c>
    </row>
    <row r="1519" spans="1:15">
      <c r="A1519" s="11"/>
      <c r="B1519" s="19"/>
      <c r="C1519" s="19"/>
      <c r="D1519" s="55"/>
      <c r="E1519" s="56"/>
      <c r="F1519" s="19"/>
      <c r="G1519" s="4" t="str">
        <f t="shared" si="184"/>
        <v/>
      </c>
      <c r="H1519" s="11" t="str">
        <f t="shared" si="185"/>
        <v/>
      </c>
      <c r="I1519" s="55" t="str">
        <f t="shared" si="186"/>
        <v/>
      </c>
      <c r="J1519" s="55" t="str">
        <f t="shared" si="187"/>
        <v/>
      </c>
      <c r="K1519" s="4" t="str">
        <f t="shared" si="188"/>
        <v/>
      </c>
      <c r="L1519" s="19" t="str">
        <f t="shared" si="189"/>
        <v/>
      </c>
      <c r="M1519" s="12" t="str">
        <f>IF(A1519="","",IFERROR(INDEX(المدخلات!$M$4:$M$15,MATCH(A1519,المدخلات!$L$4:$L$15,0)),""))</f>
        <v/>
      </c>
      <c r="N1519" s="4" t="str">
        <f t="shared" si="190"/>
        <v/>
      </c>
      <c r="O1519" s="4" t="str">
        <f t="shared" si="191"/>
        <v/>
      </c>
    </row>
    <row r="1520" spans="1:15">
      <c r="A1520" s="11"/>
      <c r="B1520" s="19"/>
      <c r="C1520" s="19"/>
      <c r="D1520" s="55"/>
      <c r="E1520" s="56"/>
      <c r="F1520" s="19"/>
      <c r="G1520" s="4" t="str">
        <f t="shared" si="184"/>
        <v/>
      </c>
      <c r="H1520" s="11" t="str">
        <f t="shared" si="185"/>
        <v/>
      </c>
      <c r="I1520" s="55" t="str">
        <f t="shared" si="186"/>
        <v/>
      </c>
      <c r="J1520" s="55" t="str">
        <f t="shared" si="187"/>
        <v/>
      </c>
      <c r="K1520" s="4" t="str">
        <f t="shared" si="188"/>
        <v/>
      </c>
      <c r="L1520" s="19" t="str">
        <f t="shared" si="189"/>
        <v/>
      </c>
      <c r="M1520" s="12" t="str">
        <f>IF(A1520="","",IFERROR(INDEX(المدخلات!$M$4:$M$15,MATCH(A1520,المدخلات!$L$4:$L$15,0)),""))</f>
        <v/>
      </c>
      <c r="N1520" s="4" t="str">
        <f t="shared" si="190"/>
        <v/>
      </c>
      <c r="O1520" s="4" t="str">
        <f t="shared" si="191"/>
        <v/>
      </c>
    </row>
    <row r="1521" spans="1:15">
      <c r="A1521" s="11"/>
      <c r="B1521" s="19"/>
      <c r="C1521" s="19"/>
      <c r="D1521" s="55"/>
      <c r="E1521" s="56"/>
      <c r="F1521" s="19"/>
      <c r="G1521" s="4" t="str">
        <f t="shared" si="184"/>
        <v/>
      </c>
      <c r="H1521" s="11" t="str">
        <f t="shared" si="185"/>
        <v/>
      </c>
      <c r="I1521" s="55" t="str">
        <f t="shared" si="186"/>
        <v/>
      </c>
      <c r="J1521" s="55" t="str">
        <f t="shared" si="187"/>
        <v/>
      </c>
      <c r="K1521" s="4" t="str">
        <f t="shared" si="188"/>
        <v/>
      </c>
      <c r="L1521" s="19" t="str">
        <f t="shared" si="189"/>
        <v/>
      </c>
      <c r="M1521" s="12" t="str">
        <f>IF(A1521="","",IFERROR(INDEX(المدخلات!$M$4:$M$15,MATCH(A1521,المدخلات!$L$4:$L$15,0)),""))</f>
        <v/>
      </c>
      <c r="N1521" s="4" t="str">
        <f t="shared" si="190"/>
        <v/>
      </c>
      <c r="O1521" s="4" t="str">
        <f t="shared" si="191"/>
        <v/>
      </c>
    </row>
    <row r="1522" spans="1:15">
      <c r="A1522" s="11"/>
      <c r="B1522" s="19"/>
      <c r="C1522" s="19"/>
      <c r="D1522" s="55"/>
      <c r="E1522" s="56"/>
      <c r="F1522" s="19"/>
      <c r="G1522" s="4" t="str">
        <f t="shared" si="184"/>
        <v/>
      </c>
      <c r="H1522" s="11" t="str">
        <f t="shared" si="185"/>
        <v/>
      </c>
      <c r="I1522" s="55" t="str">
        <f t="shared" si="186"/>
        <v/>
      </c>
      <c r="J1522" s="55" t="str">
        <f t="shared" si="187"/>
        <v/>
      </c>
      <c r="K1522" s="4" t="str">
        <f t="shared" si="188"/>
        <v/>
      </c>
      <c r="L1522" s="19" t="str">
        <f t="shared" si="189"/>
        <v/>
      </c>
      <c r="M1522" s="12" t="str">
        <f>IF(A1522="","",IFERROR(INDEX(المدخلات!$M$4:$M$15,MATCH(A1522,المدخلات!$L$4:$L$15,0)),""))</f>
        <v/>
      </c>
      <c r="N1522" s="4" t="str">
        <f t="shared" si="190"/>
        <v/>
      </c>
      <c r="O1522" s="4" t="str">
        <f t="shared" si="191"/>
        <v/>
      </c>
    </row>
    <row r="1523" spans="1:15">
      <c r="A1523" s="11"/>
      <c r="B1523" s="19"/>
      <c r="C1523" s="19"/>
      <c r="D1523" s="55"/>
      <c r="E1523" s="56"/>
      <c r="F1523" s="19"/>
      <c r="G1523" s="4" t="str">
        <f t="shared" si="184"/>
        <v/>
      </c>
      <c r="H1523" s="11" t="str">
        <f t="shared" si="185"/>
        <v/>
      </c>
      <c r="I1523" s="55" t="str">
        <f t="shared" si="186"/>
        <v/>
      </c>
      <c r="J1523" s="55" t="str">
        <f t="shared" si="187"/>
        <v/>
      </c>
      <c r="K1523" s="4" t="str">
        <f t="shared" si="188"/>
        <v/>
      </c>
      <c r="L1523" s="19" t="str">
        <f t="shared" si="189"/>
        <v/>
      </c>
      <c r="M1523" s="12" t="str">
        <f>IF(A1523="","",IFERROR(INDEX(المدخلات!$M$4:$M$15,MATCH(A1523,المدخلات!$L$4:$L$15,0)),""))</f>
        <v/>
      </c>
      <c r="N1523" s="4" t="str">
        <f t="shared" si="190"/>
        <v/>
      </c>
      <c r="O1523" s="4" t="str">
        <f t="shared" si="191"/>
        <v/>
      </c>
    </row>
    <row r="1524" spans="1:15">
      <c r="A1524" s="11"/>
      <c r="B1524" s="19"/>
      <c r="C1524" s="19"/>
      <c r="D1524" s="55"/>
      <c r="E1524" s="56"/>
      <c r="F1524" s="19"/>
      <c r="G1524" s="4" t="str">
        <f t="shared" si="184"/>
        <v/>
      </c>
      <c r="H1524" s="11" t="str">
        <f t="shared" si="185"/>
        <v/>
      </c>
      <c r="I1524" s="55" t="str">
        <f t="shared" si="186"/>
        <v/>
      </c>
      <c r="J1524" s="55" t="str">
        <f t="shared" si="187"/>
        <v/>
      </c>
      <c r="K1524" s="4" t="str">
        <f t="shared" si="188"/>
        <v/>
      </c>
      <c r="L1524" s="19" t="str">
        <f t="shared" si="189"/>
        <v/>
      </c>
      <c r="M1524" s="12" t="str">
        <f>IF(A1524="","",IFERROR(INDEX(المدخلات!$M$4:$M$15,MATCH(A1524,المدخلات!$L$4:$L$15,0)),""))</f>
        <v/>
      </c>
      <c r="N1524" s="4" t="str">
        <f t="shared" si="190"/>
        <v/>
      </c>
      <c r="O1524" s="4" t="str">
        <f t="shared" si="191"/>
        <v/>
      </c>
    </row>
    <row r="1525" spans="1:15">
      <c r="A1525" s="11"/>
      <c r="B1525" s="19"/>
      <c r="C1525" s="19"/>
      <c r="D1525" s="55"/>
      <c r="E1525" s="56"/>
      <c r="F1525" s="19"/>
      <c r="G1525" s="4" t="str">
        <f t="shared" si="184"/>
        <v/>
      </c>
      <c r="H1525" s="11" t="str">
        <f t="shared" si="185"/>
        <v/>
      </c>
      <c r="I1525" s="55" t="str">
        <f t="shared" si="186"/>
        <v/>
      </c>
      <c r="J1525" s="55" t="str">
        <f t="shared" si="187"/>
        <v/>
      </c>
      <c r="K1525" s="4" t="str">
        <f t="shared" si="188"/>
        <v/>
      </c>
      <c r="L1525" s="19" t="str">
        <f t="shared" si="189"/>
        <v/>
      </c>
      <c r="M1525" s="12" t="str">
        <f>IF(A1525="","",IFERROR(INDEX(المدخلات!$M$4:$M$15,MATCH(A1525,المدخلات!$L$4:$L$15,0)),""))</f>
        <v/>
      </c>
      <c r="N1525" s="4" t="str">
        <f t="shared" si="190"/>
        <v/>
      </c>
      <c r="O1525" s="4" t="str">
        <f t="shared" si="191"/>
        <v/>
      </c>
    </row>
    <row r="1526" spans="1:15">
      <c r="A1526" s="11"/>
      <c r="B1526" s="19"/>
      <c r="C1526" s="19"/>
      <c r="D1526" s="55"/>
      <c r="E1526" s="56"/>
      <c r="F1526" s="19"/>
      <c r="G1526" s="4" t="str">
        <f t="shared" si="184"/>
        <v/>
      </c>
      <c r="H1526" s="11" t="str">
        <f t="shared" si="185"/>
        <v/>
      </c>
      <c r="I1526" s="55" t="str">
        <f t="shared" si="186"/>
        <v/>
      </c>
      <c r="J1526" s="55" t="str">
        <f t="shared" si="187"/>
        <v/>
      </c>
      <c r="K1526" s="4" t="str">
        <f t="shared" si="188"/>
        <v/>
      </c>
      <c r="L1526" s="19" t="str">
        <f t="shared" si="189"/>
        <v/>
      </c>
      <c r="M1526" s="12" t="str">
        <f>IF(A1526="","",IFERROR(INDEX(المدخلات!$M$4:$M$15,MATCH(A1526,المدخلات!$L$4:$L$15,0)),""))</f>
        <v/>
      </c>
      <c r="N1526" s="4" t="str">
        <f t="shared" si="190"/>
        <v/>
      </c>
      <c r="O1526" s="4" t="str">
        <f t="shared" si="191"/>
        <v/>
      </c>
    </row>
    <row r="1527" spans="1:15">
      <c r="A1527" s="11"/>
      <c r="B1527" s="19"/>
      <c r="C1527" s="19"/>
      <c r="D1527" s="55"/>
      <c r="E1527" s="56"/>
      <c r="F1527" s="19"/>
      <c r="G1527" s="4" t="str">
        <f t="shared" si="184"/>
        <v/>
      </c>
      <c r="H1527" s="11" t="str">
        <f t="shared" si="185"/>
        <v/>
      </c>
      <c r="I1527" s="55" t="str">
        <f t="shared" si="186"/>
        <v/>
      </c>
      <c r="J1527" s="55" t="str">
        <f t="shared" si="187"/>
        <v/>
      </c>
      <c r="K1527" s="4" t="str">
        <f t="shared" si="188"/>
        <v/>
      </c>
      <c r="L1527" s="19" t="str">
        <f t="shared" si="189"/>
        <v/>
      </c>
      <c r="M1527" s="12" t="str">
        <f>IF(A1527="","",IFERROR(INDEX(المدخلات!$M$4:$M$15,MATCH(A1527,المدخلات!$L$4:$L$15,0)),""))</f>
        <v/>
      </c>
      <c r="N1527" s="4" t="str">
        <f t="shared" si="190"/>
        <v/>
      </c>
      <c r="O1527" s="4" t="str">
        <f t="shared" si="191"/>
        <v/>
      </c>
    </row>
    <row r="1528" spans="1:15">
      <c r="A1528" s="11"/>
      <c r="B1528" s="19"/>
      <c r="C1528" s="19"/>
      <c r="D1528" s="55"/>
      <c r="E1528" s="56"/>
      <c r="F1528" s="19"/>
      <c r="G1528" s="4" t="str">
        <f t="shared" si="184"/>
        <v/>
      </c>
      <c r="H1528" s="11" t="str">
        <f t="shared" si="185"/>
        <v/>
      </c>
      <c r="I1528" s="55" t="str">
        <f t="shared" si="186"/>
        <v/>
      </c>
      <c r="J1528" s="55" t="str">
        <f t="shared" si="187"/>
        <v/>
      </c>
      <c r="K1528" s="4" t="str">
        <f t="shared" si="188"/>
        <v/>
      </c>
      <c r="L1528" s="19" t="str">
        <f t="shared" si="189"/>
        <v/>
      </c>
      <c r="M1528" s="12" t="str">
        <f>IF(A1528="","",IFERROR(INDEX(المدخلات!$M$4:$M$15,MATCH(A1528,المدخلات!$L$4:$L$15,0)),""))</f>
        <v/>
      </c>
      <c r="N1528" s="4" t="str">
        <f t="shared" si="190"/>
        <v/>
      </c>
      <c r="O1528" s="4" t="str">
        <f t="shared" si="191"/>
        <v/>
      </c>
    </row>
    <row r="1529" spans="1:15">
      <c r="A1529" s="11"/>
      <c r="B1529" s="19"/>
      <c r="C1529" s="19"/>
      <c r="D1529" s="55"/>
      <c r="E1529" s="56"/>
      <c r="F1529" s="19"/>
      <c r="G1529" s="4" t="str">
        <f t="shared" si="184"/>
        <v/>
      </c>
      <c r="H1529" s="11" t="str">
        <f t="shared" si="185"/>
        <v/>
      </c>
      <c r="I1529" s="55" t="str">
        <f t="shared" si="186"/>
        <v/>
      </c>
      <c r="J1529" s="55" t="str">
        <f t="shared" si="187"/>
        <v/>
      </c>
      <c r="K1529" s="4" t="str">
        <f t="shared" si="188"/>
        <v/>
      </c>
      <c r="L1529" s="19" t="str">
        <f t="shared" si="189"/>
        <v/>
      </c>
      <c r="M1529" s="12" t="str">
        <f>IF(A1529="","",IFERROR(INDEX(المدخلات!$M$4:$M$15,MATCH(A1529,المدخلات!$L$4:$L$15,0)),""))</f>
        <v/>
      </c>
      <c r="N1529" s="4" t="str">
        <f t="shared" si="190"/>
        <v/>
      </c>
      <c r="O1529" s="4" t="str">
        <f t="shared" si="191"/>
        <v/>
      </c>
    </row>
    <row r="1530" spans="1:15">
      <c r="A1530" s="11"/>
      <c r="B1530" s="19"/>
      <c r="C1530" s="19"/>
      <c r="D1530" s="55"/>
      <c r="E1530" s="56"/>
      <c r="F1530" s="19"/>
      <c r="G1530" s="4" t="str">
        <f t="shared" si="184"/>
        <v/>
      </c>
      <c r="H1530" s="11" t="str">
        <f t="shared" si="185"/>
        <v/>
      </c>
      <c r="I1530" s="55" t="str">
        <f t="shared" si="186"/>
        <v/>
      </c>
      <c r="J1530" s="55" t="str">
        <f t="shared" si="187"/>
        <v/>
      </c>
      <c r="K1530" s="4" t="str">
        <f t="shared" si="188"/>
        <v/>
      </c>
      <c r="L1530" s="19" t="str">
        <f t="shared" si="189"/>
        <v/>
      </c>
      <c r="M1530" s="12" t="str">
        <f>IF(A1530="","",IFERROR(INDEX(المدخلات!$M$4:$M$15,MATCH(A1530,المدخلات!$L$4:$L$15,0)),""))</f>
        <v/>
      </c>
      <c r="N1530" s="4" t="str">
        <f t="shared" si="190"/>
        <v/>
      </c>
      <c r="O1530" s="4" t="str">
        <f t="shared" si="191"/>
        <v/>
      </c>
    </row>
    <row r="1531" spans="1:15">
      <c r="A1531" s="11"/>
      <c r="B1531" s="19"/>
      <c r="C1531" s="19"/>
      <c r="D1531" s="55"/>
      <c r="E1531" s="56"/>
      <c r="F1531" s="19"/>
      <c r="G1531" s="4" t="str">
        <f t="shared" si="184"/>
        <v/>
      </c>
      <c r="H1531" s="11" t="str">
        <f t="shared" si="185"/>
        <v/>
      </c>
      <c r="I1531" s="55" t="str">
        <f t="shared" si="186"/>
        <v/>
      </c>
      <c r="J1531" s="55" t="str">
        <f t="shared" si="187"/>
        <v/>
      </c>
      <c r="K1531" s="4" t="str">
        <f t="shared" si="188"/>
        <v/>
      </c>
      <c r="L1531" s="19" t="str">
        <f t="shared" si="189"/>
        <v/>
      </c>
      <c r="M1531" s="12" t="str">
        <f>IF(A1531="","",IFERROR(INDEX(المدخلات!$M$4:$M$15,MATCH(A1531,المدخلات!$L$4:$L$15,0)),""))</f>
        <v/>
      </c>
      <c r="N1531" s="4" t="str">
        <f t="shared" si="190"/>
        <v/>
      </c>
      <c r="O1531" s="4" t="str">
        <f t="shared" si="191"/>
        <v/>
      </c>
    </row>
    <row r="1532" spans="1:15">
      <c r="A1532" s="11"/>
      <c r="B1532" s="19"/>
      <c r="C1532" s="19"/>
      <c r="D1532" s="55"/>
      <c r="E1532" s="56"/>
      <c r="F1532" s="19"/>
      <c r="G1532" s="4" t="str">
        <f t="shared" si="184"/>
        <v/>
      </c>
      <c r="H1532" s="11" t="str">
        <f t="shared" si="185"/>
        <v/>
      </c>
      <c r="I1532" s="55" t="str">
        <f t="shared" si="186"/>
        <v/>
      </c>
      <c r="J1532" s="55" t="str">
        <f t="shared" si="187"/>
        <v/>
      </c>
      <c r="K1532" s="4" t="str">
        <f t="shared" si="188"/>
        <v/>
      </c>
      <c r="L1532" s="19" t="str">
        <f t="shared" si="189"/>
        <v/>
      </c>
      <c r="M1532" s="12" t="str">
        <f>IF(A1532="","",IFERROR(INDEX(المدخلات!$M$4:$M$15,MATCH(A1532,المدخلات!$L$4:$L$15,0)),""))</f>
        <v/>
      </c>
      <c r="N1532" s="4" t="str">
        <f t="shared" si="190"/>
        <v/>
      </c>
      <c r="O1532" s="4" t="str">
        <f t="shared" si="191"/>
        <v/>
      </c>
    </row>
    <row r="1533" spans="1:15">
      <c r="A1533" s="11"/>
      <c r="B1533" s="19"/>
      <c r="C1533" s="19"/>
      <c r="D1533" s="55"/>
      <c r="E1533" s="56"/>
      <c r="F1533" s="19"/>
      <c r="G1533" s="4" t="str">
        <f t="shared" si="184"/>
        <v/>
      </c>
      <c r="H1533" s="11" t="str">
        <f t="shared" si="185"/>
        <v/>
      </c>
      <c r="I1533" s="55" t="str">
        <f t="shared" si="186"/>
        <v/>
      </c>
      <c r="J1533" s="55" t="str">
        <f t="shared" si="187"/>
        <v/>
      </c>
      <c r="K1533" s="4" t="str">
        <f t="shared" si="188"/>
        <v/>
      </c>
      <c r="L1533" s="19" t="str">
        <f t="shared" si="189"/>
        <v/>
      </c>
      <c r="M1533" s="12" t="str">
        <f>IF(A1533="","",IFERROR(INDEX(المدخلات!$M$4:$M$15,MATCH(A1533,المدخلات!$L$4:$L$15,0)),""))</f>
        <v/>
      </c>
      <c r="N1533" s="4" t="str">
        <f t="shared" si="190"/>
        <v/>
      </c>
      <c r="O1533" s="4" t="str">
        <f t="shared" si="191"/>
        <v/>
      </c>
    </row>
    <row r="1534" spans="1:15">
      <c r="A1534" s="11"/>
      <c r="B1534" s="19"/>
      <c r="C1534" s="19"/>
      <c r="D1534" s="55"/>
      <c r="E1534" s="56"/>
      <c r="F1534" s="19"/>
      <c r="G1534" s="4" t="str">
        <f t="shared" si="184"/>
        <v/>
      </c>
      <c r="H1534" s="11" t="str">
        <f t="shared" si="185"/>
        <v/>
      </c>
      <c r="I1534" s="55" t="str">
        <f t="shared" si="186"/>
        <v/>
      </c>
      <c r="J1534" s="55" t="str">
        <f t="shared" si="187"/>
        <v/>
      </c>
      <c r="K1534" s="4" t="str">
        <f t="shared" si="188"/>
        <v/>
      </c>
      <c r="L1534" s="19" t="str">
        <f t="shared" si="189"/>
        <v/>
      </c>
      <c r="M1534" s="12" t="str">
        <f>IF(A1534="","",IFERROR(INDEX(المدخلات!$M$4:$M$15,MATCH(A1534,المدخلات!$L$4:$L$15,0)),""))</f>
        <v/>
      </c>
      <c r="N1534" s="4" t="str">
        <f t="shared" si="190"/>
        <v/>
      </c>
      <c r="O1534" s="4" t="str">
        <f t="shared" si="191"/>
        <v/>
      </c>
    </row>
    <row r="1535" spans="1:15">
      <c r="A1535" s="11"/>
      <c r="B1535" s="19"/>
      <c r="C1535" s="19"/>
      <c r="D1535" s="55"/>
      <c r="E1535" s="56"/>
      <c r="F1535" s="19"/>
      <c r="G1535" s="4" t="str">
        <f t="shared" si="184"/>
        <v/>
      </c>
      <c r="H1535" s="11" t="str">
        <f t="shared" si="185"/>
        <v/>
      </c>
      <c r="I1535" s="55" t="str">
        <f t="shared" si="186"/>
        <v/>
      </c>
      <c r="J1535" s="55" t="str">
        <f t="shared" si="187"/>
        <v/>
      </c>
      <c r="K1535" s="4" t="str">
        <f t="shared" si="188"/>
        <v/>
      </c>
      <c r="L1535" s="19" t="str">
        <f t="shared" si="189"/>
        <v/>
      </c>
      <c r="M1535" s="12" t="str">
        <f>IF(A1535="","",IFERROR(INDEX(المدخلات!$M$4:$M$15,MATCH(A1535,المدخلات!$L$4:$L$15,0)),""))</f>
        <v/>
      </c>
      <c r="N1535" s="4" t="str">
        <f t="shared" si="190"/>
        <v/>
      </c>
      <c r="O1535" s="4" t="str">
        <f t="shared" si="191"/>
        <v/>
      </c>
    </row>
    <row r="1536" spans="1:15">
      <c r="A1536" s="11"/>
      <c r="B1536" s="19"/>
      <c r="C1536" s="19"/>
      <c r="D1536" s="55"/>
      <c r="E1536" s="56"/>
      <c r="F1536" s="19"/>
      <c r="G1536" s="4" t="str">
        <f t="shared" si="184"/>
        <v/>
      </c>
      <c r="H1536" s="11" t="str">
        <f t="shared" si="185"/>
        <v/>
      </c>
      <c r="I1536" s="55" t="str">
        <f t="shared" si="186"/>
        <v/>
      </c>
      <c r="J1536" s="55" t="str">
        <f t="shared" si="187"/>
        <v/>
      </c>
      <c r="K1536" s="4" t="str">
        <f t="shared" si="188"/>
        <v/>
      </c>
      <c r="L1536" s="19" t="str">
        <f t="shared" si="189"/>
        <v/>
      </c>
      <c r="M1536" s="12" t="str">
        <f>IF(A1536="","",IFERROR(INDEX(المدخلات!$M$4:$M$15,MATCH(A1536,المدخلات!$L$4:$L$15,0)),""))</f>
        <v/>
      </c>
      <c r="N1536" s="4" t="str">
        <f t="shared" si="190"/>
        <v/>
      </c>
      <c r="O1536" s="4" t="str">
        <f t="shared" si="191"/>
        <v/>
      </c>
    </row>
    <row r="1537" spans="1:15">
      <c r="A1537" s="11"/>
      <c r="B1537" s="19"/>
      <c r="C1537" s="19"/>
      <c r="D1537" s="55"/>
      <c r="E1537" s="56"/>
      <c r="F1537" s="19"/>
      <c r="G1537" s="4" t="str">
        <f t="shared" si="184"/>
        <v/>
      </c>
      <c r="H1537" s="11" t="str">
        <f t="shared" si="185"/>
        <v/>
      </c>
      <c r="I1537" s="55" t="str">
        <f t="shared" si="186"/>
        <v/>
      </c>
      <c r="J1537" s="55" t="str">
        <f t="shared" si="187"/>
        <v/>
      </c>
      <c r="K1537" s="4" t="str">
        <f t="shared" si="188"/>
        <v/>
      </c>
      <c r="L1537" s="19" t="str">
        <f t="shared" si="189"/>
        <v/>
      </c>
      <c r="M1537" s="12" t="str">
        <f>IF(A1537="","",IFERROR(INDEX(المدخلات!$M$4:$M$15,MATCH(A1537,المدخلات!$L$4:$L$15,0)),""))</f>
        <v/>
      </c>
      <c r="N1537" s="4" t="str">
        <f t="shared" si="190"/>
        <v/>
      </c>
      <c r="O1537" s="4" t="str">
        <f t="shared" si="191"/>
        <v/>
      </c>
    </row>
    <row r="1538" spans="1:15">
      <c r="A1538" s="11"/>
      <c r="B1538" s="19"/>
      <c r="C1538" s="19"/>
      <c r="D1538" s="55"/>
      <c r="E1538" s="56"/>
      <c r="F1538" s="19"/>
      <c r="G1538" s="4" t="str">
        <f t="shared" si="184"/>
        <v/>
      </c>
      <c r="H1538" s="11" t="str">
        <f t="shared" si="185"/>
        <v/>
      </c>
      <c r="I1538" s="55" t="str">
        <f t="shared" si="186"/>
        <v/>
      </c>
      <c r="J1538" s="55" t="str">
        <f t="shared" si="187"/>
        <v/>
      </c>
      <c r="K1538" s="4" t="str">
        <f t="shared" si="188"/>
        <v/>
      </c>
      <c r="L1538" s="19" t="str">
        <f t="shared" si="189"/>
        <v/>
      </c>
      <c r="M1538" s="12" t="str">
        <f>IF(A1538="","",IFERROR(INDEX(المدخلات!$M$4:$M$15,MATCH(A1538,المدخلات!$L$4:$L$15,0)),""))</f>
        <v/>
      </c>
      <c r="N1538" s="4" t="str">
        <f t="shared" si="190"/>
        <v/>
      </c>
      <c r="O1538" s="4" t="str">
        <f t="shared" si="191"/>
        <v/>
      </c>
    </row>
    <row r="1539" spans="1:15">
      <c r="A1539" s="11"/>
      <c r="B1539" s="19"/>
      <c r="C1539" s="19"/>
      <c r="D1539" s="55"/>
      <c r="E1539" s="56"/>
      <c r="F1539" s="19"/>
      <c r="G1539" s="4" t="str">
        <f t="shared" si="184"/>
        <v/>
      </c>
      <c r="H1539" s="11" t="str">
        <f t="shared" si="185"/>
        <v/>
      </c>
      <c r="I1539" s="55" t="str">
        <f t="shared" si="186"/>
        <v/>
      </c>
      <c r="J1539" s="55" t="str">
        <f t="shared" si="187"/>
        <v/>
      </c>
      <c r="K1539" s="4" t="str">
        <f t="shared" si="188"/>
        <v/>
      </c>
      <c r="L1539" s="19" t="str">
        <f t="shared" si="189"/>
        <v/>
      </c>
      <c r="M1539" s="12" t="str">
        <f>IF(A1539="","",IFERROR(INDEX(المدخلات!$M$4:$M$15,MATCH(A1539,المدخلات!$L$4:$L$15,0)),""))</f>
        <v/>
      </c>
      <c r="N1539" s="4" t="str">
        <f t="shared" si="190"/>
        <v/>
      </c>
      <c r="O1539" s="4" t="str">
        <f t="shared" si="191"/>
        <v/>
      </c>
    </row>
    <row r="1540" spans="1:15">
      <c r="A1540" s="11"/>
      <c r="B1540" s="19"/>
      <c r="C1540" s="19"/>
      <c r="D1540" s="55"/>
      <c r="E1540" s="56"/>
      <c r="F1540" s="19"/>
      <c r="G1540" s="4" t="str">
        <f t="shared" si="184"/>
        <v/>
      </c>
      <c r="H1540" s="11" t="str">
        <f t="shared" si="185"/>
        <v/>
      </c>
      <c r="I1540" s="55" t="str">
        <f t="shared" si="186"/>
        <v/>
      </c>
      <c r="J1540" s="55" t="str">
        <f t="shared" si="187"/>
        <v/>
      </c>
      <c r="K1540" s="4" t="str">
        <f t="shared" si="188"/>
        <v/>
      </c>
      <c r="L1540" s="19" t="str">
        <f t="shared" si="189"/>
        <v/>
      </c>
      <c r="M1540" s="12" t="str">
        <f>IF(A1540="","",IFERROR(INDEX(المدخلات!$M$4:$M$15,MATCH(A1540,المدخلات!$L$4:$L$15,0)),""))</f>
        <v/>
      </c>
      <c r="N1540" s="4" t="str">
        <f t="shared" si="190"/>
        <v/>
      </c>
      <c r="O1540" s="4" t="str">
        <f t="shared" si="191"/>
        <v/>
      </c>
    </row>
    <row r="1541" spans="1:15">
      <c r="A1541" s="11"/>
      <c r="B1541" s="19"/>
      <c r="C1541" s="19"/>
      <c r="D1541" s="55"/>
      <c r="E1541" s="56"/>
      <c r="F1541" s="19"/>
      <c r="G1541" s="4" t="str">
        <f t="shared" ref="G1541:G1604" si="192">IF(OR(D1541="",E1541=""),"",D1541*E1541)</f>
        <v/>
      </c>
      <c r="H1541" s="11" t="str">
        <f t="shared" ref="H1541:H1604" si="193">IF(C1541="","",IFERROR(_xlfn.MAXIFS($A$5:$A$2003,$C$5:$C$2003,C1541,$A$5:$A$2003,"&lt;"&amp;A1541),0))</f>
        <v/>
      </c>
      <c r="I1541" s="55" t="str">
        <f t="shared" ref="I1541:I1604" si="194">IF(OR(H1541="",H1541=0),"",IFERROR(SUMIFS($D$5:$D$2003,$C$5:$C$2003,C1541,$A$5:$A$2003,H1541),""))</f>
        <v/>
      </c>
      <c r="J1541" s="55" t="str">
        <f t="shared" ref="J1541:J1604" si="195">IF(C1541="","",IF(I1541="",0,MAX(I1541-D1541,0)))</f>
        <v/>
      </c>
      <c r="K1541" s="4" t="str">
        <f t="shared" ref="K1541:K1604" si="196">IF(J1541="","",J1541*E1541)</f>
        <v/>
      </c>
      <c r="L1541" s="19" t="str">
        <f t="shared" ref="L1541:L1604" si="197">IF(C1541="","",IF(COUNTIFS($A$5:$A$2003,A1541,$C$5:$C$2003,C1541)&gt;1,"⚠️ مادة مكررة بنفس الشهر",IF(OR(H1541="",H1541=0),"🆕 أول ظهور لهذه المادة",IF(D1541&gt;I1541,"ℹ️ زيادة كمية (شراء/تصحيح) - لا تُحتسب استهلاكاً",IF(D1541=I1541,"➖ لا تغيير","")))))</f>
        <v/>
      </c>
      <c r="M1541" s="12" t="str">
        <f>IF(A1541="","",IFERROR(INDEX(المدخلات!$M$4:$M$15,MATCH(A1541,المدخلات!$L$4:$L$15,0)),""))</f>
        <v/>
      </c>
      <c r="N1541" s="4" t="str">
        <f t="shared" ref="N1541:N1604" si="198">IF(OR(G1541="",F1541=""),"",IF(F1541="دولار أمريكي",IF(M1541="","⚠️ لا يوجد سعر صرف",G1541*M1541),G1541))</f>
        <v/>
      </c>
      <c r="O1541" s="4" t="str">
        <f t="shared" ref="O1541:O1604" si="199">IF(OR(K1541="",F1541=""),"",IF(F1541="دولار أمريكي",IF(M1541="","⚠️ لا يوجد سعر صرف",K1541*M1541),K1541))</f>
        <v/>
      </c>
    </row>
    <row r="1542" spans="1:15">
      <c r="A1542" s="11"/>
      <c r="B1542" s="19"/>
      <c r="C1542" s="19"/>
      <c r="D1542" s="55"/>
      <c r="E1542" s="56"/>
      <c r="F1542" s="19"/>
      <c r="G1542" s="4" t="str">
        <f t="shared" si="192"/>
        <v/>
      </c>
      <c r="H1542" s="11" t="str">
        <f t="shared" si="193"/>
        <v/>
      </c>
      <c r="I1542" s="55" t="str">
        <f t="shared" si="194"/>
        <v/>
      </c>
      <c r="J1542" s="55" t="str">
        <f t="shared" si="195"/>
        <v/>
      </c>
      <c r="K1542" s="4" t="str">
        <f t="shared" si="196"/>
        <v/>
      </c>
      <c r="L1542" s="19" t="str">
        <f t="shared" si="197"/>
        <v/>
      </c>
      <c r="M1542" s="12" t="str">
        <f>IF(A1542="","",IFERROR(INDEX(المدخلات!$M$4:$M$15,MATCH(A1542,المدخلات!$L$4:$L$15,0)),""))</f>
        <v/>
      </c>
      <c r="N1542" s="4" t="str">
        <f t="shared" si="198"/>
        <v/>
      </c>
      <c r="O1542" s="4" t="str">
        <f t="shared" si="199"/>
        <v/>
      </c>
    </row>
    <row r="1543" spans="1:15">
      <c r="A1543" s="11"/>
      <c r="B1543" s="19"/>
      <c r="C1543" s="19"/>
      <c r="D1543" s="55"/>
      <c r="E1543" s="56"/>
      <c r="F1543" s="19"/>
      <c r="G1543" s="4" t="str">
        <f t="shared" si="192"/>
        <v/>
      </c>
      <c r="H1543" s="11" t="str">
        <f t="shared" si="193"/>
        <v/>
      </c>
      <c r="I1543" s="55" t="str">
        <f t="shared" si="194"/>
        <v/>
      </c>
      <c r="J1543" s="55" t="str">
        <f t="shared" si="195"/>
        <v/>
      </c>
      <c r="K1543" s="4" t="str">
        <f t="shared" si="196"/>
        <v/>
      </c>
      <c r="L1543" s="19" t="str">
        <f t="shared" si="197"/>
        <v/>
      </c>
      <c r="M1543" s="12" t="str">
        <f>IF(A1543="","",IFERROR(INDEX(المدخلات!$M$4:$M$15,MATCH(A1543,المدخلات!$L$4:$L$15,0)),""))</f>
        <v/>
      </c>
      <c r="N1543" s="4" t="str">
        <f t="shared" si="198"/>
        <v/>
      </c>
      <c r="O1543" s="4" t="str">
        <f t="shared" si="199"/>
        <v/>
      </c>
    </row>
    <row r="1544" spans="1:15">
      <c r="A1544" s="11"/>
      <c r="B1544" s="19"/>
      <c r="C1544" s="19"/>
      <c r="D1544" s="55"/>
      <c r="E1544" s="56"/>
      <c r="F1544" s="19"/>
      <c r="G1544" s="4" t="str">
        <f t="shared" si="192"/>
        <v/>
      </c>
      <c r="H1544" s="11" t="str">
        <f t="shared" si="193"/>
        <v/>
      </c>
      <c r="I1544" s="55" t="str">
        <f t="shared" si="194"/>
        <v/>
      </c>
      <c r="J1544" s="55" t="str">
        <f t="shared" si="195"/>
        <v/>
      </c>
      <c r="K1544" s="4" t="str">
        <f t="shared" si="196"/>
        <v/>
      </c>
      <c r="L1544" s="19" t="str">
        <f t="shared" si="197"/>
        <v/>
      </c>
      <c r="M1544" s="12" t="str">
        <f>IF(A1544="","",IFERROR(INDEX(المدخلات!$M$4:$M$15,MATCH(A1544,المدخلات!$L$4:$L$15,0)),""))</f>
        <v/>
      </c>
      <c r="N1544" s="4" t="str">
        <f t="shared" si="198"/>
        <v/>
      </c>
      <c r="O1544" s="4" t="str">
        <f t="shared" si="199"/>
        <v/>
      </c>
    </row>
    <row r="1545" spans="1:15">
      <c r="A1545" s="11"/>
      <c r="B1545" s="19"/>
      <c r="C1545" s="19"/>
      <c r="D1545" s="55"/>
      <c r="E1545" s="56"/>
      <c r="F1545" s="19"/>
      <c r="G1545" s="4" t="str">
        <f t="shared" si="192"/>
        <v/>
      </c>
      <c r="H1545" s="11" t="str">
        <f t="shared" si="193"/>
        <v/>
      </c>
      <c r="I1545" s="55" t="str">
        <f t="shared" si="194"/>
        <v/>
      </c>
      <c r="J1545" s="55" t="str">
        <f t="shared" si="195"/>
        <v/>
      </c>
      <c r="K1545" s="4" t="str">
        <f t="shared" si="196"/>
        <v/>
      </c>
      <c r="L1545" s="19" t="str">
        <f t="shared" si="197"/>
        <v/>
      </c>
      <c r="M1545" s="12" t="str">
        <f>IF(A1545="","",IFERROR(INDEX(المدخلات!$M$4:$M$15,MATCH(A1545,المدخلات!$L$4:$L$15,0)),""))</f>
        <v/>
      </c>
      <c r="N1545" s="4" t="str">
        <f t="shared" si="198"/>
        <v/>
      </c>
      <c r="O1545" s="4" t="str">
        <f t="shared" si="199"/>
        <v/>
      </c>
    </row>
    <row r="1546" spans="1:15">
      <c r="A1546" s="11"/>
      <c r="B1546" s="19"/>
      <c r="C1546" s="19"/>
      <c r="D1546" s="55"/>
      <c r="E1546" s="56"/>
      <c r="F1546" s="19"/>
      <c r="G1546" s="4" t="str">
        <f t="shared" si="192"/>
        <v/>
      </c>
      <c r="H1546" s="11" t="str">
        <f t="shared" si="193"/>
        <v/>
      </c>
      <c r="I1546" s="55" t="str">
        <f t="shared" si="194"/>
        <v/>
      </c>
      <c r="J1546" s="55" t="str">
        <f t="shared" si="195"/>
        <v/>
      </c>
      <c r="K1546" s="4" t="str">
        <f t="shared" si="196"/>
        <v/>
      </c>
      <c r="L1546" s="19" t="str">
        <f t="shared" si="197"/>
        <v/>
      </c>
      <c r="M1546" s="12" t="str">
        <f>IF(A1546="","",IFERROR(INDEX(المدخلات!$M$4:$M$15,MATCH(A1546,المدخلات!$L$4:$L$15,0)),""))</f>
        <v/>
      </c>
      <c r="N1546" s="4" t="str">
        <f t="shared" si="198"/>
        <v/>
      </c>
      <c r="O1546" s="4" t="str">
        <f t="shared" si="199"/>
        <v/>
      </c>
    </row>
    <row r="1547" spans="1:15">
      <c r="A1547" s="11"/>
      <c r="B1547" s="19"/>
      <c r="C1547" s="19"/>
      <c r="D1547" s="55"/>
      <c r="E1547" s="56"/>
      <c r="F1547" s="19"/>
      <c r="G1547" s="4" t="str">
        <f t="shared" si="192"/>
        <v/>
      </c>
      <c r="H1547" s="11" t="str">
        <f t="shared" si="193"/>
        <v/>
      </c>
      <c r="I1547" s="55" t="str">
        <f t="shared" si="194"/>
        <v/>
      </c>
      <c r="J1547" s="55" t="str">
        <f t="shared" si="195"/>
        <v/>
      </c>
      <c r="K1547" s="4" t="str">
        <f t="shared" si="196"/>
        <v/>
      </c>
      <c r="L1547" s="19" t="str">
        <f t="shared" si="197"/>
        <v/>
      </c>
      <c r="M1547" s="12" t="str">
        <f>IF(A1547="","",IFERROR(INDEX(المدخلات!$M$4:$M$15,MATCH(A1547,المدخلات!$L$4:$L$15,0)),""))</f>
        <v/>
      </c>
      <c r="N1547" s="4" t="str">
        <f t="shared" si="198"/>
        <v/>
      </c>
      <c r="O1547" s="4" t="str">
        <f t="shared" si="199"/>
        <v/>
      </c>
    </row>
    <row r="1548" spans="1:15">
      <c r="A1548" s="11"/>
      <c r="B1548" s="19"/>
      <c r="C1548" s="19"/>
      <c r="D1548" s="55"/>
      <c r="E1548" s="56"/>
      <c r="F1548" s="19"/>
      <c r="G1548" s="4" t="str">
        <f t="shared" si="192"/>
        <v/>
      </c>
      <c r="H1548" s="11" t="str">
        <f t="shared" si="193"/>
        <v/>
      </c>
      <c r="I1548" s="55" t="str">
        <f t="shared" si="194"/>
        <v/>
      </c>
      <c r="J1548" s="55" t="str">
        <f t="shared" si="195"/>
        <v/>
      </c>
      <c r="K1548" s="4" t="str">
        <f t="shared" si="196"/>
        <v/>
      </c>
      <c r="L1548" s="19" t="str">
        <f t="shared" si="197"/>
        <v/>
      </c>
      <c r="M1548" s="12" t="str">
        <f>IF(A1548="","",IFERROR(INDEX(المدخلات!$M$4:$M$15,MATCH(A1548,المدخلات!$L$4:$L$15,0)),""))</f>
        <v/>
      </c>
      <c r="N1548" s="4" t="str">
        <f t="shared" si="198"/>
        <v/>
      </c>
      <c r="O1548" s="4" t="str">
        <f t="shared" si="199"/>
        <v/>
      </c>
    </row>
    <row r="1549" spans="1:15">
      <c r="A1549" s="11"/>
      <c r="B1549" s="19"/>
      <c r="C1549" s="19"/>
      <c r="D1549" s="55"/>
      <c r="E1549" s="56"/>
      <c r="F1549" s="19"/>
      <c r="G1549" s="4" t="str">
        <f t="shared" si="192"/>
        <v/>
      </c>
      <c r="H1549" s="11" t="str">
        <f t="shared" si="193"/>
        <v/>
      </c>
      <c r="I1549" s="55" t="str">
        <f t="shared" si="194"/>
        <v/>
      </c>
      <c r="J1549" s="55" t="str">
        <f t="shared" si="195"/>
        <v/>
      </c>
      <c r="K1549" s="4" t="str">
        <f t="shared" si="196"/>
        <v/>
      </c>
      <c r="L1549" s="19" t="str">
        <f t="shared" si="197"/>
        <v/>
      </c>
      <c r="M1549" s="12" t="str">
        <f>IF(A1549="","",IFERROR(INDEX(المدخلات!$M$4:$M$15,MATCH(A1549,المدخلات!$L$4:$L$15,0)),""))</f>
        <v/>
      </c>
      <c r="N1549" s="4" t="str">
        <f t="shared" si="198"/>
        <v/>
      </c>
      <c r="O1549" s="4" t="str">
        <f t="shared" si="199"/>
        <v/>
      </c>
    </row>
    <row r="1550" spans="1:15">
      <c r="A1550" s="11"/>
      <c r="B1550" s="19"/>
      <c r="C1550" s="19"/>
      <c r="D1550" s="55"/>
      <c r="E1550" s="56"/>
      <c r="F1550" s="19"/>
      <c r="G1550" s="4" t="str">
        <f t="shared" si="192"/>
        <v/>
      </c>
      <c r="H1550" s="11" t="str">
        <f t="shared" si="193"/>
        <v/>
      </c>
      <c r="I1550" s="55" t="str">
        <f t="shared" si="194"/>
        <v/>
      </c>
      <c r="J1550" s="55" t="str">
        <f t="shared" si="195"/>
        <v/>
      </c>
      <c r="K1550" s="4" t="str">
        <f t="shared" si="196"/>
        <v/>
      </c>
      <c r="L1550" s="19" t="str">
        <f t="shared" si="197"/>
        <v/>
      </c>
      <c r="M1550" s="12" t="str">
        <f>IF(A1550="","",IFERROR(INDEX(المدخلات!$M$4:$M$15,MATCH(A1550,المدخلات!$L$4:$L$15,0)),""))</f>
        <v/>
      </c>
      <c r="N1550" s="4" t="str">
        <f t="shared" si="198"/>
        <v/>
      </c>
      <c r="O1550" s="4" t="str">
        <f t="shared" si="199"/>
        <v/>
      </c>
    </row>
    <row r="1551" spans="1:15">
      <c r="A1551" s="11"/>
      <c r="B1551" s="19"/>
      <c r="C1551" s="19"/>
      <c r="D1551" s="55"/>
      <c r="E1551" s="56"/>
      <c r="F1551" s="19"/>
      <c r="G1551" s="4" t="str">
        <f t="shared" si="192"/>
        <v/>
      </c>
      <c r="H1551" s="11" t="str">
        <f t="shared" si="193"/>
        <v/>
      </c>
      <c r="I1551" s="55" t="str">
        <f t="shared" si="194"/>
        <v/>
      </c>
      <c r="J1551" s="55" t="str">
        <f t="shared" si="195"/>
        <v/>
      </c>
      <c r="K1551" s="4" t="str">
        <f t="shared" si="196"/>
        <v/>
      </c>
      <c r="L1551" s="19" t="str">
        <f t="shared" si="197"/>
        <v/>
      </c>
      <c r="M1551" s="12" t="str">
        <f>IF(A1551="","",IFERROR(INDEX(المدخلات!$M$4:$M$15,MATCH(A1551,المدخلات!$L$4:$L$15,0)),""))</f>
        <v/>
      </c>
      <c r="N1551" s="4" t="str">
        <f t="shared" si="198"/>
        <v/>
      </c>
      <c r="O1551" s="4" t="str">
        <f t="shared" si="199"/>
        <v/>
      </c>
    </row>
    <row r="1552" spans="1:15">
      <c r="A1552" s="11"/>
      <c r="B1552" s="19"/>
      <c r="C1552" s="19"/>
      <c r="D1552" s="55"/>
      <c r="E1552" s="56"/>
      <c r="F1552" s="19"/>
      <c r="G1552" s="4" t="str">
        <f t="shared" si="192"/>
        <v/>
      </c>
      <c r="H1552" s="11" t="str">
        <f t="shared" si="193"/>
        <v/>
      </c>
      <c r="I1552" s="55" t="str">
        <f t="shared" si="194"/>
        <v/>
      </c>
      <c r="J1552" s="55" t="str">
        <f t="shared" si="195"/>
        <v/>
      </c>
      <c r="K1552" s="4" t="str">
        <f t="shared" si="196"/>
        <v/>
      </c>
      <c r="L1552" s="19" t="str">
        <f t="shared" si="197"/>
        <v/>
      </c>
      <c r="M1552" s="12" t="str">
        <f>IF(A1552="","",IFERROR(INDEX(المدخلات!$M$4:$M$15,MATCH(A1552,المدخلات!$L$4:$L$15,0)),""))</f>
        <v/>
      </c>
      <c r="N1552" s="4" t="str">
        <f t="shared" si="198"/>
        <v/>
      </c>
      <c r="O1552" s="4" t="str">
        <f t="shared" si="199"/>
        <v/>
      </c>
    </row>
    <row r="1553" spans="1:15">
      <c r="A1553" s="11"/>
      <c r="B1553" s="19"/>
      <c r="C1553" s="19"/>
      <c r="D1553" s="55"/>
      <c r="E1553" s="56"/>
      <c r="F1553" s="19"/>
      <c r="G1553" s="4" t="str">
        <f t="shared" si="192"/>
        <v/>
      </c>
      <c r="H1553" s="11" t="str">
        <f t="shared" si="193"/>
        <v/>
      </c>
      <c r="I1553" s="55" t="str">
        <f t="shared" si="194"/>
        <v/>
      </c>
      <c r="J1553" s="55" t="str">
        <f t="shared" si="195"/>
        <v/>
      </c>
      <c r="K1553" s="4" t="str">
        <f t="shared" si="196"/>
        <v/>
      </c>
      <c r="L1553" s="19" t="str">
        <f t="shared" si="197"/>
        <v/>
      </c>
      <c r="M1553" s="12" t="str">
        <f>IF(A1553="","",IFERROR(INDEX(المدخلات!$M$4:$M$15,MATCH(A1553,المدخلات!$L$4:$L$15,0)),""))</f>
        <v/>
      </c>
      <c r="N1553" s="4" t="str">
        <f t="shared" si="198"/>
        <v/>
      </c>
      <c r="O1553" s="4" t="str">
        <f t="shared" si="199"/>
        <v/>
      </c>
    </row>
    <row r="1554" spans="1:15">
      <c r="A1554" s="11"/>
      <c r="B1554" s="19"/>
      <c r="C1554" s="19"/>
      <c r="D1554" s="55"/>
      <c r="E1554" s="56"/>
      <c r="F1554" s="19"/>
      <c r="G1554" s="4" t="str">
        <f t="shared" si="192"/>
        <v/>
      </c>
      <c r="H1554" s="11" t="str">
        <f t="shared" si="193"/>
        <v/>
      </c>
      <c r="I1554" s="55" t="str">
        <f t="shared" si="194"/>
        <v/>
      </c>
      <c r="J1554" s="55" t="str">
        <f t="shared" si="195"/>
        <v/>
      </c>
      <c r="K1554" s="4" t="str">
        <f t="shared" si="196"/>
        <v/>
      </c>
      <c r="L1554" s="19" t="str">
        <f t="shared" si="197"/>
        <v/>
      </c>
      <c r="M1554" s="12" t="str">
        <f>IF(A1554="","",IFERROR(INDEX(المدخلات!$M$4:$M$15,MATCH(A1554,المدخلات!$L$4:$L$15,0)),""))</f>
        <v/>
      </c>
      <c r="N1554" s="4" t="str">
        <f t="shared" si="198"/>
        <v/>
      </c>
      <c r="O1554" s="4" t="str">
        <f t="shared" si="199"/>
        <v/>
      </c>
    </row>
    <row r="1555" spans="1:15">
      <c r="A1555" s="11"/>
      <c r="B1555" s="19"/>
      <c r="C1555" s="19"/>
      <c r="D1555" s="55"/>
      <c r="E1555" s="56"/>
      <c r="F1555" s="19"/>
      <c r="G1555" s="4" t="str">
        <f t="shared" si="192"/>
        <v/>
      </c>
      <c r="H1555" s="11" t="str">
        <f t="shared" si="193"/>
        <v/>
      </c>
      <c r="I1555" s="55" t="str">
        <f t="shared" si="194"/>
        <v/>
      </c>
      <c r="J1555" s="55" t="str">
        <f t="shared" si="195"/>
        <v/>
      </c>
      <c r="K1555" s="4" t="str">
        <f t="shared" si="196"/>
        <v/>
      </c>
      <c r="L1555" s="19" t="str">
        <f t="shared" si="197"/>
        <v/>
      </c>
      <c r="M1555" s="12" t="str">
        <f>IF(A1555="","",IFERROR(INDEX(المدخلات!$M$4:$M$15,MATCH(A1555,المدخلات!$L$4:$L$15,0)),""))</f>
        <v/>
      </c>
      <c r="N1555" s="4" t="str">
        <f t="shared" si="198"/>
        <v/>
      </c>
      <c r="O1555" s="4" t="str">
        <f t="shared" si="199"/>
        <v/>
      </c>
    </row>
    <row r="1556" spans="1:15">
      <c r="A1556" s="11"/>
      <c r="B1556" s="19"/>
      <c r="C1556" s="19"/>
      <c r="D1556" s="55"/>
      <c r="E1556" s="56"/>
      <c r="F1556" s="19"/>
      <c r="G1556" s="4" t="str">
        <f t="shared" si="192"/>
        <v/>
      </c>
      <c r="H1556" s="11" t="str">
        <f t="shared" si="193"/>
        <v/>
      </c>
      <c r="I1556" s="55" t="str">
        <f t="shared" si="194"/>
        <v/>
      </c>
      <c r="J1556" s="55" t="str">
        <f t="shared" si="195"/>
        <v/>
      </c>
      <c r="K1556" s="4" t="str">
        <f t="shared" si="196"/>
        <v/>
      </c>
      <c r="L1556" s="19" t="str">
        <f t="shared" si="197"/>
        <v/>
      </c>
      <c r="M1556" s="12" t="str">
        <f>IF(A1556="","",IFERROR(INDEX(المدخلات!$M$4:$M$15,MATCH(A1556,المدخلات!$L$4:$L$15,0)),""))</f>
        <v/>
      </c>
      <c r="N1556" s="4" t="str">
        <f t="shared" si="198"/>
        <v/>
      </c>
      <c r="O1556" s="4" t="str">
        <f t="shared" si="199"/>
        <v/>
      </c>
    </row>
    <row r="1557" spans="1:15">
      <c r="A1557" s="11"/>
      <c r="B1557" s="19"/>
      <c r="C1557" s="19"/>
      <c r="D1557" s="55"/>
      <c r="E1557" s="56"/>
      <c r="F1557" s="19"/>
      <c r="G1557" s="4" t="str">
        <f t="shared" si="192"/>
        <v/>
      </c>
      <c r="H1557" s="11" t="str">
        <f t="shared" si="193"/>
        <v/>
      </c>
      <c r="I1557" s="55" t="str">
        <f t="shared" si="194"/>
        <v/>
      </c>
      <c r="J1557" s="55" t="str">
        <f t="shared" si="195"/>
        <v/>
      </c>
      <c r="K1557" s="4" t="str">
        <f t="shared" si="196"/>
        <v/>
      </c>
      <c r="L1557" s="19" t="str">
        <f t="shared" si="197"/>
        <v/>
      </c>
      <c r="M1557" s="12" t="str">
        <f>IF(A1557="","",IFERROR(INDEX(المدخلات!$M$4:$M$15,MATCH(A1557,المدخلات!$L$4:$L$15,0)),""))</f>
        <v/>
      </c>
      <c r="N1557" s="4" t="str">
        <f t="shared" si="198"/>
        <v/>
      </c>
      <c r="O1557" s="4" t="str">
        <f t="shared" si="199"/>
        <v/>
      </c>
    </row>
    <row r="1558" spans="1:15">
      <c r="A1558" s="11"/>
      <c r="B1558" s="19"/>
      <c r="C1558" s="19"/>
      <c r="D1558" s="55"/>
      <c r="E1558" s="56"/>
      <c r="F1558" s="19"/>
      <c r="G1558" s="4" t="str">
        <f t="shared" si="192"/>
        <v/>
      </c>
      <c r="H1558" s="11" t="str">
        <f t="shared" si="193"/>
        <v/>
      </c>
      <c r="I1558" s="55" t="str">
        <f t="shared" si="194"/>
        <v/>
      </c>
      <c r="J1558" s="55" t="str">
        <f t="shared" si="195"/>
        <v/>
      </c>
      <c r="K1558" s="4" t="str">
        <f t="shared" si="196"/>
        <v/>
      </c>
      <c r="L1558" s="19" t="str">
        <f t="shared" si="197"/>
        <v/>
      </c>
      <c r="M1558" s="12" t="str">
        <f>IF(A1558="","",IFERROR(INDEX(المدخلات!$M$4:$M$15,MATCH(A1558,المدخلات!$L$4:$L$15,0)),""))</f>
        <v/>
      </c>
      <c r="N1558" s="4" t="str">
        <f t="shared" si="198"/>
        <v/>
      </c>
      <c r="O1558" s="4" t="str">
        <f t="shared" si="199"/>
        <v/>
      </c>
    </row>
    <row r="1559" spans="1:15">
      <c r="A1559" s="11"/>
      <c r="B1559" s="19"/>
      <c r="C1559" s="19"/>
      <c r="D1559" s="55"/>
      <c r="E1559" s="56"/>
      <c r="F1559" s="19"/>
      <c r="G1559" s="4" t="str">
        <f t="shared" si="192"/>
        <v/>
      </c>
      <c r="H1559" s="11" t="str">
        <f t="shared" si="193"/>
        <v/>
      </c>
      <c r="I1559" s="55" t="str">
        <f t="shared" si="194"/>
        <v/>
      </c>
      <c r="J1559" s="55" t="str">
        <f t="shared" si="195"/>
        <v/>
      </c>
      <c r="K1559" s="4" t="str">
        <f t="shared" si="196"/>
        <v/>
      </c>
      <c r="L1559" s="19" t="str">
        <f t="shared" si="197"/>
        <v/>
      </c>
      <c r="M1559" s="12" t="str">
        <f>IF(A1559="","",IFERROR(INDEX(المدخلات!$M$4:$M$15,MATCH(A1559,المدخلات!$L$4:$L$15,0)),""))</f>
        <v/>
      </c>
      <c r="N1559" s="4" t="str">
        <f t="shared" si="198"/>
        <v/>
      </c>
      <c r="O1559" s="4" t="str">
        <f t="shared" si="199"/>
        <v/>
      </c>
    </row>
    <row r="1560" spans="1:15">
      <c r="A1560" s="11"/>
      <c r="B1560" s="19"/>
      <c r="C1560" s="19"/>
      <c r="D1560" s="55"/>
      <c r="E1560" s="56"/>
      <c r="F1560" s="19"/>
      <c r="G1560" s="4" t="str">
        <f t="shared" si="192"/>
        <v/>
      </c>
      <c r="H1560" s="11" t="str">
        <f t="shared" si="193"/>
        <v/>
      </c>
      <c r="I1560" s="55" t="str">
        <f t="shared" si="194"/>
        <v/>
      </c>
      <c r="J1560" s="55" t="str">
        <f t="shared" si="195"/>
        <v/>
      </c>
      <c r="K1560" s="4" t="str">
        <f t="shared" si="196"/>
        <v/>
      </c>
      <c r="L1560" s="19" t="str">
        <f t="shared" si="197"/>
        <v/>
      </c>
      <c r="M1560" s="12" t="str">
        <f>IF(A1560="","",IFERROR(INDEX(المدخلات!$M$4:$M$15,MATCH(A1560,المدخلات!$L$4:$L$15,0)),""))</f>
        <v/>
      </c>
      <c r="N1560" s="4" t="str">
        <f t="shared" si="198"/>
        <v/>
      </c>
      <c r="O1560" s="4" t="str">
        <f t="shared" si="199"/>
        <v/>
      </c>
    </row>
    <row r="1561" spans="1:15">
      <c r="A1561" s="11"/>
      <c r="B1561" s="19"/>
      <c r="C1561" s="19"/>
      <c r="D1561" s="55"/>
      <c r="E1561" s="56"/>
      <c r="F1561" s="19"/>
      <c r="G1561" s="4" t="str">
        <f t="shared" si="192"/>
        <v/>
      </c>
      <c r="H1561" s="11" t="str">
        <f t="shared" si="193"/>
        <v/>
      </c>
      <c r="I1561" s="55" t="str">
        <f t="shared" si="194"/>
        <v/>
      </c>
      <c r="J1561" s="55" t="str">
        <f t="shared" si="195"/>
        <v/>
      </c>
      <c r="K1561" s="4" t="str">
        <f t="shared" si="196"/>
        <v/>
      </c>
      <c r="L1561" s="19" t="str">
        <f t="shared" si="197"/>
        <v/>
      </c>
      <c r="M1561" s="12" t="str">
        <f>IF(A1561="","",IFERROR(INDEX(المدخلات!$M$4:$M$15,MATCH(A1561,المدخلات!$L$4:$L$15,0)),""))</f>
        <v/>
      </c>
      <c r="N1561" s="4" t="str">
        <f t="shared" si="198"/>
        <v/>
      </c>
      <c r="O1561" s="4" t="str">
        <f t="shared" si="199"/>
        <v/>
      </c>
    </row>
    <row r="1562" spans="1:15">
      <c r="A1562" s="11"/>
      <c r="B1562" s="19"/>
      <c r="C1562" s="19"/>
      <c r="D1562" s="55"/>
      <c r="E1562" s="56"/>
      <c r="F1562" s="19"/>
      <c r="G1562" s="4" t="str">
        <f t="shared" si="192"/>
        <v/>
      </c>
      <c r="H1562" s="11" t="str">
        <f t="shared" si="193"/>
        <v/>
      </c>
      <c r="I1562" s="55" t="str">
        <f t="shared" si="194"/>
        <v/>
      </c>
      <c r="J1562" s="55" t="str">
        <f t="shared" si="195"/>
        <v/>
      </c>
      <c r="K1562" s="4" t="str">
        <f t="shared" si="196"/>
        <v/>
      </c>
      <c r="L1562" s="19" t="str">
        <f t="shared" si="197"/>
        <v/>
      </c>
      <c r="M1562" s="12" t="str">
        <f>IF(A1562="","",IFERROR(INDEX(المدخلات!$M$4:$M$15,MATCH(A1562,المدخلات!$L$4:$L$15,0)),""))</f>
        <v/>
      </c>
      <c r="N1562" s="4" t="str">
        <f t="shared" si="198"/>
        <v/>
      </c>
      <c r="O1562" s="4" t="str">
        <f t="shared" si="199"/>
        <v/>
      </c>
    </row>
    <row r="1563" spans="1:15">
      <c r="A1563" s="11"/>
      <c r="B1563" s="19"/>
      <c r="C1563" s="19"/>
      <c r="D1563" s="55"/>
      <c r="E1563" s="56"/>
      <c r="F1563" s="19"/>
      <c r="G1563" s="4" t="str">
        <f t="shared" si="192"/>
        <v/>
      </c>
      <c r="H1563" s="11" t="str">
        <f t="shared" si="193"/>
        <v/>
      </c>
      <c r="I1563" s="55" t="str">
        <f t="shared" si="194"/>
        <v/>
      </c>
      <c r="J1563" s="55" t="str">
        <f t="shared" si="195"/>
        <v/>
      </c>
      <c r="K1563" s="4" t="str">
        <f t="shared" si="196"/>
        <v/>
      </c>
      <c r="L1563" s="19" t="str">
        <f t="shared" si="197"/>
        <v/>
      </c>
      <c r="M1563" s="12" t="str">
        <f>IF(A1563="","",IFERROR(INDEX(المدخلات!$M$4:$M$15,MATCH(A1563,المدخلات!$L$4:$L$15,0)),""))</f>
        <v/>
      </c>
      <c r="N1563" s="4" t="str">
        <f t="shared" si="198"/>
        <v/>
      </c>
      <c r="O1563" s="4" t="str">
        <f t="shared" si="199"/>
        <v/>
      </c>
    </row>
    <row r="1564" spans="1:15">
      <c r="A1564" s="11"/>
      <c r="B1564" s="19"/>
      <c r="C1564" s="19"/>
      <c r="D1564" s="55"/>
      <c r="E1564" s="56"/>
      <c r="F1564" s="19"/>
      <c r="G1564" s="4" t="str">
        <f t="shared" si="192"/>
        <v/>
      </c>
      <c r="H1564" s="11" t="str">
        <f t="shared" si="193"/>
        <v/>
      </c>
      <c r="I1564" s="55" t="str">
        <f t="shared" si="194"/>
        <v/>
      </c>
      <c r="J1564" s="55" t="str">
        <f t="shared" si="195"/>
        <v/>
      </c>
      <c r="K1564" s="4" t="str">
        <f t="shared" si="196"/>
        <v/>
      </c>
      <c r="L1564" s="19" t="str">
        <f t="shared" si="197"/>
        <v/>
      </c>
      <c r="M1564" s="12" t="str">
        <f>IF(A1564="","",IFERROR(INDEX(المدخلات!$M$4:$M$15,MATCH(A1564,المدخلات!$L$4:$L$15,0)),""))</f>
        <v/>
      </c>
      <c r="N1564" s="4" t="str">
        <f t="shared" si="198"/>
        <v/>
      </c>
      <c r="O1564" s="4" t="str">
        <f t="shared" si="199"/>
        <v/>
      </c>
    </row>
    <row r="1565" spans="1:15">
      <c r="A1565" s="11"/>
      <c r="B1565" s="19"/>
      <c r="C1565" s="19"/>
      <c r="D1565" s="55"/>
      <c r="E1565" s="56"/>
      <c r="F1565" s="19"/>
      <c r="G1565" s="4" t="str">
        <f t="shared" si="192"/>
        <v/>
      </c>
      <c r="H1565" s="11" t="str">
        <f t="shared" si="193"/>
        <v/>
      </c>
      <c r="I1565" s="55" t="str">
        <f t="shared" si="194"/>
        <v/>
      </c>
      <c r="J1565" s="55" t="str">
        <f t="shared" si="195"/>
        <v/>
      </c>
      <c r="K1565" s="4" t="str">
        <f t="shared" si="196"/>
        <v/>
      </c>
      <c r="L1565" s="19" t="str">
        <f t="shared" si="197"/>
        <v/>
      </c>
      <c r="M1565" s="12" t="str">
        <f>IF(A1565="","",IFERROR(INDEX(المدخلات!$M$4:$M$15,MATCH(A1565,المدخلات!$L$4:$L$15,0)),""))</f>
        <v/>
      </c>
      <c r="N1565" s="4" t="str">
        <f t="shared" si="198"/>
        <v/>
      </c>
      <c r="O1565" s="4" t="str">
        <f t="shared" si="199"/>
        <v/>
      </c>
    </row>
    <row r="1566" spans="1:15">
      <c r="A1566" s="11"/>
      <c r="B1566" s="19"/>
      <c r="C1566" s="19"/>
      <c r="D1566" s="55"/>
      <c r="E1566" s="56"/>
      <c r="F1566" s="19"/>
      <c r="G1566" s="4" t="str">
        <f t="shared" si="192"/>
        <v/>
      </c>
      <c r="H1566" s="11" t="str">
        <f t="shared" si="193"/>
        <v/>
      </c>
      <c r="I1566" s="55" t="str">
        <f t="shared" si="194"/>
        <v/>
      </c>
      <c r="J1566" s="55" t="str">
        <f t="shared" si="195"/>
        <v/>
      </c>
      <c r="K1566" s="4" t="str">
        <f t="shared" si="196"/>
        <v/>
      </c>
      <c r="L1566" s="19" t="str">
        <f t="shared" si="197"/>
        <v/>
      </c>
      <c r="M1566" s="12" t="str">
        <f>IF(A1566="","",IFERROR(INDEX(المدخلات!$M$4:$M$15,MATCH(A1566,المدخلات!$L$4:$L$15,0)),""))</f>
        <v/>
      </c>
      <c r="N1566" s="4" t="str">
        <f t="shared" si="198"/>
        <v/>
      </c>
      <c r="O1566" s="4" t="str">
        <f t="shared" si="199"/>
        <v/>
      </c>
    </row>
    <row r="1567" spans="1:15">
      <c r="A1567" s="11"/>
      <c r="B1567" s="19"/>
      <c r="C1567" s="19"/>
      <c r="D1567" s="55"/>
      <c r="E1567" s="56"/>
      <c r="F1567" s="19"/>
      <c r="G1567" s="4" t="str">
        <f t="shared" si="192"/>
        <v/>
      </c>
      <c r="H1567" s="11" t="str">
        <f t="shared" si="193"/>
        <v/>
      </c>
      <c r="I1567" s="55" t="str">
        <f t="shared" si="194"/>
        <v/>
      </c>
      <c r="J1567" s="55" t="str">
        <f t="shared" si="195"/>
        <v/>
      </c>
      <c r="K1567" s="4" t="str">
        <f t="shared" si="196"/>
        <v/>
      </c>
      <c r="L1567" s="19" t="str">
        <f t="shared" si="197"/>
        <v/>
      </c>
      <c r="M1567" s="12" t="str">
        <f>IF(A1567="","",IFERROR(INDEX(المدخلات!$M$4:$M$15,MATCH(A1567,المدخلات!$L$4:$L$15,0)),""))</f>
        <v/>
      </c>
      <c r="N1567" s="4" t="str">
        <f t="shared" si="198"/>
        <v/>
      </c>
      <c r="O1567" s="4" t="str">
        <f t="shared" si="199"/>
        <v/>
      </c>
    </row>
    <row r="1568" spans="1:15">
      <c r="A1568" s="11"/>
      <c r="B1568" s="19"/>
      <c r="C1568" s="19"/>
      <c r="D1568" s="55"/>
      <c r="E1568" s="56"/>
      <c r="F1568" s="19"/>
      <c r="G1568" s="4" t="str">
        <f t="shared" si="192"/>
        <v/>
      </c>
      <c r="H1568" s="11" t="str">
        <f t="shared" si="193"/>
        <v/>
      </c>
      <c r="I1568" s="55" t="str">
        <f t="shared" si="194"/>
        <v/>
      </c>
      <c r="J1568" s="55" t="str">
        <f t="shared" si="195"/>
        <v/>
      </c>
      <c r="K1568" s="4" t="str">
        <f t="shared" si="196"/>
        <v/>
      </c>
      <c r="L1568" s="19" t="str">
        <f t="shared" si="197"/>
        <v/>
      </c>
      <c r="M1568" s="12" t="str">
        <f>IF(A1568="","",IFERROR(INDEX(المدخلات!$M$4:$M$15,MATCH(A1568,المدخلات!$L$4:$L$15,0)),""))</f>
        <v/>
      </c>
      <c r="N1568" s="4" t="str">
        <f t="shared" si="198"/>
        <v/>
      </c>
      <c r="O1568" s="4" t="str">
        <f t="shared" si="199"/>
        <v/>
      </c>
    </row>
    <row r="1569" spans="1:15">
      <c r="A1569" s="11"/>
      <c r="B1569" s="19"/>
      <c r="C1569" s="19"/>
      <c r="D1569" s="55"/>
      <c r="E1569" s="56"/>
      <c r="F1569" s="19"/>
      <c r="G1569" s="4" t="str">
        <f t="shared" si="192"/>
        <v/>
      </c>
      <c r="H1569" s="11" t="str">
        <f t="shared" si="193"/>
        <v/>
      </c>
      <c r="I1569" s="55" t="str">
        <f t="shared" si="194"/>
        <v/>
      </c>
      <c r="J1569" s="55" t="str">
        <f t="shared" si="195"/>
        <v/>
      </c>
      <c r="K1569" s="4" t="str">
        <f t="shared" si="196"/>
        <v/>
      </c>
      <c r="L1569" s="19" t="str">
        <f t="shared" si="197"/>
        <v/>
      </c>
      <c r="M1569" s="12" t="str">
        <f>IF(A1569="","",IFERROR(INDEX(المدخلات!$M$4:$M$15,MATCH(A1569,المدخلات!$L$4:$L$15,0)),""))</f>
        <v/>
      </c>
      <c r="N1569" s="4" t="str">
        <f t="shared" si="198"/>
        <v/>
      </c>
      <c r="O1569" s="4" t="str">
        <f t="shared" si="199"/>
        <v/>
      </c>
    </row>
    <row r="1570" spans="1:15">
      <c r="A1570" s="11"/>
      <c r="B1570" s="19"/>
      <c r="C1570" s="19"/>
      <c r="D1570" s="55"/>
      <c r="E1570" s="56"/>
      <c r="F1570" s="19"/>
      <c r="G1570" s="4" t="str">
        <f t="shared" si="192"/>
        <v/>
      </c>
      <c r="H1570" s="11" t="str">
        <f t="shared" si="193"/>
        <v/>
      </c>
      <c r="I1570" s="55" t="str">
        <f t="shared" si="194"/>
        <v/>
      </c>
      <c r="J1570" s="55" t="str">
        <f t="shared" si="195"/>
        <v/>
      </c>
      <c r="K1570" s="4" t="str">
        <f t="shared" si="196"/>
        <v/>
      </c>
      <c r="L1570" s="19" t="str">
        <f t="shared" si="197"/>
        <v/>
      </c>
      <c r="M1570" s="12" t="str">
        <f>IF(A1570="","",IFERROR(INDEX(المدخلات!$M$4:$M$15,MATCH(A1570,المدخلات!$L$4:$L$15,0)),""))</f>
        <v/>
      </c>
      <c r="N1570" s="4" t="str">
        <f t="shared" si="198"/>
        <v/>
      </c>
      <c r="O1570" s="4" t="str">
        <f t="shared" si="199"/>
        <v/>
      </c>
    </row>
    <row r="1571" spans="1:15">
      <c r="A1571" s="11"/>
      <c r="B1571" s="19"/>
      <c r="C1571" s="19"/>
      <c r="D1571" s="55"/>
      <c r="E1571" s="56"/>
      <c r="F1571" s="19"/>
      <c r="G1571" s="4" t="str">
        <f t="shared" si="192"/>
        <v/>
      </c>
      <c r="H1571" s="11" t="str">
        <f t="shared" si="193"/>
        <v/>
      </c>
      <c r="I1571" s="55" t="str">
        <f t="shared" si="194"/>
        <v/>
      </c>
      <c r="J1571" s="55" t="str">
        <f t="shared" si="195"/>
        <v/>
      </c>
      <c r="K1571" s="4" t="str">
        <f t="shared" si="196"/>
        <v/>
      </c>
      <c r="L1571" s="19" t="str">
        <f t="shared" si="197"/>
        <v/>
      </c>
      <c r="M1571" s="12" t="str">
        <f>IF(A1571="","",IFERROR(INDEX(المدخلات!$M$4:$M$15,MATCH(A1571,المدخلات!$L$4:$L$15,0)),""))</f>
        <v/>
      </c>
      <c r="N1571" s="4" t="str">
        <f t="shared" si="198"/>
        <v/>
      </c>
      <c r="O1571" s="4" t="str">
        <f t="shared" si="199"/>
        <v/>
      </c>
    </row>
    <row r="1572" spans="1:15">
      <c r="A1572" s="11"/>
      <c r="B1572" s="19"/>
      <c r="C1572" s="19"/>
      <c r="D1572" s="55"/>
      <c r="E1572" s="56"/>
      <c r="F1572" s="19"/>
      <c r="G1572" s="4" t="str">
        <f t="shared" si="192"/>
        <v/>
      </c>
      <c r="H1572" s="11" t="str">
        <f t="shared" si="193"/>
        <v/>
      </c>
      <c r="I1572" s="55" t="str">
        <f t="shared" si="194"/>
        <v/>
      </c>
      <c r="J1572" s="55" t="str">
        <f t="shared" si="195"/>
        <v/>
      </c>
      <c r="K1572" s="4" t="str">
        <f t="shared" si="196"/>
        <v/>
      </c>
      <c r="L1572" s="19" t="str">
        <f t="shared" si="197"/>
        <v/>
      </c>
      <c r="M1572" s="12" t="str">
        <f>IF(A1572="","",IFERROR(INDEX(المدخلات!$M$4:$M$15,MATCH(A1572,المدخلات!$L$4:$L$15,0)),""))</f>
        <v/>
      </c>
      <c r="N1572" s="4" t="str">
        <f t="shared" si="198"/>
        <v/>
      </c>
      <c r="O1572" s="4" t="str">
        <f t="shared" si="199"/>
        <v/>
      </c>
    </row>
    <row r="1573" spans="1:15">
      <c r="A1573" s="11"/>
      <c r="B1573" s="19"/>
      <c r="C1573" s="19"/>
      <c r="D1573" s="55"/>
      <c r="E1573" s="56"/>
      <c r="F1573" s="19"/>
      <c r="G1573" s="4" t="str">
        <f t="shared" si="192"/>
        <v/>
      </c>
      <c r="H1573" s="11" t="str">
        <f t="shared" si="193"/>
        <v/>
      </c>
      <c r="I1573" s="55" t="str">
        <f t="shared" si="194"/>
        <v/>
      </c>
      <c r="J1573" s="55" t="str">
        <f t="shared" si="195"/>
        <v/>
      </c>
      <c r="K1573" s="4" t="str">
        <f t="shared" si="196"/>
        <v/>
      </c>
      <c r="L1573" s="19" t="str">
        <f t="shared" si="197"/>
        <v/>
      </c>
      <c r="M1573" s="12" t="str">
        <f>IF(A1573="","",IFERROR(INDEX(المدخلات!$M$4:$M$15,MATCH(A1573,المدخلات!$L$4:$L$15,0)),""))</f>
        <v/>
      </c>
      <c r="N1573" s="4" t="str">
        <f t="shared" si="198"/>
        <v/>
      </c>
      <c r="O1573" s="4" t="str">
        <f t="shared" si="199"/>
        <v/>
      </c>
    </row>
    <row r="1574" spans="1:15">
      <c r="A1574" s="11"/>
      <c r="B1574" s="19"/>
      <c r="C1574" s="19"/>
      <c r="D1574" s="55"/>
      <c r="E1574" s="56"/>
      <c r="F1574" s="19"/>
      <c r="G1574" s="4" t="str">
        <f t="shared" si="192"/>
        <v/>
      </c>
      <c r="H1574" s="11" t="str">
        <f t="shared" si="193"/>
        <v/>
      </c>
      <c r="I1574" s="55" t="str">
        <f t="shared" si="194"/>
        <v/>
      </c>
      <c r="J1574" s="55" t="str">
        <f t="shared" si="195"/>
        <v/>
      </c>
      <c r="K1574" s="4" t="str">
        <f t="shared" si="196"/>
        <v/>
      </c>
      <c r="L1574" s="19" t="str">
        <f t="shared" si="197"/>
        <v/>
      </c>
      <c r="M1574" s="12" t="str">
        <f>IF(A1574="","",IFERROR(INDEX(المدخلات!$M$4:$M$15,MATCH(A1574,المدخلات!$L$4:$L$15,0)),""))</f>
        <v/>
      </c>
      <c r="N1574" s="4" t="str">
        <f t="shared" si="198"/>
        <v/>
      </c>
      <c r="O1574" s="4" t="str">
        <f t="shared" si="199"/>
        <v/>
      </c>
    </row>
    <row r="1575" spans="1:15">
      <c r="A1575" s="11"/>
      <c r="B1575" s="19"/>
      <c r="C1575" s="19"/>
      <c r="D1575" s="55"/>
      <c r="E1575" s="56"/>
      <c r="F1575" s="19"/>
      <c r="G1575" s="4" t="str">
        <f t="shared" si="192"/>
        <v/>
      </c>
      <c r="H1575" s="11" t="str">
        <f t="shared" si="193"/>
        <v/>
      </c>
      <c r="I1575" s="55" t="str">
        <f t="shared" si="194"/>
        <v/>
      </c>
      <c r="J1575" s="55" t="str">
        <f t="shared" si="195"/>
        <v/>
      </c>
      <c r="K1575" s="4" t="str">
        <f t="shared" si="196"/>
        <v/>
      </c>
      <c r="L1575" s="19" t="str">
        <f t="shared" si="197"/>
        <v/>
      </c>
      <c r="M1575" s="12" t="str">
        <f>IF(A1575="","",IFERROR(INDEX(المدخلات!$M$4:$M$15,MATCH(A1575,المدخلات!$L$4:$L$15,0)),""))</f>
        <v/>
      </c>
      <c r="N1575" s="4" t="str">
        <f t="shared" si="198"/>
        <v/>
      </c>
      <c r="O1575" s="4" t="str">
        <f t="shared" si="199"/>
        <v/>
      </c>
    </row>
    <row r="1576" spans="1:15">
      <c r="A1576" s="11"/>
      <c r="B1576" s="19"/>
      <c r="C1576" s="19"/>
      <c r="D1576" s="55"/>
      <c r="E1576" s="56"/>
      <c r="F1576" s="19"/>
      <c r="G1576" s="4" t="str">
        <f t="shared" si="192"/>
        <v/>
      </c>
      <c r="H1576" s="11" t="str">
        <f t="shared" si="193"/>
        <v/>
      </c>
      <c r="I1576" s="55" t="str">
        <f t="shared" si="194"/>
        <v/>
      </c>
      <c r="J1576" s="55" t="str">
        <f t="shared" si="195"/>
        <v/>
      </c>
      <c r="K1576" s="4" t="str">
        <f t="shared" si="196"/>
        <v/>
      </c>
      <c r="L1576" s="19" t="str">
        <f t="shared" si="197"/>
        <v/>
      </c>
      <c r="M1576" s="12" t="str">
        <f>IF(A1576="","",IFERROR(INDEX(المدخلات!$M$4:$M$15,MATCH(A1576,المدخلات!$L$4:$L$15,0)),""))</f>
        <v/>
      </c>
      <c r="N1576" s="4" t="str">
        <f t="shared" si="198"/>
        <v/>
      </c>
      <c r="O1576" s="4" t="str">
        <f t="shared" si="199"/>
        <v/>
      </c>
    </row>
    <row r="1577" spans="1:15">
      <c r="A1577" s="11"/>
      <c r="B1577" s="19"/>
      <c r="C1577" s="19"/>
      <c r="D1577" s="55"/>
      <c r="E1577" s="56"/>
      <c r="F1577" s="19"/>
      <c r="G1577" s="4" t="str">
        <f t="shared" si="192"/>
        <v/>
      </c>
      <c r="H1577" s="11" t="str">
        <f t="shared" si="193"/>
        <v/>
      </c>
      <c r="I1577" s="55" t="str">
        <f t="shared" si="194"/>
        <v/>
      </c>
      <c r="J1577" s="55" t="str">
        <f t="shared" si="195"/>
        <v/>
      </c>
      <c r="K1577" s="4" t="str">
        <f t="shared" si="196"/>
        <v/>
      </c>
      <c r="L1577" s="19" t="str">
        <f t="shared" si="197"/>
        <v/>
      </c>
      <c r="M1577" s="12" t="str">
        <f>IF(A1577="","",IFERROR(INDEX(المدخلات!$M$4:$M$15,MATCH(A1577,المدخلات!$L$4:$L$15,0)),""))</f>
        <v/>
      </c>
      <c r="N1577" s="4" t="str">
        <f t="shared" si="198"/>
        <v/>
      </c>
      <c r="O1577" s="4" t="str">
        <f t="shared" si="199"/>
        <v/>
      </c>
    </row>
    <row r="1578" spans="1:15">
      <c r="A1578" s="11"/>
      <c r="B1578" s="19"/>
      <c r="C1578" s="19"/>
      <c r="D1578" s="55"/>
      <c r="E1578" s="56"/>
      <c r="F1578" s="19"/>
      <c r="G1578" s="4" t="str">
        <f t="shared" si="192"/>
        <v/>
      </c>
      <c r="H1578" s="11" t="str">
        <f t="shared" si="193"/>
        <v/>
      </c>
      <c r="I1578" s="55" t="str">
        <f t="shared" si="194"/>
        <v/>
      </c>
      <c r="J1578" s="55" t="str">
        <f t="shared" si="195"/>
        <v/>
      </c>
      <c r="K1578" s="4" t="str">
        <f t="shared" si="196"/>
        <v/>
      </c>
      <c r="L1578" s="19" t="str">
        <f t="shared" si="197"/>
        <v/>
      </c>
      <c r="M1578" s="12" t="str">
        <f>IF(A1578="","",IFERROR(INDEX(المدخلات!$M$4:$M$15,MATCH(A1578,المدخلات!$L$4:$L$15,0)),""))</f>
        <v/>
      </c>
      <c r="N1578" s="4" t="str">
        <f t="shared" si="198"/>
        <v/>
      </c>
      <c r="O1578" s="4" t="str">
        <f t="shared" si="199"/>
        <v/>
      </c>
    </row>
    <row r="1579" spans="1:15">
      <c r="A1579" s="11"/>
      <c r="B1579" s="19"/>
      <c r="C1579" s="19"/>
      <c r="D1579" s="55"/>
      <c r="E1579" s="56"/>
      <c r="F1579" s="19"/>
      <c r="G1579" s="4" t="str">
        <f t="shared" si="192"/>
        <v/>
      </c>
      <c r="H1579" s="11" t="str">
        <f t="shared" si="193"/>
        <v/>
      </c>
      <c r="I1579" s="55" t="str">
        <f t="shared" si="194"/>
        <v/>
      </c>
      <c r="J1579" s="55" t="str">
        <f t="shared" si="195"/>
        <v/>
      </c>
      <c r="K1579" s="4" t="str">
        <f t="shared" si="196"/>
        <v/>
      </c>
      <c r="L1579" s="19" t="str">
        <f t="shared" si="197"/>
        <v/>
      </c>
      <c r="M1579" s="12" t="str">
        <f>IF(A1579="","",IFERROR(INDEX(المدخلات!$M$4:$M$15,MATCH(A1579,المدخلات!$L$4:$L$15,0)),""))</f>
        <v/>
      </c>
      <c r="N1579" s="4" t="str">
        <f t="shared" si="198"/>
        <v/>
      </c>
      <c r="O1579" s="4" t="str">
        <f t="shared" si="199"/>
        <v/>
      </c>
    </row>
    <row r="1580" spans="1:15">
      <c r="A1580" s="11"/>
      <c r="B1580" s="19"/>
      <c r="C1580" s="19"/>
      <c r="D1580" s="55"/>
      <c r="E1580" s="56"/>
      <c r="F1580" s="19"/>
      <c r="G1580" s="4" t="str">
        <f t="shared" si="192"/>
        <v/>
      </c>
      <c r="H1580" s="11" t="str">
        <f t="shared" si="193"/>
        <v/>
      </c>
      <c r="I1580" s="55" t="str">
        <f t="shared" si="194"/>
        <v/>
      </c>
      <c r="J1580" s="55" t="str">
        <f t="shared" si="195"/>
        <v/>
      </c>
      <c r="K1580" s="4" t="str">
        <f t="shared" si="196"/>
        <v/>
      </c>
      <c r="L1580" s="19" t="str">
        <f t="shared" si="197"/>
        <v/>
      </c>
      <c r="M1580" s="12" t="str">
        <f>IF(A1580="","",IFERROR(INDEX(المدخلات!$M$4:$M$15,MATCH(A1580,المدخلات!$L$4:$L$15,0)),""))</f>
        <v/>
      </c>
      <c r="N1580" s="4" t="str">
        <f t="shared" si="198"/>
        <v/>
      </c>
      <c r="O1580" s="4" t="str">
        <f t="shared" si="199"/>
        <v/>
      </c>
    </row>
    <row r="1581" spans="1:15">
      <c r="A1581" s="11"/>
      <c r="B1581" s="19"/>
      <c r="C1581" s="19"/>
      <c r="D1581" s="55"/>
      <c r="E1581" s="56"/>
      <c r="F1581" s="19"/>
      <c r="G1581" s="4" t="str">
        <f t="shared" si="192"/>
        <v/>
      </c>
      <c r="H1581" s="11" t="str">
        <f t="shared" si="193"/>
        <v/>
      </c>
      <c r="I1581" s="55" t="str">
        <f t="shared" si="194"/>
        <v/>
      </c>
      <c r="J1581" s="55" t="str">
        <f t="shared" si="195"/>
        <v/>
      </c>
      <c r="K1581" s="4" t="str">
        <f t="shared" si="196"/>
        <v/>
      </c>
      <c r="L1581" s="19" t="str">
        <f t="shared" si="197"/>
        <v/>
      </c>
      <c r="M1581" s="12" t="str">
        <f>IF(A1581="","",IFERROR(INDEX(المدخلات!$M$4:$M$15,MATCH(A1581,المدخلات!$L$4:$L$15,0)),""))</f>
        <v/>
      </c>
      <c r="N1581" s="4" t="str">
        <f t="shared" si="198"/>
        <v/>
      </c>
      <c r="O1581" s="4" t="str">
        <f t="shared" si="199"/>
        <v/>
      </c>
    </row>
    <row r="1582" spans="1:15">
      <c r="A1582" s="11"/>
      <c r="B1582" s="19"/>
      <c r="C1582" s="19"/>
      <c r="D1582" s="55"/>
      <c r="E1582" s="56"/>
      <c r="F1582" s="19"/>
      <c r="G1582" s="4" t="str">
        <f t="shared" si="192"/>
        <v/>
      </c>
      <c r="H1582" s="11" t="str">
        <f t="shared" si="193"/>
        <v/>
      </c>
      <c r="I1582" s="55" t="str">
        <f t="shared" si="194"/>
        <v/>
      </c>
      <c r="J1582" s="55" t="str">
        <f t="shared" si="195"/>
        <v/>
      </c>
      <c r="K1582" s="4" t="str">
        <f t="shared" si="196"/>
        <v/>
      </c>
      <c r="L1582" s="19" t="str">
        <f t="shared" si="197"/>
        <v/>
      </c>
      <c r="M1582" s="12" t="str">
        <f>IF(A1582="","",IFERROR(INDEX(المدخلات!$M$4:$M$15,MATCH(A1582,المدخلات!$L$4:$L$15,0)),""))</f>
        <v/>
      </c>
      <c r="N1582" s="4" t="str">
        <f t="shared" si="198"/>
        <v/>
      </c>
      <c r="O1582" s="4" t="str">
        <f t="shared" si="199"/>
        <v/>
      </c>
    </row>
    <row r="1583" spans="1:15">
      <c r="A1583" s="11"/>
      <c r="B1583" s="19"/>
      <c r="C1583" s="19"/>
      <c r="D1583" s="55"/>
      <c r="E1583" s="56"/>
      <c r="F1583" s="19"/>
      <c r="G1583" s="4" t="str">
        <f t="shared" si="192"/>
        <v/>
      </c>
      <c r="H1583" s="11" t="str">
        <f t="shared" si="193"/>
        <v/>
      </c>
      <c r="I1583" s="55" t="str">
        <f t="shared" si="194"/>
        <v/>
      </c>
      <c r="J1583" s="55" t="str">
        <f t="shared" si="195"/>
        <v/>
      </c>
      <c r="K1583" s="4" t="str">
        <f t="shared" si="196"/>
        <v/>
      </c>
      <c r="L1583" s="19" t="str">
        <f t="shared" si="197"/>
        <v/>
      </c>
      <c r="M1583" s="12" t="str">
        <f>IF(A1583="","",IFERROR(INDEX(المدخلات!$M$4:$M$15,MATCH(A1583,المدخلات!$L$4:$L$15,0)),""))</f>
        <v/>
      </c>
      <c r="N1583" s="4" t="str">
        <f t="shared" si="198"/>
        <v/>
      </c>
      <c r="O1583" s="4" t="str">
        <f t="shared" si="199"/>
        <v/>
      </c>
    </row>
    <row r="1584" spans="1:15">
      <c r="A1584" s="11"/>
      <c r="B1584" s="19"/>
      <c r="C1584" s="19"/>
      <c r="D1584" s="55"/>
      <c r="E1584" s="56"/>
      <c r="F1584" s="19"/>
      <c r="G1584" s="4" t="str">
        <f t="shared" si="192"/>
        <v/>
      </c>
      <c r="H1584" s="11" t="str">
        <f t="shared" si="193"/>
        <v/>
      </c>
      <c r="I1584" s="55" t="str">
        <f t="shared" si="194"/>
        <v/>
      </c>
      <c r="J1584" s="55" t="str">
        <f t="shared" si="195"/>
        <v/>
      </c>
      <c r="K1584" s="4" t="str">
        <f t="shared" si="196"/>
        <v/>
      </c>
      <c r="L1584" s="19" t="str">
        <f t="shared" si="197"/>
        <v/>
      </c>
      <c r="M1584" s="12" t="str">
        <f>IF(A1584="","",IFERROR(INDEX(المدخلات!$M$4:$M$15,MATCH(A1584,المدخلات!$L$4:$L$15,0)),""))</f>
        <v/>
      </c>
      <c r="N1584" s="4" t="str">
        <f t="shared" si="198"/>
        <v/>
      </c>
      <c r="O1584" s="4" t="str">
        <f t="shared" si="199"/>
        <v/>
      </c>
    </row>
    <row r="1585" spans="1:15">
      <c r="A1585" s="11"/>
      <c r="B1585" s="19"/>
      <c r="C1585" s="19"/>
      <c r="D1585" s="55"/>
      <c r="E1585" s="56"/>
      <c r="F1585" s="19"/>
      <c r="G1585" s="4" t="str">
        <f t="shared" si="192"/>
        <v/>
      </c>
      <c r="H1585" s="11" t="str">
        <f t="shared" si="193"/>
        <v/>
      </c>
      <c r="I1585" s="55" t="str">
        <f t="shared" si="194"/>
        <v/>
      </c>
      <c r="J1585" s="55" t="str">
        <f t="shared" si="195"/>
        <v/>
      </c>
      <c r="K1585" s="4" t="str">
        <f t="shared" si="196"/>
        <v/>
      </c>
      <c r="L1585" s="19" t="str">
        <f t="shared" si="197"/>
        <v/>
      </c>
      <c r="M1585" s="12" t="str">
        <f>IF(A1585="","",IFERROR(INDEX(المدخلات!$M$4:$M$15,MATCH(A1585,المدخلات!$L$4:$L$15,0)),""))</f>
        <v/>
      </c>
      <c r="N1585" s="4" t="str">
        <f t="shared" si="198"/>
        <v/>
      </c>
      <c r="O1585" s="4" t="str">
        <f t="shared" si="199"/>
        <v/>
      </c>
    </row>
    <row r="1586" spans="1:15">
      <c r="A1586" s="11"/>
      <c r="B1586" s="19"/>
      <c r="C1586" s="19"/>
      <c r="D1586" s="55"/>
      <c r="E1586" s="56"/>
      <c r="F1586" s="19"/>
      <c r="G1586" s="4" t="str">
        <f t="shared" si="192"/>
        <v/>
      </c>
      <c r="H1586" s="11" t="str">
        <f t="shared" si="193"/>
        <v/>
      </c>
      <c r="I1586" s="55" t="str">
        <f t="shared" si="194"/>
        <v/>
      </c>
      <c r="J1586" s="55" t="str">
        <f t="shared" si="195"/>
        <v/>
      </c>
      <c r="K1586" s="4" t="str">
        <f t="shared" si="196"/>
        <v/>
      </c>
      <c r="L1586" s="19" t="str">
        <f t="shared" si="197"/>
        <v/>
      </c>
      <c r="M1586" s="12" t="str">
        <f>IF(A1586="","",IFERROR(INDEX(المدخلات!$M$4:$M$15,MATCH(A1586,المدخلات!$L$4:$L$15,0)),""))</f>
        <v/>
      </c>
      <c r="N1586" s="4" t="str">
        <f t="shared" si="198"/>
        <v/>
      </c>
      <c r="O1586" s="4" t="str">
        <f t="shared" si="199"/>
        <v/>
      </c>
    </row>
    <row r="1587" spans="1:15">
      <c r="A1587" s="11"/>
      <c r="B1587" s="19"/>
      <c r="C1587" s="19"/>
      <c r="D1587" s="55"/>
      <c r="E1587" s="56"/>
      <c r="F1587" s="19"/>
      <c r="G1587" s="4" t="str">
        <f t="shared" si="192"/>
        <v/>
      </c>
      <c r="H1587" s="11" t="str">
        <f t="shared" si="193"/>
        <v/>
      </c>
      <c r="I1587" s="55" t="str">
        <f t="shared" si="194"/>
        <v/>
      </c>
      <c r="J1587" s="55" t="str">
        <f t="shared" si="195"/>
        <v/>
      </c>
      <c r="K1587" s="4" t="str">
        <f t="shared" si="196"/>
        <v/>
      </c>
      <c r="L1587" s="19" t="str">
        <f t="shared" si="197"/>
        <v/>
      </c>
      <c r="M1587" s="12" t="str">
        <f>IF(A1587="","",IFERROR(INDEX(المدخلات!$M$4:$M$15,MATCH(A1587,المدخلات!$L$4:$L$15,0)),""))</f>
        <v/>
      </c>
      <c r="N1587" s="4" t="str">
        <f t="shared" si="198"/>
        <v/>
      </c>
      <c r="O1587" s="4" t="str">
        <f t="shared" si="199"/>
        <v/>
      </c>
    </row>
    <row r="1588" spans="1:15">
      <c r="A1588" s="11"/>
      <c r="B1588" s="19"/>
      <c r="C1588" s="19"/>
      <c r="D1588" s="55"/>
      <c r="E1588" s="56"/>
      <c r="F1588" s="19"/>
      <c r="G1588" s="4" t="str">
        <f t="shared" si="192"/>
        <v/>
      </c>
      <c r="H1588" s="11" t="str">
        <f t="shared" si="193"/>
        <v/>
      </c>
      <c r="I1588" s="55" t="str">
        <f t="shared" si="194"/>
        <v/>
      </c>
      <c r="J1588" s="55" t="str">
        <f t="shared" si="195"/>
        <v/>
      </c>
      <c r="K1588" s="4" t="str">
        <f t="shared" si="196"/>
        <v/>
      </c>
      <c r="L1588" s="19" t="str">
        <f t="shared" si="197"/>
        <v/>
      </c>
      <c r="M1588" s="12" t="str">
        <f>IF(A1588="","",IFERROR(INDEX(المدخلات!$M$4:$M$15,MATCH(A1588,المدخلات!$L$4:$L$15,0)),""))</f>
        <v/>
      </c>
      <c r="N1588" s="4" t="str">
        <f t="shared" si="198"/>
        <v/>
      </c>
      <c r="O1588" s="4" t="str">
        <f t="shared" si="199"/>
        <v/>
      </c>
    </row>
    <row r="1589" spans="1:15">
      <c r="A1589" s="11"/>
      <c r="B1589" s="19"/>
      <c r="C1589" s="19"/>
      <c r="D1589" s="55"/>
      <c r="E1589" s="56"/>
      <c r="F1589" s="19"/>
      <c r="G1589" s="4" t="str">
        <f t="shared" si="192"/>
        <v/>
      </c>
      <c r="H1589" s="11" t="str">
        <f t="shared" si="193"/>
        <v/>
      </c>
      <c r="I1589" s="55" t="str">
        <f t="shared" si="194"/>
        <v/>
      </c>
      <c r="J1589" s="55" t="str">
        <f t="shared" si="195"/>
        <v/>
      </c>
      <c r="K1589" s="4" t="str">
        <f t="shared" si="196"/>
        <v/>
      </c>
      <c r="L1589" s="19" t="str">
        <f t="shared" si="197"/>
        <v/>
      </c>
      <c r="M1589" s="12" t="str">
        <f>IF(A1589="","",IFERROR(INDEX(المدخلات!$M$4:$M$15,MATCH(A1589,المدخلات!$L$4:$L$15,0)),""))</f>
        <v/>
      </c>
      <c r="N1589" s="4" t="str">
        <f t="shared" si="198"/>
        <v/>
      </c>
      <c r="O1589" s="4" t="str">
        <f t="shared" si="199"/>
        <v/>
      </c>
    </row>
    <row r="1590" spans="1:15">
      <c r="A1590" s="11"/>
      <c r="B1590" s="19"/>
      <c r="C1590" s="19"/>
      <c r="D1590" s="55"/>
      <c r="E1590" s="56"/>
      <c r="F1590" s="19"/>
      <c r="G1590" s="4" t="str">
        <f t="shared" si="192"/>
        <v/>
      </c>
      <c r="H1590" s="11" t="str">
        <f t="shared" si="193"/>
        <v/>
      </c>
      <c r="I1590" s="55" t="str">
        <f t="shared" si="194"/>
        <v/>
      </c>
      <c r="J1590" s="55" t="str">
        <f t="shared" si="195"/>
        <v/>
      </c>
      <c r="K1590" s="4" t="str">
        <f t="shared" si="196"/>
        <v/>
      </c>
      <c r="L1590" s="19" t="str">
        <f t="shared" si="197"/>
        <v/>
      </c>
      <c r="M1590" s="12" t="str">
        <f>IF(A1590="","",IFERROR(INDEX(المدخلات!$M$4:$M$15,MATCH(A1590,المدخلات!$L$4:$L$15,0)),""))</f>
        <v/>
      </c>
      <c r="N1590" s="4" t="str">
        <f t="shared" si="198"/>
        <v/>
      </c>
      <c r="O1590" s="4" t="str">
        <f t="shared" si="199"/>
        <v/>
      </c>
    </row>
    <row r="1591" spans="1:15">
      <c r="A1591" s="11"/>
      <c r="B1591" s="19"/>
      <c r="C1591" s="19"/>
      <c r="D1591" s="55"/>
      <c r="E1591" s="56"/>
      <c r="F1591" s="19"/>
      <c r="G1591" s="4" t="str">
        <f t="shared" si="192"/>
        <v/>
      </c>
      <c r="H1591" s="11" t="str">
        <f t="shared" si="193"/>
        <v/>
      </c>
      <c r="I1591" s="55" t="str">
        <f t="shared" si="194"/>
        <v/>
      </c>
      <c r="J1591" s="55" t="str">
        <f t="shared" si="195"/>
        <v/>
      </c>
      <c r="K1591" s="4" t="str">
        <f t="shared" si="196"/>
        <v/>
      </c>
      <c r="L1591" s="19" t="str">
        <f t="shared" si="197"/>
        <v/>
      </c>
      <c r="M1591" s="12" t="str">
        <f>IF(A1591="","",IFERROR(INDEX(المدخلات!$M$4:$M$15,MATCH(A1591,المدخلات!$L$4:$L$15,0)),""))</f>
        <v/>
      </c>
      <c r="N1591" s="4" t="str">
        <f t="shared" si="198"/>
        <v/>
      </c>
      <c r="O1591" s="4" t="str">
        <f t="shared" si="199"/>
        <v/>
      </c>
    </row>
    <row r="1592" spans="1:15">
      <c r="A1592" s="11"/>
      <c r="B1592" s="19"/>
      <c r="C1592" s="19"/>
      <c r="D1592" s="55"/>
      <c r="E1592" s="56"/>
      <c r="F1592" s="19"/>
      <c r="G1592" s="4" t="str">
        <f t="shared" si="192"/>
        <v/>
      </c>
      <c r="H1592" s="11" t="str">
        <f t="shared" si="193"/>
        <v/>
      </c>
      <c r="I1592" s="55" t="str">
        <f t="shared" si="194"/>
        <v/>
      </c>
      <c r="J1592" s="55" t="str">
        <f t="shared" si="195"/>
        <v/>
      </c>
      <c r="K1592" s="4" t="str">
        <f t="shared" si="196"/>
        <v/>
      </c>
      <c r="L1592" s="19" t="str">
        <f t="shared" si="197"/>
        <v/>
      </c>
      <c r="M1592" s="12" t="str">
        <f>IF(A1592="","",IFERROR(INDEX(المدخلات!$M$4:$M$15,MATCH(A1592,المدخلات!$L$4:$L$15,0)),""))</f>
        <v/>
      </c>
      <c r="N1592" s="4" t="str">
        <f t="shared" si="198"/>
        <v/>
      </c>
      <c r="O1592" s="4" t="str">
        <f t="shared" si="199"/>
        <v/>
      </c>
    </row>
    <row r="1593" spans="1:15">
      <c r="A1593" s="11"/>
      <c r="B1593" s="19"/>
      <c r="C1593" s="19"/>
      <c r="D1593" s="55"/>
      <c r="E1593" s="56"/>
      <c r="F1593" s="19"/>
      <c r="G1593" s="4" t="str">
        <f t="shared" si="192"/>
        <v/>
      </c>
      <c r="H1593" s="11" t="str">
        <f t="shared" si="193"/>
        <v/>
      </c>
      <c r="I1593" s="55" t="str">
        <f t="shared" si="194"/>
        <v/>
      </c>
      <c r="J1593" s="55" t="str">
        <f t="shared" si="195"/>
        <v/>
      </c>
      <c r="K1593" s="4" t="str">
        <f t="shared" si="196"/>
        <v/>
      </c>
      <c r="L1593" s="19" t="str">
        <f t="shared" si="197"/>
        <v/>
      </c>
      <c r="M1593" s="12" t="str">
        <f>IF(A1593="","",IFERROR(INDEX(المدخلات!$M$4:$M$15,MATCH(A1593,المدخلات!$L$4:$L$15,0)),""))</f>
        <v/>
      </c>
      <c r="N1593" s="4" t="str">
        <f t="shared" si="198"/>
        <v/>
      </c>
      <c r="O1593" s="4" t="str">
        <f t="shared" si="199"/>
        <v/>
      </c>
    </row>
    <row r="1594" spans="1:15">
      <c r="A1594" s="11"/>
      <c r="B1594" s="19"/>
      <c r="C1594" s="19"/>
      <c r="D1594" s="55"/>
      <c r="E1594" s="56"/>
      <c r="F1594" s="19"/>
      <c r="G1594" s="4" t="str">
        <f t="shared" si="192"/>
        <v/>
      </c>
      <c r="H1594" s="11" t="str">
        <f t="shared" si="193"/>
        <v/>
      </c>
      <c r="I1594" s="55" t="str">
        <f t="shared" si="194"/>
        <v/>
      </c>
      <c r="J1594" s="55" t="str">
        <f t="shared" si="195"/>
        <v/>
      </c>
      <c r="K1594" s="4" t="str">
        <f t="shared" si="196"/>
        <v/>
      </c>
      <c r="L1594" s="19" t="str">
        <f t="shared" si="197"/>
        <v/>
      </c>
      <c r="M1594" s="12" t="str">
        <f>IF(A1594="","",IFERROR(INDEX(المدخلات!$M$4:$M$15,MATCH(A1594,المدخلات!$L$4:$L$15,0)),""))</f>
        <v/>
      </c>
      <c r="N1594" s="4" t="str">
        <f t="shared" si="198"/>
        <v/>
      </c>
      <c r="O1594" s="4" t="str">
        <f t="shared" si="199"/>
        <v/>
      </c>
    </row>
    <row r="1595" spans="1:15">
      <c r="A1595" s="11"/>
      <c r="B1595" s="19"/>
      <c r="C1595" s="19"/>
      <c r="D1595" s="55"/>
      <c r="E1595" s="56"/>
      <c r="F1595" s="19"/>
      <c r="G1595" s="4" t="str">
        <f t="shared" si="192"/>
        <v/>
      </c>
      <c r="H1595" s="11" t="str">
        <f t="shared" si="193"/>
        <v/>
      </c>
      <c r="I1595" s="55" t="str">
        <f t="shared" si="194"/>
        <v/>
      </c>
      <c r="J1595" s="55" t="str">
        <f t="shared" si="195"/>
        <v/>
      </c>
      <c r="K1595" s="4" t="str">
        <f t="shared" si="196"/>
        <v/>
      </c>
      <c r="L1595" s="19" t="str">
        <f t="shared" si="197"/>
        <v/>
      </c>
      <c r="M1595" s="12" t="str">
        <f>IF(A1595="","",IFERROR(INDEX(المدخلات!$M$4:$M$15,MATCH(A1595,المدخلات!$L$4:$L$15,0)),""))</f>
        <v/>
      </c>
      <c r="N1595" s="4" t="str">
        <f t="shared" si="198"/>
        <v/>
      </c>
      <c r="O1595" s="4" t="str">
        <f t="shared" si="199"/>
        <v/>
      </c>
    </row>
    <row r="1596" spans="1:15">
      <c r="A1596" s="11"/>
      <c r="B1596" s="19"/>
      <c r="C1596" s="19"/>
      <c r="D1596" s="55"/>
      <c r="E1596" s="56"/>
      <c r="F1596" s="19"/>
      <c r="G1596" s="4" t="str">
        <f t="shared" si="192"/>
        <v/>
      </c>
      <c r="H1596" s="11" t="str">
        <f t="shared" si="193"/>
        <v/>
      </c>
      <c r="I1596" s="55" t="str">
        <f t="shared" si="194"/>
        <v/>
      </c>
      <c r="J1596" s="55" t="str">
        <f t="shared" si="195"/>
        <v/>
      </c>
      <c r="K1596" s="4" t="str">
        <f t="shared" si="196"/>
        <v/>
      </c>
      <c r="L1596" s="19" t="str">
        <f t="shared" si="197"/>
        <v/>
      </c>
      <c r="M1596" s="12" t="str">
        <f>IF(A1596="","",IFERROR(INDEX(المدخلات!$M$4:$M$15,MATCH(A1596,المدخلات!$L$4:$L$15,0)),""))</f>
        <v/>
      </c>
      <c r="N1596" s="4" t="str">
        <f t="shared" si="198"/>
        <v/>
      </c>
      <c r="O1596" s="4" t="str">
        <f t="shared" si="199"/>
        <v/>
      </c>
    </row>
    <row r="1597" spans="1:15">
      <c r="A1597" s="11"/>
      <c r="B1597" s="19"/>
      <c r="C1597" s="19"/>
      <c r="D1597" s="55"/>
      <c r="E1597" s="56"/>
      <c r="F1597" s="19"/>
      <c r="G1597" s="4" t="str">
        <f t="shared" si="192"/>
        <v/>
      </c>
      <c r="H1597" s="11" t="str">
        <f t="shared" si="193"/>
        <v/>
      </c>
      <c r="I1597" s="55" t="str">
        <f t="shared" si="194"/>
        <v/>
      </c>
      <c r="J1597" s="55" t="str">
        <f t="shared" si="195"/>
        <v/>
      </c>
      <c r="K1597" s="4" t="str">
        <f t="shared" si="196"/>
        <v/>
      </c>
      <c r="L1597" s="19" t="str">
        <f t="shared" si="197"/>
        <v/>
      </c>
      <c r="M1597" s="12" t="str">
        <f>IF(A1597="","",IFERROR(INDEX(المدخلات!$M$4:$M$15,MATCH(A1597,المدخلات!$L$4:$L$15,0)),""))</f>
        <v/>
      </c>
      <c r="N1597" s="4" t="str">
        <f t="shared" si="198"/>
        <v/>
      </c>
      <c r="O1597" s="4" t="str">
        <f t="shared" si="199"/>
        <v/>
      </c>
    </row>
    <row r="1598" spans="1:15">
      <c r="A1598" s="11"/>
      <c r="B1598" s="19"/>
      <c r="C1598" s="19"/>
      <c r="D1598" s="55"/>
      <c r="E1598" s="56"/>
      <c r="F1598" s="19"/>
      <c r="G1598" s="4" t="str">
        <f t="shared" si="192"/>
        <v/>
      </c>
      <c r="H1598" s="11" t="str">
        <f t="shared" si="193"/>
        <v/>
      </c>
      <c r="I1598" s="55" t="str">
        <f t="shared" si="194"/>
        <v/>
      </c>
      <c r="J1598" s="55" t="str">
        <f t="shared" si="195"/>
        <v/>
      </c>
      <c r="K1598" s="4" t="str">
        <f t="shared" si="196"/>
        <v/>
      </c>
      <c r="L1598" s="19" t="str">
        <f t="shared" si="197"/>
        <v/>
      </c>
      <c r="M1598" s="12" t="str">
        <f>IF(A1598="","",IFERROR(INDEX(المدخلات!$M$4:$M$15,MATCH(A1598,المدخلات!$L$4:$L$15,0)),""))</f>
        <v/>
      </c>
      <c r="N1598" s="4" t="str">
        <f t="shared" si="198"/>
        <v/>
      </c>
      <c r="O1598" s="4" t="str">
        <f t="shared" si="199"/>
        <v/>
      </c>
    </row>
    <row r="1599" spans="1:15">
      <c r="A1599" s="11"/>
      <c r="B1599" s="19"/>
      <c r="C1599" s="19"/>
      <c r="D1599" s="55"/>
      <c r="E1599" s="56"/>
      <c r="F1599" s="19"/>
      <c r="G1599" s="4" t="str">
        <f t="shared" si="192"/>
        <v/>
      </c>
      <c r="H1599" s="11" t="str">
        <f t="shared" si="193"/>
        <v/>
      </c>
      <c r="I1599" s="55" t="str">
        <f t="shared" si="194"/>
        <v/>
      </c>
      <c r="J1599" s="55" t="str">
        <f t="shared" si="195"/>
        <v/>
      </c>
      <c r="K1599" s="4" t="str">
        <f t="shared" si="196"/>
        <v/>
      </c>
      <c r="L1599" s="19" t="str">
        <f t="shared" si="197"/>
        <v/>
      </c>
      <c r="M1599" s="12" t="str">
        <f>IF(A1599="","",IFERROR(INDEX(المدخلات!$M$4:$M$15,MATCH(A1599,المدخلات!$L$4:$L$15,0)),""))</f>
        <v/>
      </c>
      <c r="N1599" s="4" t="str">
        <f t="shared" si="198"/>
        <v/>
      </c>
      <c r="O1599" s="4" t="str">
        <f t="shared" si="199"/>
        <v/>
      </c>
    </row>
    <row r="1600" spans="1:15">
      <c r="A1600" s="11"/>
      <c r="B1600" s="19"/>
      <c r="C1600" s="19"/>
      <c r="D1600" s="55"/>
      <c r="E1600" s="56"/>
      <c r="F1600" s="19"/>
      <c r="G1600" s="4" t="str">
        <f t="shared" si="192"/>
        <v/>
      </c>
      <c r="H1600" s="11" t="str">
        <f t="shared" si="193"/>
        <v/>
      </c>
      <c r="I1600" s="55" t="str">
        <f t="shared" si="194"/>
        <v/>
      </c>
      <c r="J1600" s="55" t="str">
        <f t="shared" si="195"/>
        <v/>
      </c>
      <c r="K1600" s="4" t="str">
        <f t="shared" si="196"/>
        <v/>
      </c>
      <c r="L1600" s="19" t="str">
        <f t="shared" si="197"/>
        <v/>
      </c>
      <c r="M1600" s="12" t="str">
        <f>IF(A1600="","",IFERROR(INDEX(المدخلات!$M$4:$M$15,MATCH(A1600,المدخلات!$L$4:$L$15,0)),""))</f>
        <v/>
      </c>
      <c r="N1600" s="4" t="str">
        <f t="shared" si="198"/>
        <v/>
      </c>
      <c r="O1600" s="4" t="str">
        <f t="shared" si="199"/>
        <v/>
      </c>
    </row>
    <row r="1601" spans="1:15">
      <c r="A1601" s="11"/>
      <c r="B1601" s="19"/>
      <c r="C1601" s="19"/>
      <c r="D1601" s="55"/>
      <c r="E1601" s="56"/>
      <c r="F1601" s="19"/>
      <c r="G1601" s="4" t="str">
        <f t="shared" si="192"/>
        <v/>
      </c>
      <c r="H1601" s="11" t="str">
        <f t="shared" si="193"/>
        <v/>
      </c>
      <c r="I1601" s="55" t="str">
        <f t="shared" si="194"/>
        <v/>
      </c>
      <c r="J1601" s="55" t="str">
        <f t="shared" si="195"/>
        <v/>
      </c>
      <c r="K1601" s="4" t="str">
        <f t="shared" si="196"/>
        <v/>
      </c>
      <c r="L1601" s="19" t="str">
        <f t="shared" si="197"/>
        <v/>
      </c>
      <c r="M1601" s="12" t="str">
        <f>IF(A1601="","",IFERROR(INDEX(المدخلات!$M$4:$M$15,MATCH(A1601,المدخلات!$L$4:$L$15,0)),""))</f>
        <v/>
      </c>
      <c r="N1601" s="4" t="str">
        <f t="shared" si="198"/>
        <v/>
      </c>
      <c r="O1601" s="4" t="str">
        <f t="shared" si="199"/>
        <v/>
      </c>
    </row>
    <row r="1602" spans="1:15">
      <c r="A1602" s="11"/>
      <c r="B1602" s="19"/>
      <c r="C1602" s="19"/>
      <c r="D1602" s="55"/>
      <c r="E1602" s="56"/>
      <c r="F1602" s="19"/>
      <c r="G1602" s="4" t="str">
        <f t="shared" si="192"/>
        <v/>
      </c>
      <c r="H1602" s="11" t="str">
        <f t="shared" si="193"/>
        <v/>
      </c>
      <c r="I1602" s="55" t="str">
        <f t="shared" si="194"/>
        <v/>
      </c>
      <c r="J1602" s="55" t="str">
        <f t="shared" si="195"/>
        <v/>
      </c>
      <c r="K1602" s="4" t="str">
        <f t="shared" si="196"/>
        <v/>
      </c>
      <c r="L1602" s="19" t="str">
        <f t="shared" si="197"/>
        <v/>
      </c>
      <c r="M1602" s="12" t="str">
        <f>IF(A1602="","",IFERROR(INDEX(المدخلات!$M$4:$M$15,MATCH(A1602,المدخلات!$L$4:$L$15,0)),""))</f>
        <v/>
      </c>
      <c r="N1602" s="4" t="str">
        <f t="shared" si="198"/>
        <v/>
      </c>
      <c r="O1602" s="4" t="str">
        <f t="shared" si="199"/>
        <v/>
      </c>
    </row>
    <row r="1603" spans="1:15">
      <c r="A1603" s="11"/>
      <c r="B1603" s="19"/>
      <c r="C1603" s="19"/>
      <c r="D1603" s="55"/>
      <c r="E1603" s="56"/>
      <c r="F1603" s="19"/>
      <c r="G1603" s="4" t="str">
        <f t="shared" si="192"/>
        <v/>
      </c>
      <c r="H1603" s="11" t="str">
        <f t="shared" si="193"/>
        <v/>
      </c>
      <c r="I1603" s="55" t="str">
        <f t="shared" si="194"/>
        <v/>
      </c>
      <c r="J1603" s="55" t="str">
        <f t="shared" si="195"/>
        <v/>
      </c>
      <c r="K1603" s="4" t="str">
        <f t="shared" si="196"/>
        <v/>
      </c>
      <c r="L1603" s="19" t="str">
        <f t="shared" si="197"/>
        <v/>
      </c>
      <c r="M1603" s="12" t="str">
        <f>IF(A1603="","",IFERROR(INDEX(المدخلات!$M$4:$M$15,MATCH(A1603,المدخلات!$L$4:$L$15,0)),""))</f>
        <v/>
      </c>
      <c r="N1603" s="4" t="str">
        <f t="shared" si="198"/>
        <v/>
      </c>
      <c r="O1603" s="4" t="str">
        <f t="shared" si="199"/>
        <v/>
      </c>
    </row>
    <row r="1604" spans="1:15">
      <c r="A1604" s="11"/>
      <c r="B1604" s="19"/>
      <c r="C1604" s="19"/>
      <c r="D1604" s="55"/>
      <c r="E1604" s="56"/>
      <c r="F1604" s="19"/>
      <c r="G1604" s="4" t="str">
        <f t="shared" si="192"/>
        <v/>
      </c>
      <c r="H1604" s="11" t="str">
        <f t="shared" si="193"/>
        <v/>
      </c>
      <c r="I1604" s="55" t="str">
        <f t="shared" si="194"/>
        <v/>
      </c>
      <c r="J1604" s="55" t="str">
        <f t="shared" si="195"/>
        <v/>
      </c>
      <c r="K1604" s="4" t="str">
        <f t="shared" si="196"/>
        <v/>
      </c>
      <c r="L1604" s="19" t="str">
        <f t="shared" si="197"/>
        <v/>
      </c>
      <c r="M1604" s="12" t="str">
        <f>IF(A1604="","",IFERROR(INDEX(المدخلات!$M$4:$M$15,MATCH(A1604,المدخلات!$L$4:$L$15,0)),""))</f>
        <v/>
      </c>
      <c r="N1604" s="4" t="str">
        <f t="shared" si="198"/>
        <v/>
      </c>
      <c r="O1604" s="4" t="str">
        <f t="shared" si="199"/>
        <v/>
      </c>
    </row>
    <row r="1605" spans="1:15">
      <c r="A1605" s="11"/>
      <c r="B1605" s="19"/>
      <c r="C1605" s="19"/>
      <c r="D1605" s="55"/>
      <c r="E1605" s="56"/>
      <c r="F1605" s="19"/>
      <c r="G1605" s="4" t="str">
        <f t="shared" ref="G1605:G1668" si="200">IF(OR(D1605="",E1605=""),"",D1605*E1605)</f>
        <v/>
      </c>
      <c r="H1605" s="11" t="str">
        <f t="shared" ref="H1605:H1668" si="201">IF(C1605="","",IFERROR(_xlfn.MAXIFS($A$5:$A$2003,$C$5:$C$2003,C1605,$A$5:$A$2003,"&lt;"&amp;A1605),0))</f>
        <v/>
      </c>
      <c r="I1605" s="55" t="str">
        <f t="shared" ref="I1605:I1668" si="202">IF(OR(H1605="",H1605=0),"",IFERROR(SUMIFS($D$5:$D$2003,$C$5:$C$2003,C1605,$A$5:$A$2003,H1605),""))</f>
        <v/>
      </c>
      <c r="J1605" s="55" t="str">
        <f t="shared" ref="J1605:J1668" si="203">IF(C1605="","",IF(I1605="",0,MAX(I1605-D1605,0)))</f>
        <v/>
      </c>
      <c r="K1605" s="4" t="str">
        <f t="shared" ref="K1605:K1668" si="204">IF(J1605="","",J1605*E1605)</f>
        <v/>
      </c>
      <c r="L1605" s="19" t="str">
        <f t="shared" ref="L1605:L1668" si="205">IF(C1605="","",IF(COUNTIFS($A$5:$A$2003,A1605,$C$5:$C$2003,C1605)&gt;1,"⚠️ مادة مكررة بنفس الشهر",IF(OR(H1605="",H1605=0),"🆕 أول ظهور لهذه المادة",IF(D1605&gt;I1605,"ℹ️ زيادة كمية (شراء/تصحيح) - لا تُحتسب استهلاكاً",IF(D1605=I1605,"➖ لا تغيير","")))))</f>
        <v/>
      </c>
      <c r="M1605" s="12" t="str">
        <f>IF(A1605="","",IFERROR(INDEX(المدخلات!$M$4:$M$15,MATCH(A1605,المدخلات!$L$4:$L$15,0)),""))</f>
        <v/>
      </c>
      <c r="N1605" s="4" t="str">
        <f t="shared" ref="N1605:N1668" si="206">IF(OR(G1605="",F1605=""),"",IF(F1605="دولار أمريكي",IF(M1605="","⚠️ لا يوجد سعر صرف",G1605*M1605),G1605))</f>
        <v/>
      </c>
      <c r="O1605" s="4" t="str">
        <f t="shared" ref="O1605:O1668" si="207">IF(OR(K1605="",F1605=""),"",IF(F1605="دولار أمريكي",IF(M1605="","⚠️ لا يوجد سعر صرف",K1605*M1605),K1605))</f>
        <v/>
      </c>
    </row>
    <row r="1606" spans="1:15">
      <c r="A1606" s="11"/>
      <c r="B1606" s="19"/>
      <c r="C1606" s="19"/>
      <c r="D1606" s="55"/>
      <c r="E1606" s="56"/>
      <c r="F1606" s="19"/>
      <c r="G1606" s="4" t="str">
        <f t="shared" si="200"/>
        <v/>
      </c>
      <c r="H1606" s="11" t="str">
        <f t="shared" si="201"/>
        <v/>
      </c>
      <c r="I1606" s="55" t="str">
        <f t="shared" si="202"/>
        <v/>
      </c>
      <c r="J1606" s="55" t="str">
        <f t="shared" si="203"/>
        <v/>
      </c>
      <c r="K1606" s="4" t="str">
        <f t="shared" si="204"/>
        <v/>
      </c>
      <c r="L1606" s="19" t="str">
        <f t="shared" si="205"/>
        <v/>
      </c>
      <c r="M1606" s="12" t="str">
        <f>IF(A1606="","",IFERROR(INDEX(المدخلات!$M$4:$M$15,MATCH(A1606,المدخلات!$L$4:$L$15,0)),""))</f>
        <v/>
      </c>
      <c r="N1606" s="4" t="str">
        <f t="shared" si="206"/>
        <v/>
      </c>
      <c r="O1606" s="4" t="str">
        <f t="shared" si="207"/>
        <v/>
      </c>
    </row>
    <row r="1607" spans="1:15">
      <c r="A1607" s="11"/>
      <c r="B1607" s="19"/>
      <c r="C1607" s="19"/>
      <c r="D1607" s="55"/>
      <c r="E1607" s="56"/>
      <c r="F1607" s="19"/>
      <c r="G1607" s="4" t="str">
        <f t="shared" si="200"/>
        <v/>
      </c>
      <c r="H1607" s="11" t="str">
        <f t="shared" si="201"/>
        <v/>
      </c>
      <c r="I1607" s="55" t="str">
        <f t="shared" si="202"/>
        <v/>
      </c>
      <c r="J1607" s="55" t="str">
        <f t="shared" si="203"/>
        <v/>
      </c>
      <c r="K1607" s="4" t="str">
        <f t="shared" si="204"/>
        <v/>
      </c>
      <c r="L1607" s="19" t="str">
        <f t="shared" si="205"/>
        <v/>
      </c>
      <c r="M1607" s="12" t="str">
        <f>IF(A1607="","",IFERROR(INDEX(المدخلات!$M$4:$M$15,MATCH(A1607,المدخلات!$L$4:$L$15,0)),""))</f>
        <v/>
      </c>
      <c r="N1607" s="4" t="str">
        <f t="shared" si="206"/>
        <v/>
      </c>
      <c r="O1607" s="4" t="str">
        <f t="shared" si="207"/>
        <v/>
      </c>
    </row>
    <row r="1608" spans="1:15">
      <c r="A1608" s="11"/>
      <c r="B1608" s="19"/>
      <c r="C1608" s="19"/>
      <c r="D1608" s="55"/>
      <c r="E1608" s="56"/>
      <c r="F1608" s="19"/>
      <c r="G1608" s="4" t="str">
        <f t="shared" si="200"/>
        <v/>
      </c>
      <c r="H1608" s="11" t="str">
        <f t="shared" si="201"/>
        <v/>
      </c>
      <c r="I1608" s="55" t="str">
        <f t="shared" si="202"/>
        <v/>
      </c>
      <c r="J1608" s="55" t="str">
        <f t="shared" si="203"/>
        <v/>
      </c>
      <c r="K1608" s="4" t="str">
        <f t="shared" si="204"/>
        <v/>
      </c>
      <c r="L1608" s="19" t="str">
        <f t="shared" si="205"/>
        <v/>
      </c>
      <c r="M1608" s="12" t="str">
        <f>IF(A1608="","",IFERROR(INDEX(المدخلات!$M$4:$M$15,MATCH(A1608,المدخلات!$L$4:$L$15,0)),""))</f>
        <v/>
      </c>
      <c r="N1608" s="4" t="str">
        <f t="shared" si="206"/>
        <v/>
      </c>
      <c r="O1608" s="4" t="str">
        <f t="shared" si="207"/>
        <v/>
      </c>
    </row>
    <row r="1609" spans="1:15">
      <c r="A1609" s="11"/>
      <c r="B1609" s="19"/>
      <c r="C1609" s="19"/>
      <c r="D1609" s="55"/>
      <c r="E1609" s="56"/>
      <c r="F1609" s="19"/>
      <c r="G1609" s="4" t="str">
        <f t="shared" si="200"/>
        <v/>
      </c>
      <c r="H1609" s="11" t="str">
        <f t="shared" si="201"/>
        <v/>
      </c>
      <c r="I1609" s="55" t="str">
        <f t="shared" si="202"/>
        <v/>
      </c>
      <c r="J1609" s="55" t="str">
        <f t="shared" si="203"/>
        <v/>
      </c>
      <c r="K1609" s="4" t="str">
        <f t="shared" si="204"/>
        <v/>
      </c>
      <c r="L1609" s="19" t="str">
        <f t="shared" si="205"/>
        <v/>
      </c>
      <c r="M1609" s="12" t="str">
        <f>IF(A1609="","",IFERROR(INDEX(المدخلات!$M$4:$M$15,MATCH(A1609,المدخلات!$L$4:$L$15,0)),""))</f>
        <v/>
      </c>
      <c r="N1609" s="4" t="str">
        <f t="shared" si="206"/>
        <v/>
      </c>
      <c r="O1609" s="4" t="str">
        <f t="shared" si="207"/>
        <v/>
      </c>
    </row>
    <row r="1610" spans="1:15">
      <c r="A1610" s="11"/>
      <c r="B1610" s="19"/>
      <c r="C1610" s="19"/>
      <c r="D1610" s="55"/>
      <c r="E1610" s="56"/>
      <c r="F1610" s="19"/>
      <c r="G1610" s="4" t="str">
        <f t="shared" si="200"/>
        <v/>
      </c>
      <c r="H1610" s="11" t="str">
        <f t="shared" si="201"/>
        <v/>
      </c>
      <c r="I1610" s="55" t="str">
        <f t="shared" si="202"/>
        <v/>
      </c>
      <c r="J1610" s="55" t="str">
        <f t="shared" si="203"/>
        <v/>
      </c>
      <c r="K1610" s="4" t="str">
        <f t="shared" si="204"/>
        <v/>
      </c>
      <c r="L1610" s="19" t="str">
        <f t="shared" si="205"/>
        <v/>
      </c>
      <c r="M1610" s="12" t="str">
        <f>IF(A1610="","",IFERROR(INDEX(المدخلات!$M$4:$M$15,MATCH(A1610,المدخلات!$L$4:$L$15,0)),""))</f>
        <v/>
      </c>
      <c r="N1610" s="4" t="str">
        <f t="shared" si="206"/>
        <v/>
      </c>
      <c r="O1610" s="4" t="str">
        <f t="shared" si="207"/>
        <v/>
      </c>
    </row>
    <row r="1611" spans="1:15">
      <c r="A1611" s="11"/>
      <c r="B1611" s="19"/>
      <c r="C1611" s="19"/>
      <c r="D1611" s="55"/>
      <c r="E1611" s="56"/>
      <c r="F1611" s="19"/>
      <c r="G1611" s="4" t="str">
        <f t="shared" si="200"/>
        <v/>
      </c>
      <c r="H1611" s="11" t="str">
        <f t="shared" si="201"/>
        <v/>
      </c>
      <c r="I1611" s="55" t="str">
        <f t="shared" si="202"/>
        <v/>
      </c>
      <c r="J1611" s="55" t="str">
        <f t="shared" si="203"/>
        <v/>
      </c>
      <c r="K1611" s="4" t="str">
        <f t="shared" si="204"/>
        <v/>
      </c>
      <c r="L1611" s="19" t="str">
        <f t="shared" si="205"/>
        <v/>
      </c>
      <c r="M1611" s="12" t="str">
        <f>IF(A1611="","",IFERROR(INDEX(المدخلات!$M$4:$M$15,MATCH(A1611,المدخلات!$L$4:$L$15,0)),""))</f>
        <v/>
      </c>
      <c r="N1611" s="4" t="str">
        <f t="shared" si="206"/>
        <v/>
      </c>
      <c r="O1611" s="4" t="str">
        <f t="shared" si="207"/>
        <v/>
      </c>
    </row>
    <row r="1612" spans="1:15">
      <c r="A1612" s="11"/>
      <c r="B1612" s="19"/>
      <c r="C1612" s="19"/>
      <c r="D1612" s="55"/>
      <c r="E1612" s="56"/>
      <c r="F1612" s="19"/>
      <c r="G1612" s="4" t="str">
        <f t="shared" si="200"/>
        <v/>
      </c>
      <c r="H1612" s="11" t="str">
        <f t="shared" si="201"/>
        <v/>
      </c>
      <c r="I1612" s="55" t="str">
        <f t="shared" si="202"/>
        <v/>
      </c>
      <c r="J1612" s="55" t="str">
        <f t="shared" si="203"/>
        <v/>
      </c>
      <c r="K1612" s="4" t="str">
        <f t="shared" si="204"/>
        <v/>
      </c>
      <c r="L1612" s="19" t="str">
        <f t="shared" si="205"/>
        <v/>
      </c>
      <c r="M1612" s="12" t="str">
        <f>IF(A1612="","",IFERROR(INDEX(المدخلات!$M$4:$M$15,MATCH(A1612,المدخلات!$L$4:$L$15,0)),""))</f>
        <v/>
      </c>
      <c r="N1612" s="4" t="str">
        <f t="shared" si="206"/>
        <v/>
      </c>
      <c r="O1612" s="4" t="str">
        <f t="shared" si="207"/>
        <v/>
      </c>
    </row>
    <row r="1613" spans="1:15">
      <c r="A1613" s="11"/>
      <c r="B1613" s="19"/>
      <c r="C1613" s="19"/>
      <c r="D1613" s="55"/>
      <c r="E1613" s="56"/>
      <c r="F1613" s="19"/>
      <c r="G1613" s="4" t="str">
        <f t="shared" si="200"/>
        <v/>
      </c>
      <c r="H1613" s="11" t="str">
        <f t="shared" si="201"/>
        <v/>
      </c>
      <c r="I1613" s="55" t="str">
        <f t="shared" si="202"/>
        <v/>
      </c>
      <c r="J1613" s="55" t="str">
        <f t="shared" si="203"/>
        <v/>
      </c>
      <c r="K1613" s="4" t="str">
        <f t="shared" si="204"/>
        <v/>
      </c>
      <c r="L1613" s="19" t="str">
        <f t="shared" si="205"/>
        <v/>
      </c>
      <c r="M1613" s="12" t="str">
        <f>IF(A1613="","",IFERROR(INDEX(المدخلات!$M$4:$M$15,MATCH(A1613,المدخلات!$L$4:$L$15,0)),""))</f>
        <v/>
      </c>
      <c r="N1613" s="4" t="str">
        <f t="shared" si="206"/>
        <v/>
      </c>
      <c r="O1613" s="4" t="str">
        <f t="shared" si="207"/>
        <v/>
      </c>
    </row>
    <row r="1614" spans="1:15">
      <c r="A1614" s="11"/>
      <c r="B1614" s="19"/>
      <c r="C1614" s="19"/>
      <c r="D1614" s="55"/>
      <c r="E1614" s="56"/>
      <c r="F1614" s="19"/>
      <c r="G1614" s="4" t="str">
        <f t="shared" si="200"/>
        <v/>
      </c>
      <c r="H1614" s="11" t="str">
        <f t="shared" si="201"/>
        <v/>
      </c>
      <c r="I1614" s="55" t="str">
        <f t="shared" si="202"/>
        <v/>
      </c>
      <c r="J1614" s="55" t="str">
        <f t="shared" si="203"/>
        <v/>
      </c>
      <c r="K1614" s="4" t="str">
        <f t="shared" si="204"/>
        <v/>
      </c>
      <c r="L1614" s="19" t="str">
        <f t="shared" si="205"/>
        <v/>
      </c>
      <c r="M1614" s="12" t="str">
        <f>IF(A1614="","",IFERROR(INDEX(المدخلات!$M$4:$M$15,MATCH(A1614,المدخلات!$L$4:$L$15,0)),""))</f>
        <v/>
      </c>
      <c r="N1614" s="4" t="str">
        <f t="shared" si="206"/>
        <v/>
      </c>
      <c r="O1614" s="4" t="str">
        <f t="shared" si="207"/>
        <v/>
      </c>
    </row>
    <row r="1615" spans="1:15">
      <c r="A1615" s="11"/>
      <c r="B1615" s="19"/>
      <c r="C1615" s="19"/>
      <c r="D1615" s="55"/>
      <c r="E1615" s="56"/>
      <c r="F1615" s="19"/>
      <c r="G1615" s="4" t="str">
        <f t="shared" si="200"/>
        <v/>
      </c>
      <c r="H1615" s="11" t="str">
        <f t="shared" si="201"/>
        <v/>
      </c>
      <c r="I1615" s="55" t="str">
        <f t="shared" si="202"/>
        <v/>
      </c>
      <c r="J1615" s="55" t="str">
        <f t="shared" si="203"/>
        <v/>
      </c>
      <c r="K1615" s="4" t="str">
        <f t="shared" si="204"/>
        <v/>
      </c>
      <c r="L1615" s="19" t="str">
        <f t="shared" si="205"/>
        <v/>
      </c>
      <c r="M1615" s="12" t="str">
        <f>IF(A1615="","",IFERROR(INDEX(المدخلات!$M$4:$M$15,MATCH(A1615,المدخلات!$L$4:$L$15,0)),""))</f>
        <v/>
      </c>
      <c r="N1615" s="4" t="str">
        <f t="shared" si="206"/>
        <v/>
      </c>
      <c r="O1615" s="4" t="str">
        <f t="shared" si="207"/>
        <v/>
      </c>
    </row>
    <row r="1616" spans="1:15">
      <c r="A1616" s="11"/>
      <c r="B1616" s="19"/>
      <c r="C1616" s="19"/>
      <c r="D1616" s="55"/>
      <c r="E1616" s="56"/>
      <c r="F1616" s="19"/>
      <c r="G1616" s="4" t="str">
        <f t="shared" si="200"/>
        <v/>
      </c>
      <c r="H1616" s="11" t="str">
        <f t="shared" si="201"/>
        <v/>
      </c>
      <c r="I1616" s="55" t="str">
        <f t="shared" si="202"/>
        <v/>
      </c>
      <c r="J1616" s="55" t="str">
        <f t="shared" si="203"/>
        <v/>
      </c>
      <c r="K1616" s="4" t="str">
        <f t="shared" si="204"/>
        <v/>
      </c>
      <c r="L1616" s="19" t="str">
        <f t="shared" si="205"/>
        <v/>
      </c>
      <c r="M1616" s="12" t="str">
        <f>IF(A1616="","",IFERROR(INDEX(المدخلات!$M$4:$M$15,MATCH(A1616,المدخلات!$L$4:$L$15,0)),""))</f>
        <v/>
      </c>
      <c r="N1616" s="4" t="str">
        <f t="shared" si="206"/>
        <v/>
      </c>
      <c r="O1616" s="4" t="str">
        <f t="shared" si="207"/>
        <v/>
      </c>
    </row>
    <row r="1617" spans="1:15">
      <c r="A1617" s="11"/>
      <c r="B1617" s="19"/>
      <c r="C1617" s="19"/>
      <c r="D1617" s="55"/>
      <c r="E1617" s="56"/>
      <c r="F1617" s="19"/>
      <c r="G1617" s="4" t="str">
        <f t="shared" si="200"/>
        <v/>
      </c>
      <c r="H1617" s="11" t="str">
        <f t="shared" si="201"/>
        <v/>
      </c>
      <c r="I1617" s="55" t="str">
        <f t="shared" si="202"/>
        <v/>
      </c>
      <c r="J1617" s="55" t="str">
        <f t="shared" si="203"/>
        <v/>
      </c>
      <c r="K1617" s="4" t="str">
        <f t="shared" si="204"/>
        <v/>
      </c>
      <c r="L1617" s="19" t="str">
        <f t="shared" si="205"/>
        <v/>
      </c>
      <c r="M1617" s="12" t="str">
        <f>IF(A1617="","",IFERROR(INDEX(المدخلات!$M$4:$M$15,MATCH(A1617,المدخلات!$L$4:$L$15,0)),""))</f>
        <v/>
      </c>
      <c r="N1617" s="4" t="str">
        <f t="shared" si="206"/>
        <v/>
      </c>
      <c r="O1617" s="4" t="str">
        <f t="shared" si="207"/>
        <v/>
      </c>
    </row>
    <row r="1618" spans="1:15">
      <c r="A1618" s="11"/>
      <c r="B1618" s="19"/>
      <c r="C1618" s="19"/>
      <c r="D1618" s="55"/>
      <c r="E1618" s="56"/>
      <c r="F1618" s="19"/>
      <c r="G1618" s="4" t="str">
        <f t="shared" si="200"/>
        <v/>
      </c>
      <c r="H1618" s="11" t="str">
        <f t="shared" si="201"/>
        <v/>
      </c>
      <c r="I1618" s="55" t="str">
        <f t="shared" si="202"/>
        <v/>
      </c>
      <c r="J1618" s="55" t="str">
        <f t="shared" si="203"/>
        <v/>
      </c>
      <c r="K1618" s="4" t="str">
        <f t="shared" si="204"/>
        <v/>
      </c>
      <c r="L1618" s="19" t="str">
        <f t="shared" si="205"/>
        <v/>
      </c>
      <c r="M1618" s="12" t="str">
        <f>IF(A1618="","",IFERROR(INDEX(المدخلات!$M$4:$M$15,MATCH(A1618,المدخلات!$L$4:$L$15,0)),""))</f>
        <v/>
      </c>
      <c r="N1618" s="4" t="str">
        <f t="shared" si="206"/>
        <v/>
      </c>
      <c r="O1618" s="4" t="str">
        <f t="shared" si="207"/>
        <v/>
      </c>
    </row>
    <row r="1619" spans="1:15">
      <c r="A1619" s="11"/>
      <c r="B1619" s="19"/>
      <c r="C1619" s="19"/>
      <c r="D1619" s="55"/>
      <c r="E1619" s="56"/>
      <c r="F1619" s="19"/>
      <c r="G1619" s="4" t="str">
        <f t="shared" si="200"/>
        <v/>
      </c>
      <c r="H1619" s="11" t="str">
        <f t="shared" si="201"/>
        <v/>
      </c>
      <c r="I1619" s="55" t="str">
        <f t="shared" si="202"/>
        <v/>
      </c>
      <c r="J1619" s="55" t="str">
        <f t="shared" si="203"/>
        <v/>
      </c>
      <c r="K1619" s="4" t="str">
        <f t="shared" si="204"/>
        <v/>
      </c>
      <c r="L1619" s="19" t="str">
        <f t="shared" si="205"/>
        <v/>
      </c>
      <c r="M1619" s="12" t="str">
        <f>IF(A1619="","",IFERROR(INDEX(المدخلات!$M$4:$M$15,MATCH(A1619,المدخلات!$L$4:$L$15,0)),""))</f>
        <v/>
      </c>
      <c r="N1619" s="4" t="str">
        <f t="shared" si="206"/>
        <v/>
      </c>
      <c r="O1619" s="4" t="str">
        <f t="shared" si="207"/>
        <v/>
      </c>
    </row>
    <row r="1620" spans="1:15">
      <c r="A1620" s="11"/>
      <c r="B1620" s="19"/>
      <c r="C1620" s="19"/>
      <c r="D1620" s="55"/>
      <c r="E1620" s="56"/>
      <c r="F1620" s="19"/>
      <c r="G1620" s="4" t="str">
        <f t="shared" si="200"/>
        <v/>
      </c>
      <c r="H1620" s="11" t="str">
        <f t="shared" si="201"/>
        <v/>
      </c>
      <c r="I1620" s="55" t="str">
        <f t="shared" si="202"/>
        <v/>
      </c>
      <c r="J1620" s="55" t="str">
        <f t="shared" si="203"/>
        <v/>
      </c>
      <c r="K1620" s="4" t="str">
        <f t="shared" si="204"/>
        <v/>
      </c>
      <c r="L1620" s="19" t="str">
        <f t="shared" si="205"/>
        <v/>
      </c>
      <c r="M1620" s="12" t="str">
        <f>IF(A1620="","",IFERROR(INDEX(المدخلات!$M$4:$M$15,MATCH(A1620,المدخلات!$L$4:$L$15,0)),""))</f>
        <v/>
      </c>
      <c r="N1620" s="4" t="str">
        <f t="shared" si="206"/>
        <v/>
      </c>
      <c r="O1620" s="4" t="str">
        <f t="shared" si="207"/>
        <v/>
      </c>
    </row>
    <row r="1621" spans="1:15">
      <c r="A1621" s="11"/>
      <c r="B1621" s="19"/>
      <c r="C1621" s="19"/>
      <c r="D1621" s="55"/>
      <c r="E1621" s="56"/>
      <c r="F1621" s="19"/>
      <c r="G1621" s="4" t="str">
        <f t="shared" si="200"/>
        <v/>
      </c>
      <c r="H1621" s="11" t="str">
        <f t="shared" si="201"/>
        <v/>
      </c>
      <c r="I1621" s="55" t="str">
        <f t="shared" si="202"/>
        <v/>
      </c>
      <c r="J1621" s="55" t="str">
        <f t="shared" si="203"/>
        <v/>
      </c>
      <c r="K1621" s="4" t="str">
        <f t="shared" si="204"/>
        <v/>
      </c>
      <c r="L1621" s="19" t="str">
        <f t="shared" si="205"/>
        <v/>
      </c>
      <c r="M1621" s="12" t="str">
        <f>IF(A1621="","",IFERROR(INDEX(المدخلات!$M$4:$M$15,MATCH(A1621,المدخلات!$L$4:$L$15,0)),""))</f>
        <v/>
      </c>
      <c r="N1621" s="4" t="str">
        <f t="shared" si="206"/>
        <v/>
      </c>
      <c r="O1621" s="4" t="str">
        <f t="shared" si="207"/>
        <v/>
      </c>
    </row>
    <row r="1622" spans="1:15">
      <c r="A1622" s="11"/>
      <c r="B1622" s="19"/>
      <c r="C1622" s="19"/>
      <c r="D1622" s="55"/>
      <c r="E1622" s="56"/>
      <c r="F1622" s="19"/>
      <c r="G1622" s="4" t="str">
        <f t="shared" si="200"/>
        <v/>
      </c>
      <c r="H1622" s="11" t="str">
        <f t="shared" si="201"/>
        <v/>
      </c>
      <c r="I1622" s="55" t="str">
        <f t="shared" si="202"/>
        <v/>
      </c>
      <c r="J1622" s="55" t="str">
        <f t="shared" si="203"/>
        <v/>
      </c>
      <c r="K1622" s="4" t="str">
        <f t="shared" si="204"/>
        <v/>
      </c>
      <c r="L1622" s="19" t="str">
        <f t="shared" si="205"/>
        <v/>
      </c>
      <c r="M1622" s="12" t="str">
        <f>IF(A1622="","",IFERROR(INDEX(المدخلات!$M$4:$M$15,MATCH(A1622,المدخلات!$L$4:$L$15,0)),""))</f>
        <v/>
      </c>
      <c r="N1622" s="4" t="str">
        <f t="shared" si="206"/>
        <v/>
      </c>
      <c r="O1622" s="4" t="str">
        <f t="shared" si="207"/>
        <v/>
      </c>
    </row>
    <row r="1623" spans="1:15">
      <c r="A1623" s="11"/>
      <c r="B1623" s="19"/>
      <c r="C1623" s="19"/>
      <c r="D1623" s="55"/>
      <c r="E1623" s="56"/>
      <c r="F1623" s="19"/>
      <c r="G1623" s="4" t="str">
        <f t="shared" si="200"/>
        <v/>
      </c>
      <c r="H1623" s="11" t="str">
        <f t="shared" si="201"/>
        <v/>
      </c>
      <c r="I1623" s="55" t="str">
        <f t="shared" si="202"/>
        <v/>
      </c>
      <c r="J1623" s="55" t="str">
        <f t="shared" si="203"/>
        <v/>
      </c>
      <c r="K1623" s="4" t="str">
        <f t="shared" si="204"/>
        <v/>
      </c>
      <c r="L1623" s="19" t="str">
        <f t="shared" si="205"/>
        <v/>
      </c>
      <c r="M1623" s="12" t="str">
        <f>IF(A1623="","",IFERROR(INDEX(المدخلات!$M$4:$M$15,MATCH(A1623,المدخلات!$L$4:$L$15,0)),""))</f>
        <v/>
      </c>
      <c r="N1623" s="4" t="str">
        <f t="shared" si="206"/>
        <v/>
      </c>
      <c r="O1623" s="4" t="str">
        <f t="shared" si="207"/>
        <v/>
      </c>
    </row>
    <row r="1624" spans="1:15">
      <c r="A1624" s="11"/>
      <c r="B1624" s="19"/>
      <c r="C1624" s="19"/>
      <c r="D1624" s="55"/>
      <c r="E1624" s="56"/>
      <c r="F1624" s="19"/>
      <c r="G1624" s="4" t="str">
        <f t="shared" si="200"/>
        <v/>
      </c>
      <c r="H1624" s="11" t="str">
        <f t="shared" si="201"/>
        <v/>
      </c>
      <c r="I1624" s="55" t="str">
        <f t="shared" si="202"/>
        <v/>
      </c>
      <c r="J1624" s="55" t="str">
        <f t="shared" si="203"/>
        <v/>
      </c>
      <c r="K1624" s="4" t="str">
        <f t="shared" si="204"/>
        <v/>
      </c>
      <c r="L1624" s="19" t="str">
        <f t="shared" si="205"/>
        <v/>
      </c>
      <c r="M1624" s="12" t="str">
        <f>IF(A1624="","",IFERROR(INDEX(المدخلات!$M$4:$M$15,MATCH(A1624,المدخلات!$L$4:$L$15,0)),""))</f>
        <v/>
      </c>
      <c r="N1624" s="4" t="str">
        <f t="shared" si="206"/>
        <v/>
      </c>
      <c r="O1624" s="4" t="str">
        <f t="shared" si="207"/>
        <v/>
      </c>
    </row>
    <row r="1625" spans="1:15">
      <c r="A1625" s="11"/>
      <c r="B1625" s="19"/>
      <c r="C1625" s="19"/>
      <c r="D1625" s="55"/>
      <c r="E1625" s="56"/>
      <c r="F1625" s="19"/>
      <c r="G1625" s="4" t="str">
        <f t="shared" si="200"/>
        <v/>
      </c>
      <c r="H1625" s="11" t="str">
        <f t="shared" si="201"/>
        <v/>
      </c>
      <c r="I1625" s="55" t="str">
        <f t="shared" si="202"/>
        <v/>
      </c>
      <c r="J1625" s="55" t="str">
        <f t="shared" si="203"/>
        <v/>
      </c>
      <c r="K1625" s="4" t="str">
        <f t="shared" si="204"/>
        <v/>
      </c>
      <c r="L1625" s="19" t="str">
        <f t="shared" si="205"/>
        <v/>
      </c>
      <c r="M1625" s="12" t="str">
        <f>IF(A1625="","",IFERROR(INDEX(المدخلات!$M$4:$M$15,MATCH(A1625,المدخلات!$L$4:$L$15,0)),""))</f>
        <v/>
      </c>
      <c r="N1625" s="4" t="str">
        <f t="shared" si="206"/>
        <v/>
      </c>
      <c r="O1625" s="4" t="str">
        <f t="shared" si="207"/>
        <v/>
      </c>
    </row>
    <row r="1626" spans="1:15">
      <c r="A1626" s="11"/>
      <c r="B1626" s="19"/>
      <c r="C1626" s="19"/>
      <c r="D1626" s="55"/>
      <c r="E1626" s="56"/>
      <c r="F1626" s="19"/>
      <c r="G1626" s="4" t="str">
        <f t="shared" si="200"/>
        <v/>
      </c>
      <c r="H1626" s="11" t="str">
        <f t="shared" si="201"/>
        <v/>
      </c>
      <c r="I1626" s="55" t="str">
        <f t="shared" si="202"/>
        <v/>
      </c>
      <c r="J1626" s="55" t="str">
        <f t="shared" si="203"/>
        <v/>
      </c>
      <c r="K1626" s="4" t="str">
        <f t="shared" si="204"/>
        <v/>
      </c>
      <c r="L1626" s="19" t="str">
        <f t="shared" si="205"/>
        <v/>
      </c>
      <c r="M1626" s="12" t="str">
        <f>IF(A1626="","",IFERROR(INDEX(المدخلات!$M$4:$M$15,MATCH(A1626,المدخلات!$L$4:$L$15,0)),""))</f>
        <v/>
      </c>
      <c r="N1626" s="4" t="str">
        <f t="shared" si="206"/>
        <v/>
      </c>
      <c r="O1626" s="4" t="str">
        <f t="shared" si="207"/>
        <v/>
      </c>
    </row>
    <row r="1627" spans="1:15">
      <c r="A1627" s="11"/>
      <c r="B1627" s="19"/>
      <c r="C1627" s="19"/>
      <c r="D1627" s="55"/>
      <c r="E1627" s="56"/>
      <c r="F1627" s="19"/>
      <c r="G1627" s="4" t="str">
        <f t="shared" si="200"/>
        <v/>
      </c>
      <c r="H1627" s="11" t="str">
        <f t="shared" si="201"/>
        <v/>
      </c>
      <c r="I1627" s="55" t="str">
        <f t="shared" si="202"/>
        <v/>
      </c>
      <c r="J1627" s="55" t="str">
        <f t="shared" si="203"/>
        <v/>
      </c>
      <c r="K1627" s="4" t="str">
        <f t="shared" si="204"/>
        <v/>
      </c>
      <c r="L1627" s="19" t="str">
        <f t="shared" si="205"/>
        <v/>
      </c>
      <c r="M1627" s="12" t="str">
        <f>IF(A1627="","",IFERROR(INDEX(المدخلات!$M$4:$M$15,MATCH(A1627,المدخلات!$L$4:$L$15,0)),""))</f>
        <v/>
      </c>
      <c r="N1627" s="4" t="str">
        <f t="shared" si="206"/>
        <v/>
      </c>
      <c r="O1627" s="4" t="str">
        <f t="shared" si="207"/>
        <v/>
      </c>
    </row>
    <row r="1628" spans="1:15">
      <c r="A1628" s="11"/>
      <c r="B1628" s="19"/>
      <c r="C1628" s="19"/>
      <c r="D1628" s="55"/>
      <c r="E1628" s="56"/>
      <c r="F1628" s="19"/>
      <c r="G1628" s="4" t="str">
        <f t="shared" si="200"/>
        <v/>
      </c>
      <c r="H1628" s="11" t="str">
        <f t="shared" si="201"/>
        <v/>
      </c>
      <c r="I1628" s="55" t="str">
        <f t="shared" si="202"/>
        <v/>
      </c>
      <c r="J1628" s="55" t="str">
        <f t="shared" si="203"/>
        <v/>
      </c>
      <c r="K1628" s="4" t="str">
        <f t="shared" si="204"/>
        <v/>
      </c>
      <c r="L1628" s="19" t="str">
        <f t="shared" si="205"/>
        <v/>
      </c>
      <c r="M1628" s="12" t="str">
        <f>IF(A1628="","",IFERROR(INDEX(المدخلات!$M$4:$M$15,MATCH(A1628,المدخلات!$L$4:$L$15,0)),""))</f>
        <v/>
      </c>
      <c r="N1628" s="4" t="str">
        <f t="shared" si="206"/>
        <v/>
      </c>
      <c r="O1628" s="4" t="str">
        <f t="shared" si="207"/>
        <v/>
      </c>
    </row>
    <row r="1629" spans="1:15">
      <c r="A1629" s="11"/>
      <c r="B1629" s="19"/>
      <c r="C1629" s="19"/>
      <c r="D1629" s="55"/>
      <c r="E1629" s="56"/>
      <c r="F1629" s="19"/>
      <c r="G1629" s="4" t="str">
        <f t="shared" si="200"/>
        <v/>
      </c>
      <c r="H1629" s="11" t="str">
        <f t="shared" si="201"/>
        <v/>
      </c>
      <c r="I1629" s="55" t="str">
        <f t="shared" si="202"/>
        <v/>
      </c>
      <c r="J1629" s="55" t="str">
        <f t="shared" si="203"/>
        <v/>
      </c>
      <c r="K1629" s="4" t="str">
        <f t="shared" si="204"/>
        <v/>
      </c>
      <c r="L1629" s="19" t="str">
        <f t="shared" si="205"/>
        <v/>
      </c>
      <c r="M1629" s="12" t="str">
        <f>IF(A1629="","",IFERROR(INDEX(المدخلات!$M$4:$M$15,MATCH(A1629,المدخلات!$L$4:$L$15,0)),""))</f>
        <v/>
      </c>
      <c r="N1629" s="4" t="str">
        <f t="shared" si="206"/>
        <v/>
      </c>
      <c r="O1629" s="4" t="str">
        <f t="shared" si="207"/>
        <v/>
      </c>
    </row>
    <row r="1630" spans="1:15">
      <c r="A1630" s="11"/>
      <c r="B1630" s="19"/>
      <c r="C1630" s="19"/>
      <c r="D1630" s="55"/>
      <c r="E1630" s="56"/>
      <c r="F1630" s="19"/>
      <c r="G1630" s="4" t="str">
        <f t="shared" si="200"/>
        <v/>
      </c>
      <c r="H1630" s="11" t="str">
        <f t="shared" si="201"/>
        <v/>
      </c>
      <c r="I1630" s="55" t="str">
        <f t="shared" si="202"/>
        <v/>
      </c>
      <c r="J1630" s="55" t="str">
        <f t="shared" si="203"/>
        <v/>
      </c>
      <c r="K1630" s="4" t="str">
        <f t="shared" si="204"/>
        <v/>
      </c>
      <c r="L1630" s="19" t="str">
        <f t="shared" si="205"/>
        <v/>
      </c>
      <c r="M1630" s="12" t="str">
        <f>IF(A1630="","",IFERROR(INDEX(المدخلات!$M$4:$M$15,MATCH(A1630,المدخلات!$L$4:$L$15,0)),""))</f>
        <v/>
      </c>
      <c r="N1630" s="4" t="str">
        <f t="shared" si="206"/>
        <v/>
      </c>
      <c r="O1630" s="4" t="str">
        <f t="shared" si="207"/>
        <v/>
      </c>
    </row>
    <row r="1631" spans="1:15">
      <c r="A1631" s="11"/>
      <c r="B1631" s="19"/>
      <c r="C1631" s="19"/>
      <c r="D1631" s="55"/>
      <c r="E1631" s="56"/>
      <c r="F1631" s="19"/>
      <c r="G1631" s="4" t="str">
        <f t="shared" si="200"/>
        <v/>
      </c>
      <c r="H1631" s="11" t="str">
        <f t="shared" si="201"/>
        <v/>
      </c>
      <c r="I1631" s="55" t="str">
        <f t="shared" si="202"/>
        <v/>
      </c>
      <c r="J1631" s="55" t="str">
        <f t="shared" si="203"/>
        <v/>
      </c>
      <c r="K1631" s="4" t="str">
        <f t="shared" si="204"/>
        <v/>
      </c>
      <c r="L1631" s="19" t="str">
        <f t="shared" si="205"/>
        <v/>
      </c>
      <c r="M1631" s="12" t="str">
        <f>IF(A1631="","",IFERROR(INDEX(المدخلات!$M$4:$M$15,MATCH(A1631,المدخلات!$L$4:$L$15,0)),""))</f>
        <v/>
      </c>
      <c r="N1631" s="4" t="str">
        <f t="shared" si="206"/>
        <v/>
      </c>
      <c r="O1631" s="4" t="str">
        <f t="shared" si="207"/>
        <v/>
      </c>
    </row>
    <row r="1632" spans="1:15">
      <c r="A1632" s="11"/>
      <c r="B1632" s="19"/>
      <c r="C1632" s="19"/>
      <c r="D1632" s="55"/>
      <c r="E1632" s="56"/>
      <c r="F1632" s="19"/>
      <c r="G1632" s="4" t="str">
        <f t="shared" si="200"/>
        <v/>
      </c>
      <c r="H1632" s="11" t="str">
        <f t="shared" si="201"/>
        <v/>
      </c>
      <c r="I1632" s="55" t="str">
        <f t="shared" si="202"/>
        <v/>
      </c>
      <c r="J1632" s="55" t="str">
        <f t="shared" si="203"/>
        <v/>
      </c>
      <c r="K1632" s="4" t="str">
        <f t="shared" si="204"/>
        <v/>
      </c>
      <c r="L1632" s="19" t="str">
        <f t="shared" si="205"/>
        <v/>
      </c>
      <c r="M1632" s="12" t="str">
        <f>IF(A1632="","",IFERROR(INDEX(المدخلات!$M$4:$M$15,MATCH(A1632,المدخلات!$L$4:$L$15,0)),""))</f>
        <v/>
      </c>
      <c r="N1632" s="4" t="str">
        <f t="shared" si="206"/>
        <v/>
      </c>
      <c r="O1632" s="4" t="str">
        <f t="shared" si="207"/>
        <v/>
      </c>
    </row>
    <row r="1633" spans="1:15">
      <c r="A1633" s="11"/>
      <c r="B1633" s="19"/>
      <c r="C1633" s="19"/>
      <c r="D1633" s="55"/>
      <c r="E1633" s="56"/>
      <c r="F1633" s="19"/>
      <c r="G1633" s="4" t="str">
        <f t="shared" si="200"/>
        <v/>
      </c>
      <c r="H1633" s="11" t="str">
        <f t="shared" si="201"/>
        <v/>
      </c>
      <c r="I1633" s="55" t="str">
        <f t="shared" si="202"/>
        <v/>
      </c>
      <c r="J1633" s="55" t="str">
        <f t="shared" si="203"/>
        <v/>
      </c>
      <c r="K1633" s="4" t="str">
        <f t="shared" si="204"/>
        <v/>
      </c>
      <c r="L1633" s="19" t="str">
        <f t="shared" si="205"/>
        <v/>
      </c>
      <c r="M1633" s="12" t="str">
        <f>IF(A1633="","",IFERROR(INDEX(المدخلات!$M$4:$M$15,MATCH(A1633,المدخلات!$L$4:$L$15,0)),""))</f>
        <v/>
      </c>
      <c r="N1633" s="4" t="str">
        <f t="shared" si="206"/>
        <v/>
      </c>
      <c r="O1633" s="4" t="str">
        <f t="shared" si="207"/>
        <v/>
      </c>
    </row>
    <row r="1634" spans="1:15">
      <c r="A1634" s="11"/>
      <c r="B1634" s="19"/>
      <c r="C1634" s="19"/>
      <c r="D1634" s="55"/>
      <c r="E1634" s="56"/>
      <c r="F1634" s="19"/>
      <c r="G1634" s="4" t="str">
        <f t="shared" si="200"/>
        <v/>
      </c>
      <c r="H1634" s="11" t="str">
        <f t="shared" si="201"/>
        <v/>
      </c>
      <c r="I1634" s="55" t="str">
        <f t="shared" si="202"/>
        <v/>
      </c>
      <c r="J1634" s="55" t="str">
        <f t="shared" si="203"/>
        <v/>
      </c>
      <c r="K1634" s="4" t="str">
        <f t="shared" si="204"/>
        <v/>
      </c>
      <c r="L1634" s="19" t="str">
        <f t="shared" si="205"/>
        <v/>
      </c>
      <c r="M1634" s="12" t="str">
        <f>IF(A1634="","",IFERROR(INDEX(المدخلات!$M$4:$M$15,MATCH(A1634,المدخلات!$L$4:$L$15,0)),""))</f>
        <v/>
      </c>
      <c r="N1634" s="4" t="str">
        <f t="shared" si="206"/>
        <v/>
      </c>
      <c r="O1634" s="4" t="str">
        <f t="shared" si="207"/>
        <v/>
      </c>
    </row>
    <row r="1635" spans="1:15">
      <c r="A1635" s="11"/>
      <c r="B1635" s="19"/>
      <c r="C1635" s="19"/>
      <c r="D1635" s="55"/>
      <c r="E1635" s="56"/>
      <c r="F1635" s="19"/>
      <c r="G1635" s="4" t="str">
        <f t="shared" si="200"/>
        <v/>
      </c>
      <c r="H1635" s="11" t="str">
        <f t="shared" si="201"/>
        <v/>
      </c>
      <c r="I1635" s="55" t="str">
        <f t="shared" si="202"/>
        <v/>
      </c>
      <c r="J1635" s="55" t="str">
        <f t="shared" si="203"/>
        <v/>
      </c>
      <c r="K1635" s="4" t="str">
        <f t="shared" si="204"/>
        <v/>
      </c>
      <c r="L1635" s="19" t="str">
        <f t="shared" si="205"/>
        <v/>
      </c>
      <c r="M1635" s="12" t="str">
        <f>IF(A1635="","",IFERROR(INDEX(المدخلات!$M$4:$M$15,MATCH(A1635,المدخلات!$L$4:$L$15,0)),""))</f>
        <v/>
      </c>
      <c r="N1635" s="4" t="str">
        <f t="shared" si="206"/>
        <v/>
      </c>
      <c r="O1635" s="4" t="str">
        <f t="shared" si="207"/>
        <v/>
      </c>
    </row>
    <row r="1636" spans="1:15">
      <c r="A1636" s="11"/>
      <c r="B1636" s="19"/>
      <c r="C1636" s="19"/>
      <c r="D1636" s="55"/>
      <c r="E1636" s="56"/>
      <c r="F1636" s="19"/>
      <c r="G1636" s="4" t="str">
        <f t="shared" si="200"/>
        <v/>
      </c>
      <c r="H1636" s="11" t="str">
        <f t="shared" si="201"/>
        <v/>
      </c>
      <c r="I1636" s="55" t="str">
        <f t="shared" si="202"/>
        <v/>
      </c>
      <c r="J1636" s="55" t="str">
        <f t="shared" si="203"/>
        <v/>
      </c>
      <c r="K1636" s="4" t="str">
        <f t="shared" si="204"/>
        <v/>
      </c>
      <c r="L1636" s="19" t="str">
        <f t="shared" si="205"/>
        <v/>
      </c>
      <c r="M1636" s="12" t="str">
        <f>IF(A1636="","",IFERROR(INDEX(المدخلات!$M$4:$M$15,MATCH(A1636,المدخلات!$L$4:$L$15,0)),""))</f>
        <v/>
      </c>
      <c r="N1636" s="4" t="str">
        <f t="shared" si="206"/>
        <v/>
      </c>
      <c r="O1636" s="4" t="str">
        <f t="shared" si="207"/>
        <v/>
      </c>
    </row>
    <row r="1637" spans="1:15">
      <c r="A1637" s="11"/>
      <c r="B1637" s="19"/>
      <c r="C1637" s="19"/>
      <c r="D1637" s="55"/>
      <c r="E1637" s="56"/>
      <c r="F1637" s="19"/>
      <c r="G1637" s="4" t="str">
        <f t="shared" si="200"/>
        <v/>
      </c>
      <c r="H1637" s="11" t="str">
        <f t="shared" si="201"/>
        <v/>
      </c>
      <c r="I1637" s="55" t="str">
        <f t="shared" si="202"/>
        <v/>
      </c>
      <c r="J1637" s="55" t="str">
        <f t="shared" si="203"/>
        <v/>
      </c>
      <c r="K1637" s="4" t="str">
        <f t="shared" si="204"/>
        <v/>
      </c>
      <c r="L1637" s="19" t="str">
        <f t="shared" si="205"/>
        <v/>
      </c>
      <c r="M1637" s="12" t="str">
        <f>IF(A1637="","",IFERROR(INDEX(المدخلات!$M$4:$M$15,MATCH(A1637,المدخلات!$L$4:$L$15,0)),""))</f>
        <v/>
      </c>
      <c r="N1637" s="4" t="str">
        <f t="shared" si="206"/>
        <v/>
      </c>
      <c r="O1637" s="4" t="str">
        <f t="shared" si="207"/>
        <v/>
      </c>
    </row>
    <row r="1638" spans="1:15">
      <c r="A1638" s="11"/>
      <c r="B1638" s="19"/>
      <c r="C1638" s="19"/>
      <c r="D1638" s="55"/>
      <c r="E1638" s="56"/>
      <c r="F1638" s="19"/>
      <c r="G1638" s="4" t="str">
        <f t="shared" si="200"/>
        <v/>
      </c>
      <c r="H1638" s="11" t="str">
        <f t="shared" si="201"/>
        <v/>
      </c>
      <c r="I1638" s="55" t="str">
        <f t="shared" si="202"/>
        <v/>
      </c>
      <c r="J1638" s="55" t="str">
        <f t="shared" si="203"/>
        <v/>
      </c>
      <c r="K1638" s="4" t="str">
        <f t="shared" si="204"/>
        <v/>
      </c>
      <c r="L1638" s="19" t="str">
        <f t="shared" si="205"/>
        <v/>
      </c>
      <c r="M1638" s="12" t="str">
        <f>IF(A1638="","",IFERROR(INDEX(المدخلات!$M$4:$M$15,MATCH(A1638,المدخلات!$L$4:$L$15,0)),""))</f>
        <v/>
      </c>
      <c r="N1638" s="4" t="str">
        <f t="shared" si="206"/>
        <v/>
      </c>
      <c r="O1638" s="4" t="str">
        <f t="shared" si="207"/>
        <v/>
      </c>
    </row>
    <row r="1639" spans="1:15">
      <c r="A1639" s="11"/>
      <c r="B1639" s="19"/>
      <c r="C1639" s="19"/>
      <c r="D1639" s="55"/>
      <c r="E1639" s="56"/>
      <c r="F1639" s="19"/>
      <c r="G1639" s="4" t="str">
        <f t="shared" si="200"/>
        <v/>
      </c>
      <c r="H1639" s="11" t="str">
        <f t="shared" si="201"/>
        <v/>
      </c>
      <c r="I1639" s="55" t="str">
        <f t="shared" si="202"/>
        <v/>
      </c>
      <c r="J1639" s="55" t="str">
        <f t="shared" si="203"/>
        <v/>
      </c>
      <c r="K1639" s="4" t="str">
        <f t="shared" si="204"/>
        <v/>
      </c>
      <c r="L1639" s="19" t="str">
        <f t="shared" si="205"/>
        <v/>
      </c>
      <c r="M1639" s="12" t="str">
        <f>IF(A1639="","",IFERROR(INDEX(المدخلات!$M$4:$M$15,MATCH(A1639,المدخلات!$L$4:$L$15,0)),""))</f>
        <v/>
      </c>
      <c r="N1639" s="4" t="str">
        <f t="shared" si="206"/>
        <v/>
      </c>
      <c r="O1639" s="4" t="str">
        <f t="shared" si="207"/>
        <v/>
      </c>
    </row>
    <row r="1640" spans="1:15">
      <c r="A1640" s="11"/>
      <c r="B1640" s="19"/>
      <c r="C1640" s="19"/>
      <c r="D1640" s="55"/>
      <c r="E1640" s="56"/>
      <c r="F1640" s="19"/>
      <c r="G1640" s="4" t="str">
        <f t="shared" si="200"/>
        <v/>
      </c>
      <c r="H1640" s="11" t="str">
        <f t="shared" si="201"/>
        <v/>
      </c>
      <c r="I1640" s="55" t="str">
        <f t="shared" si="202"/>
        <v/>
      </c>
      <c r="J1640" s="55" t="str">
        <f t="shared" si="203"/>
        <v/>
      </c>
      <c r="K1640" s="4" t="str">
        <f t="shared" si="204"/>
        <v/>
      </c>
      <c r="L1640" s="19" t="str">
        <f t="shared" si="205"/>
        <v/>
      </c>
      <c r="M1640" s="12" t="str">
        <f>IF(A1640="","",IFERROR(INDEX(المدخلات!$M$4:$M$15,MATCH(A1640,المدخلات!$L$4:$L$15,0)),""))</f>
        <v/>
      </c>
      <c r="N1640" s="4" t="str">
        <f t="shared" si="206"/>
        <v/>
      </c>
      <c r="O1640" s="4" t="str">
        <f t="shared" si="207"/>
        <v/>
      </c>
    </row>
    <row r="1641" spans="1:15">
      <c r="A1641" s="11"/>
      <c r="B1641" s="19"/>
      <c r="C1641" s="19"/>
      <c r="D1641" s="55"/>
      <c r="E1641" s="56"/>
      <c r="F1641" s="19"/>
      <c r="G1641" s="4" t="str">
        <f t="shared" si="200"/>
        <v/>
      </c>
      <c r="H1641" s="11" t="str">
        <f t="shared" si="201"/>
        <v/>
      </c>
      <c r="I1641" s="55" t="str">
        <f t="shared" si="202"/>
        <v/>
      </c>
      <c r="J1641" s="55" t="str">
        <f t="shared" si="203"/>
        <v/>
      </c>
      <c r="K1641" s="4" t="str">
        <f t="shared" si="204"/>
        <v/>
      </c>
      <c r="L1641" s="19" t="str">
        <f t="shared" si="205"/>
        <v/>
      </c>
      <c r="M1641" s="12" t="str">
        <f>IF(A1641="","",IFERROR(INDEX(المدخلات!$M$4:$M$15,MATCH(A1641,المدخلات!$L$4:$L$15,0)),""))</f>
        <v/>
      </c>
      <c r="N1641" s="4" t="str">
        <f t="shared" si="206"/>
        <v/>
      </c>
      <c r="O1641" s="4" t="str">
        <f t="shared" si="207"/>
        <v/>
      </c>
    </row>
    <row r="1642" spans="1:15">
      <c r="A1642" s="11"/>
      <c r="B1642" s="19"/>
      <c r="C1642" s="19"/>
      <c r="D1642" s="55"/>
      <c r="E1642" s="56"/>
      <c r="F1642" s="19"/>
      <c r="G1642" s="4" t="str">
        <f t="shared" si="200"/>
        <v/>
      </c>
      <c r="H1642" s="11" t="str">
        <f t="shared" si="201"/>
        <v/>
      </c>
      <c r="I1642" s="55" t="str">
        <f t="shared" si="202"/>
        <v/>
      </c>
      <c r="J1642" s="55" t="str">
        <f t="shared" si="203"/>
        <v/>
      </c>
      <c r="K1642" s="4" t="str">
        <f t="shared" si="204"/>
        <v/>
      </c>
      <c r="L1642" s="19" t="str">
        <f t="shared" si="205"/>
        <v/>
      </c>
      <c r="M1642" s="12" t="str">
        <f>IF(A1642="","",IFERROR(INDEX(المدخلات!$M$4:$M$15,MATCH(A1642,المدخلات!$L$4:$L$15,0)),""))</f>
        <v/>
      </c>
      <c r="N1642" s="4" t="str">
        <f t="shared" si="206"/>
        <v/>
      </c>
      <c r="O1642" s="4" t="str">
        <f t="shared" si="207"/>
        <v/>
      </c>
    </row>
    <row r="1643" spans="1:15">
      <c r="A1643" s="11"/>
      <c r="B1643" s="19"/>
      <c r="C1643" s="19"/>
      <c r="D1643" s="55"/>
      <c r="E1643" s="56"/>
      <c r="F1643" s="19"/>
      <c r="G1643" s="4" t="str">
        <f t="shared" si="200"/>
        <v/>
      </c>
      <c r="H1643" s="11" t="str">
        <f t="shared" si="201"/>
        <v/>
      </c>
      <c r="I1643" s="55" t="str">
        <f t="shared" si="202"/>
        <v/>
      </c>
      <c r="J1643" s="55" t="str">
        <f t="shared" si="203"/>
        <v/>
      </c>
      <c r="K1643" s="4" t="str">
        <f t="shared" si="204"/>
        <v/>
      </c>
      <c r="L1643" s="19" t="str">
        <f t="shared" si="205"/>
        <v/>
      </c>
      <c r="M1643" s="12" t="str">
        <f>IF(A1643="","",IFERROR(INDEX(المدخلات!$M$4:$M$15,MATCH(A1643,المدخلات!$L$4:$L$15,0)),""))</f>
        <v/>
      </c>
      <c r="N1643" s="4" t="str">
        <f t="shared" si="206"/>
        <v/>
      </c>
      <c r="O1643" s="4" t="str">
        <f t="shared" si="207"/>
        <v/>
      </c>
    </row>
    <row r="1644" spans="1:15">
      <c r="A1644" s="11"/>
      <c r="B1644" s="19"/>
      <c r="C1644" s="19"/>
      <c r="D1644" s="55"/>
      <c r="E1644" s="56"/>
      <c r="F1644" s="19"/>
      <c r="G1644" s="4" t="str">
        <f t="shared" si="200"/>
        <v/>
      </c>
      <c r="H1644" s="11" t="str">
        <f t="shared" si="201"/>
        <v/>
      </c>
      <c r="I1644" s="55" t="str">
        <f t="shared" si="202"/>
        <v/>
      </c>
      <c r="J1644" s="55" t="str">
        <f t="shared" si="203"/>
        <v/>
      </c>
      <c r="K1644" s="4" t="str">
        <f t="shared" si="204"/>
        <v/>
      </c>
      <c r="L1644" s="19" t="str">
        <f t="shared" si="205"/>
        <v/>
      </c>
      <c r="M1644" s="12" t="str">
        <f>IF(A1644="","",IFERROR(INDEX(المدخلات!$M$4:$M$15,MATCH(A1644,المدخلات!$L$4:$L$15,0)),""))</f>
        <v/>
      </c>
      <c r="N1644" s="4" t="str">
        <f t="shared" si="206"/>
        <v/>
      </c>
      <c r="O1644" s="4" t="str">
        <f t="shared" si="207"/>
        <v/>
      </c>
    </row>
    <row r="1645" spans="1:15">
      <c r="A1645" s="11"/>
      <c r="B1645" s="19"/>
      <c r="C1645" s="19"/>
      <c r="D1645" s="55"/>
      <c r="E1645" s="56"/>
      <c r="F1645" s="19"/>
      <c r="G1645" s="4" t="str">
        <f t="shared" si="200"/>
        <v/>
      </c>
      <c r="H1645" s="11" t="str">
        <f t="shared" si="201"/>
        <v/>
      </c>
      <c r="I1645" s="55" t="str">
        <f t="shared" si="202"/>
        <v/>
      </c>
      <c r="J1645" s="55" t="str">
        <f t="shared" si="203"/>
        <v/>
      </c>
      <c r="K1645" s="4" t="str">
        <f t="shared" si="204"/>
        <v/>
      </c>
      <c r="L1645" s="19" t="str">
        <f t="shared" si="205"/>
        <v/>
      </c>
      <c r="M1645" s="12" t="str">
        <f>IF(A1645="","",IFERROR(INDEX(المدخلات!$M$4:$M$15,MATCH(A1645,المدخلات!$L$4:$L$15,0)),""))</f>
        <v/>
      </c>
      <c r="N1645" s="4" t="str">
        <f t="shared" si="206"/>
        <v/>
      </c>
      <c r="O1645" s="4" t="str">
        <f t="shared" si="207"/>
        <v/>
      </c>
    </row>
    <row r="1646" spans="1:15">
      <c r="A1646" s="11"/>
      <c r="B1646" s="19"/>
      <c r="C1646" s="19"/>
      <c r="D1646" s="55"/>
      <c r="E1646" s="56"/>
      <c r="F1646" s="19"/>
      <c r="G1646" s="4" t="str">
        <f t="shared" si="200"/>
        <v/>
      </c>
      <c r="H1646" s="11" t="str">
        <f t="shared" si="201"/>
        <v/>
      </c>
      <c r="I1646" s="55" t="str">
        <f t="shared" si="202"/>
        <v/>
      </c>
      <c r="J1646" s="55" t="str">
        <f t="shared" si="203"/>
        <v/>
      </c>
      <c r="K1646" s="4" t="str">
        <f t="shared" si="204"/>
        <v/>
      </c>
      <c r="L1646" s="19" t="str">
        <f t="shared" si="205"/>
        <v/>
      </c>
      <c r="M1646" s="12" t="str">
        <f>IF(A1646="","",IFERROR(INDEX(المدخلات!$M$4:$M$15,MATCH(A1646,المدخلات!$L$4:$L$15,0)),""))</f>
        <v/>
      </c>
      <c r="N1646" s="4" t="str">
        <f t="shared" si="206"/>
        <v/>
      </c>
      <c r="O1646" s="4" t="str">
        <f t="shared" si="207"/>
        <v/>
      </c>
    </row>
    <row r="1647" spans="1:15">
      <c r="A1647" s="11"/>
      <c r="B1647" s="19"/>
      <c r="C1647" s="19"/>
      <c r="D1647" s="55"/>
      <c r="E1647" s="56"/>
      <c r="F1647" s="19"/>
      <c r="G1647" s="4" t="str">
        <f t="shared" si="200"/>
        <v/>
      </c>
      <c r="H1647" s="11" t="str">
        <f t="shared" si="201"/>
        <v/>
      </c>
      <c r="I1647" s="55" t="str">
        <f t="shared" si="202"/>
        <v/>
      </c>
      <c r="J1647" s="55" t="str">
        <f t="shared" si="203"/>
        <v/>
      </c>
      <c r="K1647" s="4" t="str">
        <f t="shared" si="204"/>
        <v/>
      </c>
      <c r="L1647" s="19" t="str">
        <f t="shared" si="205"/>
        <v/>
      </c>
      <c r="M1647" s="12" t="str">
        <f>IF(A1647="","",IFERROR(INDEX(المدخلات!$M$4:$M$15,MATCH(A1647,المدخلات!$L$4:$L$15,0)),""))</f>
        <v/>
      </c>
      <c r="N1647" s="4" t="str">
        <f t="shared" si="206"/>
        <v/>
      </c>
      <c r="O1647" s="4" t="str">
        <f t="shared" si="207"/>
        <v/>
      </c>
    </row>
    <row r="1648" spans="1:15">
      <c r="A1648" s="11"/>
      <c r="B1648" s="19"/>
      <c r="C1648" s="19"/>
      <c r="D1648" s="55"/>
      <c r="E1648" s="56"/>
      <c r="F1648" s="19"/>
      <c r="G1648" s="4" t="str">
        <f t="shared" si="200"/>
        <v/>
      </c>
      <c r="H1648" s="11" t="str">
        <f t="shared" si="201"/>
        <v/>
      </c>
      <c r="I1648" s="55" t="str">
        <f t="shared" si="202"/>
        <v/>
      </c>
      <c r="J1648" s="55" t="str">
        <f t="shared" si="203"/>
        <v/>
      </c>
      <c r="K1648" s="4" t="str">
        <f t="shared" si="204"/>
        <v/>
      </c>
      <c r="L1648" s="19" t="str">
        <f t="shared" si="205"/>
        <v/>
      </c>
      <c r="M1648" s="12" t="str">
        <f>IF(A1648="","",IFERROR(INDEX(المدخلات!$M$4:$M$15,MATCH(A1648,المدخلات!$L$4:$L$15,0)),""))</f>
        <v/>
      </c>
      <c r="N1648" s="4" t="str">
        <f t="shared" si="206"/>
        <v/>
      </c>
      <c r="O1648" s="4" t="str">
        <f t="shared" si="207"/>
        <v/>
      </c>
    </row>
    <row r="1649" spans="1:15">
      <c r="A1649" s="11"/>
      <c r="B1649" s="19"/>
      <c r="C1649" s="19"/>
      <c r="D1649" s="55"/>
      <c r="E1649" s="56"/>
      <c r="F1649" s="19"/>
      <c r="G1649" s="4" t="str">
        <f t="shared" si="200"/>
        <v/>
      </c>
      <c r="H1649" s="11" t="str">
        <f t="shared" si="201"/>
        <v/>
      </c>
      <c r="I1649" s="55" t="str">
        <f t="shared" si="202"/>
        <v/>
      </c>
      <c r="J1649" s="55" t="str">
        <f t="shared" si="203"/>
        <v/>
      </c>
      <c r="K1649" s="4" t="str">
        <f t="shared" si="204"/>
        <v/>
      </c>
      <c r="L1649" s="19" t="str">
        <f t="shared" si="205"/>
        <v/>
      </c>
      <c r="M1649" s="12" t="str">
        <f>IF(A1649="","",IFERROR(INDEX(المدخلات!$M$4:$M$15,MATCH(A1649,المدخلات!$L$4:$L$15,0)),""))</f>
        <v/>
      </c>
      <c r="N1649" s="4" t="str">
        <f t="shared" si="206"/>
        <v/>
      </c>
      <c r="O1649" s="4" t="str">
        <f t="shared" si="207"/>
        <v/>
      </c>
    </row>
    <row r="1650" spans="1:15">
      <c r="A1650" s="11"/>
      <c r="B1650" s="19"/>
      <c r="C1650" s="19"/>
      <c r="D1650" s="55"/>
      <c r="E1650" s="56"/>
      <c r="F1650" s="19"/>
      <c r="G1650" s="4" t="str">
        <f t="shared" si="200"/>
        <v/>
      </c>
      <c r="H1650" s="11" t="str">
        <f t="shared" si="201"/>
        <v/>
      </c>
      <c r="I1650" s="55" t="str">
        <f t="shared" si="202"/>
        <v/>
      </c>
      <c r="J1650" s="55" t="str">
        <f t="shared" si="203"/>
        <v/>
      </c>
      <c r="K1650" s="4" t="str">
        <f t="shared" si="204"/>
        <v/>
      </c>
      <c r="L1650" s="19" t="str">
        <f t="shared" si="205"/>
        <v/>
      </c>
      <c r="M1650" s="12" t="str">
        <f>IF(A1650="","",IFERROR(INDEX(المدخلات!$M$4:$M$15,MATCH(A1650,المدخلات!$L$4:$L$15,0)),""))</f>
        <v/>
      </c>
      <c r="N1650" s="4" t="str">
        <f t="shared" si="206"/>
        <v/>
      </c>
      <c r="O1650" s="4" t="str">
        <f t="shared" si="207"/>
        <v/>
      </c>
    </row>
    <row r="1651" spans="1:15">
      <c r="A1651" s="11"/>
      <c r="B1651" s="19"/>
      <c r="C1651" s="19"/>
      <c r="D1651" s="55"/>
      <c r="E1651" s="56"/>
      <c r="F1651" s="19"/>
      <c r="G1651" s="4" t="str">
        <f t="shared" si="200"/>
        <v/>
      </c>
      <c r="H1651" s="11" t="str">
        <f t="shared" si="201"/>
        <v/>
      </c>
      <c r="I1651" s="55" t="str">
        <f t="shared" si="202"/>
        <v/>
      </c>
      <c r="J1651" s="55" t="str">
        <f t="shared" si="203"/>
        <v/>
      </c>
      <c r="K1651" s="4" t="str">
        <f t="shared" si="204"/>
        <v/>
      </c>
      <c r="L1651" s="19" t="str">
        <f t="shared" si="205"/>
        <v/>
      </c>
      <c r="M1651" s="12" t="str">
        <f>IF(A1651="","",IFERROR(INDEX(المدخلات!$M$4:$M$15,MATCH(A1651,المدخلات!$L$4:$L$15,0)),""))</f>
        <v/>
      </c>
      <c r="N1651" s="4" t="str">
        <f t="shared" si="206"/>
        <v/>
      </c>
      <c r="O1651" s="4" t="str">
        <f t="shared" si="207"/>
        <v/>
      </c>
    </row>
    <row r="1652" spans="1:15">
      <c r="A1652" s="11"/>
      <c r="B1652" s="19"/>
      <c r="C1652" s="19"/>
      <c r="D1652" s="55"/>
      <c r="E1652" s="56"/>
      <c r="F1652" s="19"/>
      <c r="G1652" s="4" t="str">
        <f t="shared" si="200"/>
        <v/>
      </c>
      <c r="H1652" s="11" t="str">
        <f t="shared" si="201"/>
        <v/>
      </c>
      <c r="I1652" s="55" t="str">
        <f t="shared" si="202"/>
        <v/>
      </c>
      <c r="J1652" s="55" t="str">
        <f t="shared" si="203"/>
        <v/>
      </c>
      <c r="K1652" s="4" t="str">
        <f t="shared" si="204"/>
        <v/>
      </c>
      <c r="L1652" s="19" t="str">
        <f t="shared" si="205"/>
        <v/>
      </c>
      <c r="M1652" s="12" t="str">
        <f>IF(A1652="","",IFERROR(INDEX(المدخلات!$M$4:$M$15,MATCH(A1652,المدخلات!$L$4:$L$15,0)),""))</f>
        <v/>
      </c>
      <c r="N1652" s="4" t="str">
        <f t="shared" si="206"/>
        <v/>
      </c>
      <c r="O1652" s="4" t="str">
        <f t="shared" si="207"/>
        <v/>
      </c>
    </row>
    <row r="1653" spans="1:15">
      <c r="A1653" s="11"/>
      <c r="B1653" s="19"/>
      <c r="C1653" s="19"/>
      <c r="D1653" s="55"/>
      <c r="E1653" s="56"/>
      <c r="F1653" s="19"/>
      <c r="G1653" s="4" t="str">
        <f t="shared" si="200"/>
        <v/>
      </c>
      <c r="H1653" s="11" t="str">
        <f t="shared" si="201"/>
        <v/>
      </c>
      <c r="I1653" s="55" t="str">
        <f t="shared" si="202"/>
        <v/>
      </c>
      <c r="J1653" s="55" t="str">
        <f t="shared" si="203"/>
        <v/>
      </c>
      <c r="K1653" s="4" t="str">
        <f t="shared" si="204"/>
        <v/>
      </c>
      <c r="L1653" s="19" t="str">
        <f t="shared" si="205"/>
        <v/>
      </c>
      <c r="M1653" s="12" t="str">
        <f>IF(A1653="","",IFERROR(INDEX(المدخلات!$M$4:$M$15,MATCH(A1653,المدخلات!$L$4:$L$15,0)),""))</f>
        <v/>
      </c>
      <c r="N1653" s="4" t="str">
        <f t="shared" si="206"/>
        <v/>
      </c>
      <c r="O1653" s="4" t="str">
        <f t="shared" si="207"/>
        <v/>
      </c>
    </row>
    <row r="1654" spans="1:15">
      <c r="A1654" s="11"/>
      <c r="B1654" s="19"/>
      <c r="C1654" s="19"/>
      <c r="D1654" s="55"/>
      <c r="E1654" s="56"/>
      <c r="F1654" s="19"/>
      <c r="G1654" s="4" t="str">
        <f t="shared" si="200"/>
        <v/>
      </c>
      <c r="H1654" s="11" t="str">
        <f t="shared" si="201"/>
        <v/>
      </c>
      <c r="I1654" s="55" t="str">
        <f t="shared" si="202"/>
        <v/>
      </c>
      <c r="J1654" s="55" t="str">
        <f t="shared" si="203"/>
        <v/>
      </c>
      <c r="K1654" s="4" t="str">
        <f t="shared" si="204"/>
        <v/>
      </c>
      <c r="L1654" s="19" t="str">
        <f t="shared" si="205"/>
        <v/>
      </c>
      <c r="M1654" s="12" t="str">
        <f>IF(A1654="","",IFERROR(INDEX(المدخلات!$M$4:$M$15,MATCH(A1654,المدخلات!$L$4:$L$15,0)),""))</f>
        <v/>
      </c>
      <c r="N1654" s="4" t="str">
        <f t="shared" si="206"/>
        <v/>
      </c>
      <c r="O1654" s="4" t="str">
        <f t="shared" si="207"/>
        <v/>
      </c>
    </row>
    <row r="1655" spans="1:15">
      <c r="A1655" s="11"/>
      <c r="B1655" s="19"/>
      <c r="C1655" s="19"/>
      <c r="D1655" s="55"/>
      <c r="E1655" s="56"/>
      <c r="F1655" s="19"/>
      <c r="G1655" s="4" t="str">
        <f t="shared" si="200"/>
        <v/>
      </c>
      <c r="H1655" s="11" t="str">
        <f t="shared" si="201"/>
        <v/>
      </c>
      <c r="I1655" s="55" t="str">
        <f t="shared" si="202"/>
        <v/>
      </c>
      <c r="J1655" s="55" t="str">
        <f t="shared" si="203"/>
        <v/>
      </c>
      <c r="K1655" s="4" t="str">
        <f t="shared" si="204"/>
        <v/>
      </c>
      <c r="L1655" s="19" t="str">
        <f t="shared" si="205"/>
        <v/>
      </c>
      <c r="M1655" s="12" t="str">
        <f>IF(A1655="","",IFERROR(INDEX(المدخلات!$M$4:$M$15,MATCH(A1655,المدخلات!$L$4:$L$15,0)),""))</f>
        <v/>
      </c>
      <c r="N1655" s="4" t="str">
        <f t="shared" si="206"/>
        <v/>
      </c>
      <c r="O1655" s="4" t="str">
        <f t="shared" si="207"/>
        <v/>
      </c>
    </row>
    <row r="1656" spans="1:15">
      <c r="A1656" s="11"/>
      <c r="B1656" s="19"/>
      <c r="C1656" s="19"/>
      <c r="D1656" s="55"/>
      <c r="E1656" s="56"/>
      <c r="F1656" s="19"/>
      <c r="G1656" s="4" t="str">
        <f t="shared" si="200"/>
        <v/>
      </c>
      <c r="H1656" s="11" t="str">
        <f t="shared" si="201"/>
        <v/>
      </c>
      <c r="I1656" s="55" t="str">
        <f t="shared" si="202"/>
        <v/>
      </c>
      <c r="J1656" s="55" t="str">
        <f t="shared" si="203"/>
        <v/>
      </c>
      <c r="K1656" s="4" t="str">
        <f t="shared" si="204"/>
        <v/>
      </c>
      <c r="L1656" s="19" t="str">
        <f t="shared" si="205"/>
        <v/>
      </c>
      <c r="M1656" s="12" t="str">
        <f>IF(A1656="","",IFERROR(INDEX(المدخلات!$M$4:$M$15,MATCH(A1656,المدخلات!$L$4:$L$15,0)),""))</f>
        <v/>
      </c>
      <c r="N1656" s="4" t="str">
        <f t="shared" si="206"/>
        <v/>
      </c>
      <c r="O1656" s="4" t="str">
        <f t="shared" si="207"/>
        <v/>
      </c>
    </row>
    <row r="1657" spans="1:15">
      <c r="A1657" s="11"/>
      <c r="B1657" s="19"/>
      <c r="C1657" s="19"/>
      <c r="D1657" s="55"/>
      <c r="E1657" s="56"/>
      <c r="F1657" s="19"/>
      <c r="G1657" s="4" t="str">
        <f t="shared" si="200"/>
        <v/>
      </c>
      <c r="H1657" s="11" t="str">
        <f t="shared" si="201"/>
        <v/>
      </c>
      <c r="I1657" s="55" t="str">
        <f t="shared" si="202"/>
        <v/>
      </c>
      <c r="J1657" s="55" t="str">
        <f t="shared" si="203"/>
        <v/>
      </c>
      <c r="K1657" s="4" t="str">
        <f t="shared" si="204"/>
        <v/>
      </c>
      <c r="L1657" s="19" t="str">
        <f t="shared" si="205"/>
        <v/>
      </c>
      <c r="M1657" s="12" t="str">
        <f>IF(A1657="","",IFERROR(INDEX(المدخلات!$M$4:$M$15,MATCH(A1657,المدخلات!$L$4:$L$15,0)),""))</f>
        <v/>
      </c>
      <c r="N1657" s="4" t="str">
        <f t="shared" si="206"/>
        <v/>
      </c>
      <c r="O1657" s="4" t="str">
        <f t="shared" si="207"/>
        <v/>
      </c>
    </row>
    <row r="1658" spans="1:15">
      <c r="A1658" s="11"/>
      <c r="B1658" s="19"/>
      <c r="C1658" s="19"/>
      <c r="D1658" s="55"/>
      <c r="E1658" s="56"/>
      <c r="F1658" s="19"/>
      <c r="G1658" s="4" t="str">
        <f t="shared" si="200"/>
        <v/>
      </c>
      <c r="H1658" s="11" t="str">
        <f t="shared" si="201"/>
        <v/>
      </c>
      <c r="I1658" s="55" t="str">
        <f t="shared" si="202"/>
        <v/>
      </c>
      <c r="J1658" s="55" t="str">
        <f t="shared" si="203"/>
        <v/>
      </c>
      <c r="K1658" s="4" t="str">
        <f t="shared" si="204"/>
        <v/>
      </c>
      <c r="L1658" s="19" t="str">
        <f t="shared" si="205"/>
        <v/>
      </c>
      <c r="M1658" s="12" t="str">
        <f>IF(A1658="","",IFERROR(INDEX(المدخلات!$M$4:$M$15,MATCH(A1658,المدخلات!$L$4:$L$15,0)),""))</f>
        <v/>
      </c>
      <c r="N1658" s="4" t="str">
        <f t="shared" si="206"/>
        <v/>
      </c>
      <c r="O1658" s="4" t="str">
        <f t="shared" si="207"/>
        <v/>
      </c>
    </row>
    <row r="1659" spans="1:15">
      <c r="A1659" s="11"/>
      <c r="B1659" s="19"/>
      <c r="C1659" s="19"/>
      <c r="D1659" s="55"/>
      <c r="E1659" s="56"/>
      <c r="F1659" s="19"/>
      <c r="G1659" s="4" t="str">
        <f t="shared" si="200"/>
        <v/>
      </c>
      <c r="H1659" s="11" t="str">
        <f t="shared" si="201"/>
        <v/>
      </c>
      <c r="I1659" s="55" t="str">
        <f t="shared" si="202"/>
        <v/>
      </c>
      <c r="J1659" s="55" t="str">
        <f t="shared" si="203"/>
        <v/>
      </c>
      <c r="K1659" s="4" t="str">
        <f t="shared" si="204"/>
        <v/>
      </c>
      <c r="L1659" s="19" t="str">
        <f t="shared" si="205"/>
        <v/>
      </c>
      <c r="M1659" s="12" t="str">
        <f>IF(A1659="","",IFERROR(INDEX(المدخلات!$M$4:$M$15,MATCH(A1659,المدخلات!$L$4:$L$15,0)),""))</f>
        <v/>
      </c>
      <c r="N1659" s="4" t="str">
        <f t="shared" si="206"/>
        <v/>
      </c>
      <c r="O1659" s="4" t="str">
        <f t="shared" si="207"/>
        <v/>
      </c>
    </row>
    <row r="1660" spans="1:15">
      <c r="A1660" s="11"/>
      <c r="B1660" s="19"/>
      <c r="C1660" s="19"/>
      <c r="D1660" s="55"/>
      <c r="E1660" s="56"/>
      <c r="F1660" s="19"/>
      <c r="G1660" s="4" t="str">
        <f t="shared" si="200"/>
        <v/>
      </c>
      <c r="H1660" s="11" t="str">
        <f t="shared" si="201"/>
        <v/>
      </c>
      <c r="I1660" s="55" t="str">
        <f t="shared" si="202"/>
        <v/>
      </c>
      <c r="J1660" s="55" t="str">
        <f t="shared" si="203"/>
        <v/>
      </c>
      <c r="K1660" s="4" t="str">
        <f t="shared" si="204"/>
        <v/>
      </c>
      <c r="L1660" s="19" t="str">
        <f t="shared" si="205"/>
        <v/>
      </c>
      <c r="M1660" s="12" t="str">
        <f>IF(A1660="","",IFERROR(INDEX(المدخلات!$M$4:$M$15,MATCH(A1660,المدخلات!$L$4:$L$15,0)),""))</f>
        <v/>
      </c>
      <c r="N1660" s="4" t="str">
        <f t="shared" si="206"/>
        <v/>
      </c>
      <c r="O1660" s="4" t="str">
        <f t="shared" si="207"/>
        <v/>
      </c>
    </row>
    <row r="1661" spans="1:15">
      <c r="A1661" s="11"/>
      <c r="B1661" s="19"/>
      <c r="C1661" s="19"/>
      <c r="D1661" s="55"/>
      <c r="E1661" s="56"/>
      <c r="F1661" s="19"/>
      <c r="G1661" s="4" t="str">
        <f t="shared" si="200"/>
        <v/>
      </c>
      <c r="H1661" s="11" t="str">
        <f t="shared" si="201"/>
        <v/>
      </c>
      <c r="I1661" s="55" t="str">
        <f t="shared" si="202"/>
        <v/>
      </c>
      <c r="J1661" s="55" t="str">
        <f t="shared" si="203"/>
        <v/>
      </c>
      <c r="K1661" s="4" t="str">
        <f t="shared" si="204"/>
        <v/>
      </c>
      <c r="L1661" s="19" t="str">
        <f t="shared" si="205"/>
        <v/>
      </c>
      <c r="M1661" s="12" t="str">
        <f>IF(A1661="","",IFERROR(INDEX(المدخلات!$M$4:$M$15,MATCH(A1661,المدخلات!$L$4:$L$15,0)),""))</f>
        <v/>
      </c>
      <c r="N1661" s="4" t="str">
        <f t="shared" si="206"/>
        <v/>
      </c>
      <c r="O1661" s="4" t="str">
        <f t="shared" si="207"/>
        <v/>
      </c>
    </row>
    <row r="1662" spans="1:15">
      <c r="A1662" s="11"/>
      <c r="B1662" s="19"/>
      <c r="C1662" s="19"/>
      <c r="D1662" s="55"/>
      <c r="E1662" s="56"/>
      <c r="F1662" s="19"/>
      <c r="G1662" s="4" t="str">
        <f t="shared" si="200"/>
        <v/>
      </c>
      <c r="H1662" s="11" t="str">
        <f t="shared" si="201"/>
        <v/>
      </c>
      <c r="I1662" s="55" t="str">
        <f t="shared" si="202"/>
        <v/>
      </c>
      <c r="J1662" s="55" t="str">
        <f t="shared" si="203"/>
        <v/>
      </c>
      <c r="K1662" s="4" t="str">
        <f t="shared" si="204"/>
        <v/>
      </c>
      <c r="L1662" s="19" t="str">
        <f t="shared" si="205"/>
        <v/>
      </c>
      <c r="M1662" s="12" t="str">
        <f>IF(A1662="","",IFERROR(INDEX(المدخلات!$M$4:$M$15,MATCH(A1662,المدخلات!$L$4:$L$15,0)),""))</f>
        <v/>
      </c>
      <c r="N1662" s="4" t="str">
        <f t="shared" si="206"/>
        <v/>
      </c>
      <c r="O1662" s="4" t="str">
        <f t="shared" si="207"/>
        <v/>
      </c>
    </row>
    <row r="1663" spans="1:15">
      <c r="A1663" s="11"/>
      <c r="B1663" s="19"/>
      <c r="C1663" s="19"/>
      <c r="D1663" s="55"/>
      <c r="E1663" s="56"/>
      <c r="F1663" s="19"/>
      <c r="G1663" s="4" t="str">
        <f t="shared" si="200"/>
        <v/>
      </c>
      <c r="H1663" s="11" t="str">
        <f t="shared" si="201"/>
        <v/>
      </c>
      <c r="I1663" s="55" t="str">
        <f t="shared" si="202"/>
        <v/>
      </c>
      <c r="J1663" s="55" t="str">
        <f t="shared" si="203"/>
        <v/>
      </c>
      <c r="K1663" s="4" t="str">
        <f t="shared" si="204"/>
        <v/>
      </c>
      <c r="L1663" s="19" t="str">
        <f t="shared" si="205"/>
        <v/>
      </c>
      <c r="M1663" s="12" t="str">
        <f>IF(A1663="","",IFERROR(INDEX(المدخلات!$M$4:$M$15,MATCH(A1663,المدخلات!$L$4:$L$15,0)),""))</f>
        <v/>
      </c>
      <c r="N1663" s="4" t="str">
        <f t="shared" si="206"/>
        <v/>
      </c>
      <c r="O1663" s="4" t="str">
        <f t="shared" si="207"/>
        <v/>
      </c>
    </row>
    <row r="1664" spans="1:15">
      <c r="A1664" s="11"/>
      <c r="B1664" s="19"/>
      <c r="C1664" s="19"/>
      <c r="D1664" s="55"/>
      <c r="E1664" s="56"/>
      <c r="F1664" s="19"/>
      <c r="G1664" s="4" t="str">
        <f t="shared" si="200"/>
        <v/>
      </c>
      <c r="H1664" s="11" t="str">
        <f t="shared" si="201"/>
        <v/>
      </c>
      <c r="I1664" s="55" t="str">
        <f t="shared" si="202"/>
        <v/>
      </c>
      <c r="J1664" s="55" t="str">
        <f t="shared" si="203"/>
        <v/>
      </c>
      <c r="K1664" s="4" t="str">
        <f t="shared" si="204"/>
        <v/>
      </c>
      <c r="L1664" s="19" t="str">
        <f t="shared" si="205"/>
        <v/>
      </c>
      <c r="M1664" s="12" t="str">
        <f>IF(A1664="","",IFERROR(INDEX(المدخلات!$M$4:$M$15,MATCH(A1664,المدخلات!$L$4:$L$15,0)),""))</f>
        <v/>
      </c>
      <c r="N1664" s="4" t="str">
        <f t="shared" si="206"/>
        <v/>
      </c>
      <c r="O1664" s="4" t="str">
        <f t="shared" si="207"/>
        <v/>
      </c>
    </row>
    <row r="1665" spans="1:15">
      <c r="A1665" s="11"/>
      <c r="B1665" s="19"/>
      <c r="C1665" s="19"/>
      <c r="D1665" s="55"/>
      <c r="E1665" s="56"/>
      <c r="F1665" s="19"/>
      <c r="G1665" s="4" t="str">
        <f t="shared" si="200"/>
        <v/>
      </c>
      <c r="H1665" s="11" t="str">
        <f t="shared" si="201"/>
        <v/>
      </c>
      <c r="I1665" s="55" t="str">
        <f t="shared" si="202"/>
        <v/>
      </c>
      <c r="J1665" s="55" t="str">
        <f t="shared" si="203"/>
        <v/>
      </c>
      <c r="K1665" s="4" t="str">
        <f t="shared" si="204"/>
        <v/>
      </c>
      <c r="L1665" s="19" t="str">
        <f t="shared" si="205"/>
        <v/>
      </c>
      <c r="M1665" s="12" t="str">
        <f>IF(A1665="","",IFERROR(INDEX(المدخلات!$M$4:$M$15,MATCH(A1665,المدخلات!$L$4:$L$15,0)),""))</f>
        <v/>
      </c>
      <c r="N1665" s="4" t="str">
        <f t="shared" si="206"/>
        <v/>
      </c>
      <c r="O1665" s="4" t="str">
        <f t="shared" si="207"/>
        <v/>
      </c>
    </row>
    <row r="1666" spans="1:15">
      <c r="A1666" s="11"/>
      <c r="B1666" s="19"/>
      <c r="C1666" s="19"/>
      <c r="D1666" s="55"/>
      <c r="E1666" s="56"/>
      <c r="F1666" s="19"/>
      <c r="G1666" s="4" t="str">
        <f t="shared" si="200"/>
        <v/>
      </c>
      <c r="H1666" s="11" t="str">
        <f t="shared" si="201"/>
        <v/>
      </c>
      <c r="I1666" s="55" t="str">
        <f t="shared" si="202"/>
        <v/>
      </c>
      <c r="J1666" s="55" t="str">
        <f t="shared" si="203"/>
        <v/>
      </c>
      <c r="K1666" s="4" t="str">
        <f t="shared" si="204"/>
        <v/>
      </c>
      <c r="L1666" s="19" t="str">
        <f t="shared" si="205"/>
        <v/>
      </c>
      <c r="M1666" s="12" t="str">
        <f>IF(A1666="","",IFERROR(INDEX(المدخلات!$M$4:$M$15,MATCH(A1666,المدخلات!$L$4:$L$15,0)),""))</f>
        <v/>
      </c>
      <c r="N1666" s="4" t="str">
        <f t="shared" si="206"/>
        <v/>
      </c>
      <c r="O1666" s="4" t="str">
        <f t="shared" si="207"/>
        <v/>
      </c>
    </row>
    <row r="1667" spans="1:15">
      <c r="A1667" s="11"/>
      <c r="B1667" s="19"/>
      <c r="C1667" s="19"/>
      <c r="D1667" s="55"/>
      <c r="E1667" s="56"/>
      <c r="F1667" s="19"/>
      <c r="G1667" s="4" t="str">
        <f t="shared" si="200"/>
        <v/>
      </c>
      <c r="H1667" s="11" t="str">
        <f t="shared" si="201"/>
        <v/>
      </c>
      <c r="I1667" s="55" t="str">
        <f t="shared" si="202"/>
        <v/>
      </c>
      <c r="J1667" s="55" t="str">
        <f t="shared" si="203"/>
        <v/>
      </c>
      <c r="K1667" s="4" t="str">
        <f t="shared" si="204"/>
        <v/>
      </c>
      <c r="L1667" s="19" t="str">
        <f t="shared" si="205"/>
        <v/>
      </c>
      <c r="M1667" s="12" t="str">
        <f>IF(A1667="","",IFERROR(INDEX(المدخلات!$M$4:$M$15,MATCH(A1667,المدخلات!$L$4:$L$15,0)),""))</f>
        <v/>
      </c>
      <c r="N1667" s="4" t="str">
        <f t="shared" si="206"/>
        <v/>
      </c>
      <c r="O1667" s="4" t="str">
        <f t="shared" si="207"/>
        <v/>
      </c>
    </row>
    <row r="1668" spans="1:15">
      <c r="A1668" s="11"/>
      <c r="B1668" s="19"/>
      <c r="C1668" s="19"/>
      <c r="D1668" s="55"/>
      <c r="E1668" s="56"/>
      <c r="F1668" s="19"/>
      <c r="G1668" s="4" t="str">
        <f t="shared" si="200"/>
        <v/>
      </c>
      <c r="H1668" s="11" t="str">
        <f t="shared" si="201"/>
        <v/>
      </c>
      <c r="I1668" s="55" t="str">
        <f t="shared" si="202"/>
        <v/>
      </c>
      <c r="J1668" s="55" t="str">
        <f t="shared" si="203"/>
        <v/>
      </c>
      <c r="K1668" s="4" t="str">
        <f t="shared" si="204"/>
        <v/>
      </c>
      <c r="L1668" s="19" t="str">
        <f t="shared" si="205"/>
        <v/>
      </c>
      <c r="M1668" s="12" t="str">
        <f>IF(A1668="","",IFERROR(INDEX(المدخلات!$M$4:$M$15,MATCH(A1668,المدخلات!$L$4:$L$15,0)),""))</f>
        <v/>
      </c>
      <c r="N1668" s="4" t="str">
        <f t="shared" si="206"/>
        <v/>
      </c>
      <c r="O1668" s="4" t="str">
        <f t="shared" si="207"/>
        <v/>
      </c>
    </row>
    <row r="1669" spans="1:15">
      <c r="A1669" s="11"/>
      <c r="B1669" s="19"/>
      <c r="C1669" s="19"/>
      <c r="D1669" s="55"/>
      <c r="E1669" s="56"/>
      <c r="F1669" s="19"/>
      <c r="G1669" s="4" t="str">
        <f t="shared" ref="G1669:G1732" si="208">IF(OR(D1669="",E1669=""),"",D1669*E1669)</f>
        <v/>
      </c>
      <c r="H1669" s="11" t="str">
        <f t="shared" ref="H1669:H1732" si="209">IF(C1669="","",IFERROR(_xlfn.MAXIFS($A$5:$A$2003,$C$5:$C$2003,C1669,$A$5:$A$2003,"&lt;"&amp;A1669),0))</f>
        <v/>
      </c>
      <c r="I1669" s="55" t="str">
        <f t="shared" ref="I1669:I1732" si="210">IF(OR(H1669="",H1669=0),"",IFERROR(SUMIFS($D$5:$D$2003,$C$5:$C$2003,C1669,$A$5:$A$2003,H1669),""))</f>
        <v/>
      </c>
      <c r="J1669" s="55" t="str">
        <f t="shared" ref="J1669:J1732" si="211">IF(C1669="","",IF(I1669="",0,MAX(I1669-D1669,0)))</f>
        <v/>
      </c>
      <c r="K1669" s="4" t="str">
        <f t="shared" ref="K1669:K1732" si="212">IF(J1669="","",J1669*E1669)</f>
        <v/>
      </c>
      <c r="L1669" s="19" t="str">
        <f t="shared" ref="L1669:L1732" si="213">IF(C1669="","",IF(COUNTIFS($A$5:$A$2003,A1669,$C$5:$C$2003,C1669)&gt;1,"⚠️ مادة مكررة بنفس الشهر",IF(OR(H1669="",H1669=0),"🆕 أول ظهور لهذه المادة",IF(D1669&gt;I1669,"ℹ️ زيادة كمية (شراء/تصحيح) - لا تُحتسب استهلاكاً",IF(D1669=I1669,"➖ لا تغيير","")))))</f>
        <v/>
      </c>
      <c r="M1669" s="12" t="str">
        <f>IF(A1669="","",IFERROR(INDEX(المدخلات!$M$4:$M$15,MATCH(A1669,المدخلات!$L$4:$L$15,0)),""))</f>
        <v/>
      </c>
      <c r="N1669" s="4" t="str">
        <f t="shared" ref="N1669:N1732" si="214">IF(OR(G1669="",F1669=""),"",IF(F1669="دولار أمريكي",IF(M1669="","⚠️ لا يوجد سعر صرف",G1669*M1669),G1669))</f>
        <v/>
      </c>
      <c r="O1669" s="4" t="str">
        <f t="shared" ref="O1669:O1732" si="215">IF(OR(K1669="",F1669=""),"",IF(F1669="دولار أمريكي",IF(M1669="","⚠️ لا يوجد سعر صرف",K1669*M1669),K1669))</f>
        <v/>
      </c>
    </row>
    <row r="1670" spans="1:15">
      <c r="A1670" s="11"/>
      <c r="B1670" s="19"/>
      <c r="C1670" s="19"/>
      <c r="D1670" s="55"/>
      <c r="E1670" s="56"/>
      <c r="F1670" s="19"/>
      <c r="G1670" s="4" t="str">
        <f t="shared" si="208"/>
        <v/>
      </c>
      <c r="H1670" s="11" t="str">
        <f t="shared" si="209"/>
        <v/>
      </c>
      <c r="I1670" s="55" t="str">
        <f t="shared" si="210"/>
        <v/>
      </c>
      <c r="J1670" s="55" t="str">
        <f t="shared" si="211"/>
        <v/>
      </c>
      <c r="K1670" s="4" t="str">
        <f t="shared" si="212"/>
        <v/>
      </c>
      <c r="L1670" s="19" t="str">
        <f t="shared" si="213"/>
        <v/>
      </c>
      <c r="M1670" s="12" t="str">
        <f>IF(A1670="","",IFERROR(INDEX(المدخلات!$M$4:$M$15,MATCH(A1670,المدخلات!$L$4:$L$15,0)),""))</f>
        <v/>
      </c>
      <c r="N1670" s="4" t="str">
        <f t="shared" si="214"/>
        <v/>
      </c>
      <c r="O1670" s="4" t="str">
        <f t="shared" si="215"/>
        <v/>
      </c>
    </row>
    <row r="1671" spans="1:15">
      <c r="A1671" s="11"/>
      <c r="B1671" s="19"/>
      <c r="C1671" s="19"/>
      <c r="D1671" s="55"/>
      <c r="E1671" s="56"/>
      <c r="F1671" s="19"/>
      <c r="G1671" s="4" t="str">
        <f t="shared" si="208"/>
        <v/>
      </c>
      <c r="H1671" s="11" t="str">
        <f t="shared" si="209"/>
        <v/>
      </c>
      <c r="I1671" s="55" t="str">
        <f t="shared" si="210"/>
        <v/>
      </c>
      <c r="J1671" s="55" t="str">
        <f t="shared" si="211"/>
        <v/>
      </c>
      <c r="K1671" s="4" t="str">
        <f t="shared" si="212"/>
        <v/>
      </c>
      <c r="L1671" s="19" t="str">
        <f t="shared" si="213"/>
        <v/>
      </c>
      <c r="M1671" s="12" t="str">
        <f>IF(A1671="","",IFERROR(INDEX(المدخلات!$M$4:$M$15,MATCH(A1671,المدخلات!$L$4:$L$15,0)),""))</f>
        <v/>
      </c>
      <c r="N1671" s="4" t="str">
        <f t="shared" si="214"/>
        <v/>
      </c>
      <c r="O1671" s="4" t="str">
        <f t="shared" si="215"/>
        <v/>
      </c>
    </row>
    <row r="1672" spans="1:15">
      <c r="A1672" s="11"/>
      <c r="B1672" s="19"/>
      <c r="C1672" s="19"/>
      <c r="D1672" s="55"/>
      <c r="E1672" s="56"/>
      <c r="F1672" s="19"/>
      <c r="G1672" s="4" t="str">
        <f t="shared" si="208"/>
        <v/>
      </c>
      <c r="H1672" s="11" t="str">
        <f t="shared" si="209"/>
        <v/>
      </c>
      <c r="I1672" s="55" t="str">
        <f t="shared" si="210"/>
        <v/>
      </c>
      <c r="J1672" s="55" t="str">
        <f t="shared" si="211"/>
        <v/>
      </c>
      <c r="K1672" s="4" t="str">
        <f t="shared" si="212"/>
        <v/>
      </c>
      <c r="L1672" s="19" t="str">
        <f t="shared" si="213"/>
        <v/>
      </c>
      <c r="M1672" s="12" t="str">
        <f>IF(A1672="","",IFERROR(INDEX(المدخلات!$M$4:$M$15,MATCH(A1672,المدخلات!$L$4:$L$15,0)),""))</f>
        <v/>
      </c>
      <c r="N1672" s="4" t="str">
        <f t="shared" si="214"/>
        <v/>
      </c>
      <c r="O1672" s="4" t="str">
        <f t="shared" si="215"/>
        <v/>
      </c>
    </row>
    <row r="1673" spans="1:15">
      <c r="A1673" s="11"/>
      <c r="B1673" s="19"/>
      <c r="C1673" s="19"/>
      <c r="D1673" s="55"/>
      <c r="E1673" s="56"/>
      <c r="F1673" s="19"/>
      <c r="G1673" s="4" t="str">
        <f t="shared" si="208"/>
        <v/>
      </c>
      <c r="H1673" s="11" t="str">
        <f t="shared" si="209"/>
        <v/>
      </c>
      <c r="I1673" s="55" t="str">
        <f t="shared" si="210"/>
        <v/>
      </c>
      <c r="J1673" s="55" t="str">
        <f t="shared" si="211"/>
        <v/>
      </c>
      <c r="K1673" s="4" t="str">
        <f t="shared" si="212"/>
        <v/>
      </c>
      <c r="L1673" s="19" t="str">
        <f t="shared" si="213"/>
        <v/>
      </c>
      <c r="M1673" s="12" t="str">
        <f>IF(A1673="","",IFERROR(INDEX(المدخلات!$M$4:$M$15,MATCH(A1673,المدخلات!$L$4:$L$15,0)),""))</f>
        <v/>
      </c>
      <c r="N1673" s="4" t="str">
        <f t="shared" si="214"/>
        <v/>
      </c>
      <c r="O1673" s="4" t="str">
        <f t="shared" si="215"/>
        <v/>
      </c>
    </row>
    <row r="1674" spans="1:15">
      <c r="A1674" s="11"/>
      <c r="B1674" s="19"/>
      <c r="C1674" s="19"/>
      <c r="D1674" s="55"/>
      <c r="E1674" s="56"/>
      <c r="F1674" s="19"/>
      <c r="G1674" s="4" t="str">
        <f t="shared" si="208"/>
        <v/>
      </c>
      <c r="H1674" s="11" t="str">
        <f t="shared" si="209"/>
        <v/>
      </c>
      <c r="I1674" s="55" t="str">
        <f t="shared" si="210"/>
        <v/>
      </c>
      <c r="J1674" s="55" t="str">
        <f t="shared" si="211"/>
        <v/>
      </c>
      <c r="K1674" s="4" t="str">
        <f t="shared" si="212"/>
        <v/>
      </c>
      <c r="L1674" s="19" t="str">
        <f t="shared" si="213"/>
        <v/>
      </c>
      <c r="M1674" s="12" t="str">
        <f>IF(A1674="","",IFERROR(INDEX(المدخلات!$M$4:$M$15,MATCH(A1674,المدخلات!$L$4:$L$15,0)),""))</f>
        <v/>
      </c>
      <c r="N1674" s="4" t="str">
        <f t="shared" si="214"/>
        <v/>
      </c>
      <c r="O1674" s="4" t="str">
        <f t="shared" si="215"/>
        <v/>
      </c>
    </row>
    <row r="1675" spans="1:15">
      <c r="A1675" s="11"/>
      <c r="B1675" s="19"/>
      <c r="C1675" s="19"/>
      <c r="D1675" s="55"/>
      <c r="E1675" s="56"/>
      <c r="F1675" s="19"/>
      <c r="G1675" s="4" t="str">
        <f t="shared" si="208"/>
        <v/>
      </c>
      <c r="H1675" s="11" t="str">
        <f t="shared" si="209"/>
        <v/>
      </c>
      <c r="I1675" s="55" t="str">
        <f t="shared" si="210"/>
        <v/>
      </c>
      <c r="J1675" s="55" t="str">
        <f t="shared" si="211"/>
        <v/>
      </c>
      <c r="K1675" s="4" t="str">
        <f t="shared" si="212"/>
        <v/>
      </c>
      <c r="L1675" s="19" t="str">
        <f t="shared" si="213"/>
        <v/>
      </c>
      <c r="M1675" s="12" t="str">
        <f>IF(A1675="","",IFERROR(INDEX(المدخلات!$M$4:$M$15,MATCH(A1675,المدخلات!$L$4:$L$15,0)),""))</f>
        <v/>
      </c>
      <c r="N1675" s="4" t="str">
        <f t="shared" si="214"/>
        <v/>
      </c>
      <c r="O1675" s="4" t="str">
        <f t="shared" si="215"/>
        <v/>
      </c>
    </row>
    <row r="1676" spans="1:15">
      <c r="A1676" s="11"/>
      <c r="B1676" s="19"/>
      <c r="C1676" s="19"/>
      <c r="D1676" s="55"/>
      <c r="E1676" s="56"/>
      <c r="F1676" s="19"/>
      <c r="G1676" s="4" t="str">
        <f t="shared" si="208"/>
        <v/>
      </c>
      <c r="H1676" s="11" t="str">
        <f t="shared" si="209"/>
        <v/>
      </c>
      <c r="I1676" s="55" t="str">
        <f t="shared" si="210"/>
        <v/>
      </c>
      <c r="J1676" s="55" t="str">
        <f t="shared" si="211"/>
        <v/>
      </c>
      <c r="K1676" s="4" t="str">
        <f t="shared" si="212"/>
        <v/>
      </c>
      <c r="L1676" s="19" t="str">
        <f t="shared" si="213"/>
        <v/>
      </c>
      <c r="M1676" s="12" t="str">
        <f>IF(A1676="","",IFERROR(INDEX(المدخلات!$M$4:$M$15,MATCH(A1676,المدخلات!$L$4:$L$15,0)),""))</f>
        <v/>
      </c>
      <c r="N1676" s="4" t="str">
        <f t="shared" si="214"/>
        <v/>
      </c>
      <c r="O1676" s="4" t="str">
        <f t="shared" si="215"/>
        <v/>
      </c>
    </row>
    <row r="1677" spans="1:15">
      <c r="A1677" s="11"/>
      <c r="B1677" s="19"/>
      <c r="C1677" s="19"/>
      <c r="D1677" s="55"/>
      <c r="E1677" s="56"/>
      <c r="F1677" s="19"/>
      <c r="G1677" s="4" t="str">
        <f t="shared" si="208"/>
        <v/>
      </c>
      <c r="H1677" s="11" t="str">
        <f t="shared" si="209"/>
        <v/>
      </c>
      <c r="I1677" s="55" t="str">
        <f t="shared" si="210"/>
        <v/>
      </c>
      <c r="J1677" s="55" t="str">
        <f t="shared" si="211"/>
        <v/>
      </c>
      <c r="K1677" s="4" t="str">
        <f t="shared" si="212"/>
        <v/>
      </c>
      <c r="L1677" s="19" t="str">
        <f t="shared" si="213"/>
        <v/>
      </c>
      <c r="M1677" s="12" t="str">
        <f>IF(A1677="","",IFERROR(INDEX(المدخلات!$M$4:$M$15,MATCH(A1677,المدخلات!$L$4:$L$15,0)),""))</f>
        <v/>
      </c>
      <c r="N1677" s="4" t="str">
        <f t="shared" si="214"/>
        <v/>
      </c>
      <c r="O1677" s="4" t="str">
        <f t="shared" si="215"/>
        <v/>
      </c>
    </row>
    <row r="1678" spans="1:15">
      <c r="A1678" s="11"/>
      <c r="B1678" s="19"/>
      <c r="C1678" s="19"/>
      <c r="D1678" s="55"/>
      <c r="E1678" s="56"/>
      <c r="F1678" s="19"/>
      <c r="G1678" s="4" t="str">
        <f t="shared" si="208"/>
        <v/>
      </c>
      <c r="H1678" s="11" t="str">
        <f t="shared" si="209"/>
        <v/>
      </c>
      <c r="I1678" s="55" t="str">
        <f t="shared" si="210"/>
        <v/>
      </c>
      <c r="J1678" s="55" t="str">
        <f t="shared" si="211"/>
        <v/>
      </c>
      <c r="K1678" s="4" t="str">
        <f t="shared" si="212"/>
        <v/>
      </c>
      <c r="L1678" s="19" t="str">
        <f t="shared" si="213"/>
        <v/>
      </c>
      <c r="M1678" s="12" t="str">
        <f>IF(A1678="","",IFERROR(INDEX(المدخلات!$M$4:$M$15,MATCH(A1678,المدخلات!$L$4:$L$15,0)),""))</f>
        <v/>
      </c>
      <c r="N1678" s="4" t="str">
        <f t="shared" si="214"/>
        <v/>
      </c>
      <c r="O1678" s="4" t="str">
        <f t="shared" si="215"/>
        <v/>
      </c>
    </row>
    <row r="1679" spans="1:15">
      <c r="A1679" s="11"/>
      <c r="B1679" s="19"/>
      <c r="C1679" s="19"/>
      <c r="D1679" s="55"/>
      <c r="E1679" s="56"/>
      <c r="F1679" s="19"/>
      <c r="G1679" s="4" t="str">
        <f t="shared" si="208"/>
        <v/>
      </c>
      <c r="H1679" s="11" t="str">
        <f t="shared" si="209"/>
        <v/>
      </c>
      <c r="I1679" s="55" t="str">
        <f t="shared" si="210"/>
        <v/>
      </c>
      <c r="J1679" s="55" t="str">
        <f t="shared" si="211"/>
        <v/>
      </c>
      <c r="K1679" s="4" t="str">
        <f t="shared" si="212"/>
        <v/>
      </c>
      <c r="L1679" s="19" t="str">
        <f t="shared" si="213"/>
        <v/>
      </c>
      <c r="M1679" s="12" t="str">
        <f>IF(A1679="","",IFERROR(INDEX(المدخلات!$M$4:$M$15,MATCH(A1679,المدخلات!$L$4:$L$15,0)),""))</f>
        <v/>
      </c>
      <c r="N1679" s="4" t="str">
        <f t="shared" si="214"/>
        <v/>
      </c>
      <c r="O1679" s="4" t="str">
        <f t="shared" si="215"/>
        <v/>
      </c>
    </row>
    <row r="1680" spans="1:15">
      <c r="A1680" s="11"/>
      <c r="B1680" s="19"/>
      <c r="C1680" s="19"/>
      <c r="D1680" s="55"/>
      <c r="E1680" s="56"/>
      <c r="F1680" s="19"/>
      <c r="G1680" s="4" t="str">
        <f t="shared" si="208"/>
        <v/>
      </c>
      <c r="H1680" s="11" t="str">
        <f t="shared" si="209"/>
        <v/>
      </c>
      <c r="I1680" s="55" t="str">
        <f t="shared" si="210"/>
        <v/>
      </c>
      <c r="J1680" s="55" t="str">
        <f t="shared" si="211"/>
        <v/>
      </c>
      <c r="K1680" s="4" t="str">
        <f t="shared" si="212"/>
        <v/>
      </c>
      <c r="L1680" s="19" t="str">
        <f t="shared" si="213"/>
        <v/>
      </c>
      <c r="M1680" s="12" t="str">
        <f>IF(A1680="","",IFERROR(INDEX(المدخلات!$M$4:$M$15,MATCH(A1680,المدخلات!$L$4:$L$15,0)),""))</f>
        <v/>
      </c>
      <c r="N1680" s="4" t="str">
        <f t="shared" si="214"/>
        <v/>
      </c>
      <c r="O1680" s="4" t="str">
        <f t="shared" si="215"/>
        <v/>
      </c>
    </row>
    <row r="1681" spans="1:15">
      <c r="A1681" s="11"/>
      <c r="B1681" s="19"/>
      <c r="C1681" s="19"/>
      <c r="D1681" s="55"/>
      <c r="E1681" s="56"/>
      <c r="F1681" s="19"/>
      <c r="G1681" s="4" t="str">
        <f t="shared" si="208"/>
        <v/>
      </c>
      <c r="H1681" s="11" t="str">
        <f t="shared" si="209"/>
        <v/>
      </c>
      <c r="I1681" s="55" t="str">
        <f t="shared" si="210"/>
        <v/>
      </c>
      <c r="J1681" s="55" t="str">
        <f t="shared" si="211"/>
        <v/>
      </c>
      <c r="K1681" s="4" t="str">
        <f t="shared" si="212"/>
        <v/>
      </c>
      <c r="L1681" s="19" t="str">
        <f t="shared" si="213"/>
        <v/>
      </c>
      <c r="M1681" s="12" t="str">
        <f>IF(A1681="","",IFERROR(INDEX(المدخلات!$M$4:$M$15,MATCH(A1681,المدخلات!$L$4:$L$15,0)),""))</f>
        <v/>
      </c>
      <c r="N1681" s="4" t="str">
        <f t="shared" si="214"/>
        <v/>
      </c>
      <c r="O1681" s="4" t="str">
        <f t="shared" si="215"/>
        <v/>
      </c>
    </row>
    <row r="1682" spans="1:15">
      <c r="A1682" s="11"/>
      <c r="B1682" s="19"/>
      <c r="C1682" s="19"/>
      <c r="D1682" s="55"/>
      <c r="E1682" s="56"/>
      <c r="F1682" s="19"/>
      <c r="G1682" s="4" t="str">
        <f t="shared" si="208"/>
        <v/>
      </c>
      <c r="H1682" s="11" t="str">
        <f t="shared" si="209"/>
        <v/>
      </c>
      <c r="I1682" s="55" t="str">
        <f t="shared" si="210"/>
        <v/>
      </c>
      <c r="J1682" s="55" t="str">
        <f t="shared" si="211"/>
        <v/>
      </c>
      <c r="K1682" s="4" t="str">
        <f t="shared" si="212"/>
        <v/>
      </c>
      <c r="L1682" s="19" t="str">
        <f t="shared" si="213"/>
        <v/>
      </c>
      <c r="M1682" s="12" t="str">
        <f>IF(A1682="","",IFERROR(INDEX(المدخلات!$M$4:$M$15,MATCH(A1682,المدخلات!$L$4:$L$15,0)),""))</f>
        <v/>
      </c>
      <c r="N1682" s="4" t="str">
        <f t="shared" si="214"/>
        <v/>
      </c>
      <c r="O1682" s="4" t="str">
        <f t="shared" si="215"/>
        <v/>
      </c>
    </row>
    <row r="1683" spans="1:15">
      <c r="A1683" s="11"/>
      <c r="B1683" s="19"/>
      <c r="C1683" s="19"/>
      <c r="D1683" s="55"/>
      <c r="E1683" s="56"/>
      <c r="F1683" s="19"/>
      <c r="G1683" s="4" t="str">
        <f t="shared" si="208"/>
        <v/>
      </c>
      <c r="H1683" s="11" t="str">
        <f t="shared" si="209"/>
        <v/>
      </c>
      <c r="I1683" s="55" t="str">
        <f t="shared" si="210"/>
        <v/>
      </c>
      <c r="J1683" s="55" t="str">
        <f t="shared" si="211"/>
        <v/>
      </c>
      <c r="K1683" s="4" t="str">
        <f t="shared" si="212"/>
        <v/>
      </c>
      <c r="L1683" s="19" t="str">
        <f t="shared" si="213"/>
        <v/>
      </c>
      <c r="M1683" s="12" t="str">
        <f>IF(A1683="","",IFERROR(INDEX(المدخلات!$M$4:$M$15,MATCH(A1683,المدخلات!$L$4:$L$15,0)),""))</f>
        <v/>
      </c>
      <c r="N1683" s="4" t="str">
        <f t="shared" si="214"/>
        <v/>
      </c>
      <c r="O1683" s="4" t="str">
        <f t="shared" si="215"/>
        <v/>
      </c>
    </row>
    <row r="1684" spans="1:15">
      <c r="A1684" s="11"/>
      <c r="B1684" s="19"/>
      <c r="C1684" s="19"/>
      <c r="D1684" s="55"/>
      <c r="E1684" s="56"/>
      <c r="F1684" s="19"/>
      <c r="G1684" s="4" t="str">
        <f t="shared" si="208"/>
        <v/>
      </c>
      <c r="H1684" s="11" t="str">
        <f t="shared" si="209"/>
        <v/>
      </c>
      <c r="I1684" s="55" t="str">
        <f t="shared" si="210"/>
        <v/>
      </c>
      <c r="J1684" s="55" t="str">
        <f t="shared" si="211"/>
        <v/>
      </c>
      <c r="K1684" s="4" t="str">
        <f t="shared" si="212"/>
        <v/>
      </c>
      <c r="L1684" s="19" t="str">
        <f t="shared" si="213"/>
        <v/>
      </c>
      <c r="M1684" s="12" t="str">
        <f>IF(A1684="","",IFERROR(INDEX(المدخلات!$M$4:$M$15,MATCH(A1684,المدخلات!$L$4:$L$15,0)),""))</f>
        <v/>
      </c>
      <c r="N1684" s="4" t="str">
        <f t="shared" si="214"/>
        <v/>
      </c>
      <c r="O1684" s="4" t="str">
        <f t="shared" si="215"/>
        <v/>
      </c>
    </row>
    <row r="1685" spans="1:15">
      <c r="A1685" s="11"/>
      <c r="B1685" s="19"/>
      <c r="C1685" s="19"/>
      <c r="D1685" s="55"/>
      <c r="E1685" s="56"/>
      <c r="F1685" s="19"/>
      <c r="G1685" s="4" t="str">
        <f t="shared" si="208"/>
        <v/>
      </c>
      <c r="H1685" s="11" t="str">
        <f t="shared" si="209"/>
        <v/>
      </c>
      <c r="I1685" s="55" t="str">
        <f t="shared" si="210"/>
        <v/>
      </c>
      <c r="J1685" s="55" t="str">
        <f t="shared" si="211"/>
        <v/>
      </c>
      <c r="K1685" s="4" t="str">
        <f t="shared" si="212"/>
        <v/>
      </c>
      <c r="L1685" s="19" t="str">
        <f t="shared" si="213"/>
        <v/>
      </c>
      <c r="M1685" s="12" t="str">
        <f>IF(A1685="","",IFERROR(INDEX(المدخلات!$M$4:$M$15,MATCH(A1685,المدخلات!$L$4:$L$15,0)),""))</f>
        <v/>
      </c>
      <c r="N1685" s="4" t="str">
        <f t="shared" si="214"/>
        <v/>
      </c>
      <c r="O1685" s="4" t="str">
        <f t="shared" si="215"/>
        <v/>
      </c>
    </row>
    <row r="1686" spans="1:15">
      <c r="A1686" s="11"/>
      <c r="B1686" s="19"/>
      <c r="C1686" s="19"/>
      <c r="D1686" s="55"/>
      <c r="E1686" s="56"/>
      <c r="F1686" s="19"/>
      <c r="G1686" s="4" t="str">
        <f t="shared" si="208"/>
        <v/>
      </c>
      <c r="H1686" s="11" t="str">
        <f t="shared" si="209"/>
        <v/>
      </c>
      <c r="I1686" s="55" t="str">
        <f t="shared" si="210"/>
        <v/>
      </c>
      <c r="J1686" s="55" t="str">
        <f t="shared" si="211"/>
        <v/>
      </c>
      <c r="K1686" s="4" t="str">
        <f t="shared" si="212"/>
        <v/>
      </c>
      <c r="L1686" s="19" t="str">
        <f t="shared" si="213"/>
        <v/>
      </c>
      <c r="M1686" s="12" t="str">
        <f>IF(A1686="","",IFERROR(INDEX(المدخلات!$M$4:$M$15,MATCH(A1686,المدخلات!$L$4:$L$15,0)),""))</f>
        <v/>
      </c>
      <c r="N1686" s="4" t="str">
        <f t="shared" si="214"/>
        <v/>
      </c>
      <c r="O1686" s="4" t="str">
        <f t="shared" si="215"/>
        <v/>
      </c>
    </row>
    <row r="1687" spans="1:15">
      <c r="A1687" s="11"/>
      <c r="B1687" s="19"/>
      <c r="C1687" s="19"/>
      <c r="D1687" s="55"/>
      <c r="E1687" s="56"/>
      <c r="F1687" s="19"/>
      <c r="G1687" s="4" t="str">
        <f t="shared" si="208"/>
        <v/>
      </c>
      <c r="H1687" s="11" t="str">
        <f t="shared" si="209"/>
        <v/>
      </c>
      <c r="I1687" s="55" t="str">
        <f t="shared" si="210"/>
        <v/>
      </c>
      <c r="J1687" s="55" t="str">
        <f t="shared" si="211"/>
        <v/>
      </c>
      <c r="K1687" s="4" t="str">
        <f t="shared" si="212"/>
        <v/>
      </c>
      <c r="L1687" s="19" t="str">
        <f t="shared" si="213"/>
        <v/>
      </c>
      <c r="M1687" s="12" t="str">
        <f>IF(A1687="","",IFERROR(INDEX(المدخلات!$M$4:$M$15,MATCH(A1687,المدخلات!$L$4:$L$15,0)),""))</f>
        <v/>
      </c>
      <c r="N1687" s="4" t="str">
        <f t="shared" si="214"/>
        <v/>
      </c>
      <c r="O1687" s="4" t="str">
        <f t="shared" si="215"/>
        <v/>
      </c>
    </row>
    <row r="1688" spans="1:15">
      <c r="A1688" s="11"/>
      <c r="B1688" s="19"/>
      <c r="C1688" s="19"/>
      <c r="D1688" s="55"/>
      <c r="E1688" s="56"/>
      <c r="F1688" s="19"/>
      <c r="G1688" s="4" t="str">
        <f t="shared" si="208"/>
        <v/>
      </c>
      <c r="H1688" s="11" t="str">
        <f t="shared" si="209"/>
        <v/>
      </c>
      <c r="I1688" s="55" t="str">
        <f t="shared" si="210"/>
        <v/>
      </c>
      <c r="J1688" s="55" t="str">
        <f t="shared" si="211"/>
        <v/>
      </c>
      <c r="K1688" s="4" t="str">
        <f t="shared" si="212"/>
        <v/>
      </c>
      <c r="L1688" s="19" t="str">
        <f t="shared" si="213"/>
        <v/>
      </c>
      <c r="M1688" s="12" t="str">
        <f>IF(A1688="","",IFERROR(INDEX(المدخلات!$M$4:$M$15,MATCH(A1688,المدخلات!$L$4:$L$15,0)),""))</f>
        <v/>
      </c>
      <c r="N1688" s="4" t="str">
        <f t="shared" si="214"/>
        <v/>
      </c>
      <c r="O1688" s="4" t="str">
        <f t="shared" si="215"/>
        <v/>
      </c>
    </row>
    <row r="1689" spans="1:15">
      <c r="A1689" s="11"/>
      <c r="B1689" s="19"/>
      <c r="C1689" s="19"/>
      <c r="D1689" s="55"/>
      <c r="E1689" s="56"/>
      <c r="F1689" s="19"/>
      <c r="G1689" s="4" t="str">
        <f t="shared" si="208"/>
        <v/>
      </c>
      <c r="H1689" s="11" t="str">
        <f t="shared" si="209"/>
        <v/>
      </c>
      <c r="I1689" s="55" t="str">
        <f t="shared" si="210"/>
        <v/>
      </c>
      <c r="J1689" s="55" t="str">
        <f t="shared" si="211"/>
        <v/>
      </c>
      <c r="K1689" s="4" t="str">
        <f t="shared" si="212"/>
        <v/>
      </c>
      <c r="L1689" s="19" t="str">
        <f t="shared" si="213"/>
        <v/>
      </c>
      <c r="M1689" s="12" t="str">
        <f>IF(A1689="","",IFERROR(INDEX(المدخلات!$M$4:$M$15,MATCH(A1689,المدخلات!$L$4:$L$15,0)),""))</f>
        <v/>
      </c>
      <c r="N1689" s="4" t="str">
        <f t="shared" si="214"/>
        <v/>
      </c>
      <c r="O1689" s="4" t="str">
        <f t="shared" si="215"/>
        <v/>
      </c>
    </row>
    <row r="1690" spans="1:15">
      <c r="A1690" s="11"/>
      <c r="B1690" s="19"/>
      <c r="C1690" s="19"/>
      <c r="D1690" s="55"/>
      <c r="E1690" s="56"/>
      <c r="F1690" s="19"/>
      <c r="G1690" s="4" t="str">
        <f t="shared" si="208"/>
        <v/>
      </c>
      <c r="H1690" s="11" t="str">
        <f t="shared" si="209"/>
        <v/>
      </c>
      <c r="I1690" s="55" t="str">
        <f t="shared" si="210"/>
        <v/>
      </c>
      <c r="J1690" s="55" t="str">
        <f t="shared" si="211"/>
        <v/>
      </c>
      <c r="K1690" s="4" t="str">
        <f t="shared" si="212"/>
        <v/>
      </c>
      <c r="L1690" s="19" t="str">
        <f t="shared" si="213"/>
        <v/>
      </c>
      <c r="M1690" s="12" t="str">
        <f>IF(A1690="","",IFERROR(INDEX(المدخلات!$M$4:$M$15,MATCH(A1690,المدخلات!$L$4:$L$15,0)),""))</f>
        <v/>
      </c>
      <c r="N1690" s="4" t="str">
        <f t="shared" si="214"/>
        <v/>
      </c>
      <c r="O1690" s="4" t="str">
        <f t="shared" si="215"/>
        <v/>
      </c>
    </row>
    <row r="1691" spans="1:15">
      <c r="A1691" s="11"/>
      <c r="B1691" s="19"/>
      <c r="C1691" s="19"/>
      <c r="D1691" s="55"/>
      <c r="E1691" s="56"/>
      <c r="F1691" s="19"/>
      <c r="G1691" s="4" t="str">
        <f t="shared" si="208"/>
        <v/>
      </c>
      <c r="H1691" s="11" t="str">
        <f t="shared" si="209"/>
        <v/>
      </c>
      <c r="I1691" s="55" t="str">
        <f t="shared" si="210"/>
        <v/>
      </c>
      <c r="J1691" s="55" t="str">
        <f t="shared" si="211"/>
        <v/>
      </c>
      <c r="K1691" s="4" t="str">
        <f t="shared" si="212"/>
        <v/>
      </c>
      <c r="L1691" s="19" t="str">
        <f t="shared" si="213"/>
        <v/>
      </c>
      <c r="M1691" s="12" t="str">
        <f>IF(A1691="","",IFERROR(INDEX(المدخلات!$M$4:$M$15,MATCH(A1691,المدخلات!$L$4:$L$15,0)),""))</f>
        <v/>
      </c>
      <c r="N1691" s="4" t="str">
        <f t="shared" si="214"/>
        <v/>
      </c>
      <c r="O1691" s="4" t="str">
        <f t="shared" si="215"/>
        <v/>
      </c>
    </row>
    <row r="1692" spans="1:15">
      <c r="A1692" s="11"/>
      <c r="B1692" s="19"/>
      <c r="C1692" s="19"/>
      <c r="D1692" s="55"/>
      <c r="E1692" s="56"/>
      <c r="F1692" s="19"/>
      <c r="G1692" s="4" t="str">
        <f t="shared" si="208"/>
        <v/>
      </c>
      <c r="H1692" s="11" t="str">
        <f t="shared" si="209"/>
        <v/>
      </c>
      <c r="I1692" s="55" t="str">
        <f t="shared" si="210"/>
        <v/>
      </c>
      <c r="J1692" s="55" t="str">
        <f t="shared" si="211"/>
        <v/>
      </c>
      <c r="K1692" s="4" t="str">
        <f t="shared" si="212"/>
        <v/>
      </c>
      <c r="L1692" s="19" t="str">
        <f t="shared" si="213"/>
        <v/>
      </c>
      <c r="M1692" s="12" t="str">
        <f>IF(A1692="","",IFERROR(INDEX(المدخلات!$M$4:$M$15,MATCH(A1692,المدخلات!$L$4:$L$15,0)),""))</f>
        <v/>
      </c>
      <c r="N1692" s="4" t="str">
        <f t="shared" si="214"/>
        <v/>
      </c>
      <c r="O1692" s="4" t="str">
        <f t="shared" si="215"/>
        <v/>
      </c>
    </row>
    <row r="1693" spans="1:15">
      <c r="A1693" s="11"/>
      <c r="B1693" s="19"/>
      <c r="C1693" s="19"/>
      <c r="D1693" s="55"/>
      <c r="E1693" s="56"/>
      <c r="F1693" s="19"/>
      <c r="G1693" s="4" t="str">
        <f t="shared" si="208"/>
        <v/>
      </c>
      <c r="H1693" s="11" t="str">
        <f t="shared" si="209"/>
        <v/>
      </c>
      <c r="I1693" s="55" t="str">
        <f t="shared" si="210"/>
        <v/>
      </c>
      <c r="J1693" s="55" t="str">
        <f t="shared" si="211"/>
        <v/>
      </c>
      <c r="K1693" s="4" t="str">
        <f t="shared" si="212"/>
        <v/>
      </c>
      <c r="L1693" s="19" t="str">
        <f t="shared" si="213"/>
        <v/>
      </c>
      <c r="M1693" s="12" t="str">
        <f>IF(A1693="","",IFERROR(INDEX(المدخلات!$M$4:$M$15,MATCH(A1693,المدخلات!$L$4:$L$15,0)),""))</f>
        <v/>
      </c>
      <c r="N1693" s="4" t="str">
        <f t="shared" si="214"/>
        <v/>
      </c>
      <c r="O1693" s="4" t="str">
        <f t="shared" si="215"/>
        <v/>
      </c>
    </row>
    <row r="1694" spans="1:15">
      <c r="A1694" s="11"/>
      <c r="B1694" s="19"/>
      <c r="C1694" s="19"/>
      <c r="D1694" s="55"/>
      <c r="E1694" s="56"/>
      <c r="F1694" s="19"/>
      <c r="G1694" s="4" t="str">
        <f t="shared" si="208"/>
        <v/>
      </c>
      <c r="H1694" s="11" t="str">
        <f t="shared" si="209"/>
        <v/>
      </c>
      <c r="I1694" s="55" t="str">
        <f t="shared" si="210"/>
        <v/>
      </c>
      <c r="J1694" s="55" t="str">
        <f t="shared" si="211"/>
        <v/>
      </c>
      <c r="K1694" s="4" t="str">
        <f t="shared" si="212"/>
        <v/>
      </c>
      <c r="L1694" s="19" t="str">
        <f t="shared" si="213"/>
        <v/>
      </c>
      <c r="M1694" s="12" t="str">
        <f>IF(A1694="","",IFERROR(INDEX(المدخلات!$M$4:$M$15,MATCH(A1694,المدخلات!$L$4:$L$15,0)),""))</f>
        <v/>
      </c>
      <c r="N1694" s="4" t="str">
        <f t="shared" si="214"/>
        <v/>
      </c>
      <c r="O1694" s="4" t="str">
        <f t="shared" si="215"/>
        <v/>
      </c>
    </row>
    <row r="1695" spans="1:15">
      <c r="A1695" s="11"/>
      <c r="B1695" s="19"/>
      <c r="C1695" s="19"/>
      <c r="D1695" s="55"/>
      <c r="E1695" s="56"/>
      <c r="F1695" s="19"/>
      <c r="G1695" s="4" t="str">
        <f t="shared" si="208"/>
        <v/>
      </c>
      <c r="H1695" s="11" t="str">
        <f t="shared" si="209"/>
        <v/>
      </c>
      <c r="I1695" s="55" t="str">
        <f t="shared" si="210"/>
        <v/>
      </c>
      <c r="J1695" s="55" t="str">
        <f t="shared" si="211"/>
        <v/>
      </c>
      <c r="K1695" s="4" t="str">
        <f t="shared" si="212"/>
        <v/>
      </c>
      <c r="L1695" s="19" t="str">
        <f t="shared" si="213"/>
        <v/>
      </c>
      <c r="M1695" s="12" t="str">
        <f>IF(A1695="","",IFERROR(INDEX(المدخلات!$M$4:$M$15,MATCH(A1695,المدخلات!$L$4:$L$15,0)),""))</f>
        <v/>
      </c>
      <c r="N1695" s="4" t="str">
        <f t="shared" si="214"/>
        <v/>
      </c>
      <c r="O1695" s="4" t="str">
        <f t="shared" si="215"/>
        <v/>
      </c>
    </row>
    <row r="1696" spans="1:15">
      <c r="A1696" s="11"/>
      <c r="B1696" s="19"/>
      <c r="C1696" s="19"/>
      <c r="D1696" s="55"/>
      <c r="E1696" s="56"/>
      <c r="F1696" s="19"/>
      <c r="G1696" s="4" t="str">
        <f t="shared" si="208"/>
        <v/>
      </c>
      <c r="H1696" s="11" t="str">
        <f t="shared" si="209"/>
        <v/>
      </c>
      <c r="I1696" s="55" t="str">
        <f t="shared" si="210"/>
        <v/>
      </c>
      <c r="J1696" s="55" t="str">
        <f t="shared" si="211"/>
        <v/>
      </c>
      <c r="K1696" s="4" t="str">
        <f t="shared" si="212"/>
        <v/>
      </c>
      <c r="L1696" s="19" t="str">
        <f t="shared" si="213"/>
        <v/>
      </c>
      <c r="M1696" s="12" t="str">
        <f>IF(A1696="","",IFERROR(INDEX(المدخلات!$M$4:$M$15,MATCH(A1696,المدخلات!$L$4:$L$15,0)),""))</f>
        <v/>
      </c>
      <c r="N1696" s="4" t="str">
        <f t="shared" si="214"/>
        <v/>
      </c>
      <c r="O1696" s="4" t="str">
        <f t="shared" si="215"/>
        <v/>
      </c>
    </row>
    <row r="1697" spans="1:15">
      <c r="A1697" s="11"/>
      <c r="B1697" s="19"/>
      <c r="C1697" s="19"/>
      <c r="D1697" s="55"/>
      <c r="E1697" s="56"/>
      <c r="F1697" s="19"/>
      <c r="G1697" s="4" t="str">
        <f t="shared" si="208"/>
        <v/>
      </c>
      <c r="H1697" s="11" t="str">
        <f t="shared" si="209"/>
        <v/>
      </c>
      <c r="I1697" s="55" t="str">
        <f t="shared" si="210"/>
        <v/>
      </c>
      <c r="J1697" s="55" t="str">
        <f t="shared" si="211"/>
        <v/>
      </c>
      <c r="K1697" s="4" t="str">
        <f t="shared" si="212"/>
        <v/>
      </c>
      <c r="L1697" s="19" t="str">
        <f t="shared" si="213"/>
        <v/>
      </c>
      <c r="M1697" s="12" t="str">
        <f>IF(A1697="","",IFERROR(INDEX(المدخلات!$M$4:$M$15,MATCH(A1697,المدخلات!$L$4:$L$15,0)),""))</f>
        <v/>
      </c>
      <c r="N1697" s="4" t="str">
        <f t="shared" si="214"/>
        <v/>
      </c>
      <c r="O1697" s="4" t="str">
        <f t="shared" si="215"/>
        <v/>
      </c>
    </row>
    <row r="1698" spans="1:15">
      <c r="A1698" s="11"/>
      <c r="B1698" s="19"/>
      <c r="C1698" s="19"/>
      <c r="D1698" s="55"/>
      <c r="E1698" s="56"/>
      <c r="F1698" s="19"/>
      <c r="G1698" s="4" t="str">
        <f t="shared" si="208"/>
        <v/>
      </c>
      <c r="H1698" s="11" t="str">
        <f t="shared" si="209"/>
        <v/>
      </c>
      <c r="I1698" s="55" t="str">
        <f t="shared" si="210"/>
        <v/>
      </c>
      <c r="J1698" s="55" t="str">
        <f t="shared" si="211"/>
        <v/>
      </c>
      <c r="K1698" s="4" t="str">
        <f t="shared" si="212"/>
        <v/>
      </c>
      <c r="L1698" s="19" t="str">
        <f t="shared" si="213"/>
        <v/>
      </c>
      <c r="M1698" s="12" t="str">
        <f>IF(A1698="","",IFERROR(INDEX(المدخلات!$M$4:$M$15,MATCH(A1698,المدخلات!$L$4:$L$15,0)),""))</f>
        <v/>
      </c>
      <c r="N1698" s="4" t="str">
        <f t="shared" si="214"/>
        <v/>
      </c>
      <c r="O1698" s="4" t="str">
        <f t="shared" si="215"/>
        <v/>
      </c>
    </row>
    <row r="1699" spans="1:15">
      <c r="A1699" s="11"/>
      <c r="B1699" s="19"/>
      <c r="C1699" s="19"/>
      <c r="D1699" s="55"/>
      <c r="E1699" s="56"/>
      <c r="F1699" s="19"/>
      <c r="G1699" s="4" t="str">
        <f t="shared" si="208"/>
        <v/>
      </c>
      <c r="H1699" s="11" t="str">
        <f t="shared" si="209"/>
        <v/>
      </c>
      <c r="I1699" s="55" t="str">
        <f t="shared" si="210"/>
        <v/>
      </c>
      <c r="J1699" s="55" t="str">
        <f t="shared" si="211"/>
        <v/>
      </c>
      <c r="K1699" s="4" t="str">
        <f t="shared" si="212"/>
        <v/>
      </c>
      <c r="L1699" s="19" t="str">
        <f t="shared" si="213"/>
        <v/>
      </c>
      <c r="M1699" s="12" t="str">
        <f>IF(A1699="","",IFERROR(INDEX(المدخلات!$M$4:$M$15,MATCH(A1699,المدخلات!$L$4:$L$15,0)),""))</f>
        <v/>
      </c>
      <c r="N1699" s="4" t="str">
        <f t="shared" si="214"/>
        <v/>
      </c>
      <c r="O1699" s="4" t="str">
        <f t="shared" si="215"/>
        <v/>
      </c>
    </row>
    <row r="1700" spans="1:15">
      <c r="A1700" s="11"/>
      <c r="B1700" s="19"/>
      <c r="C1700" s="19"/>
      <c r="D1700" s="55"/>
      <c r="E1700" s="56"/>
      <c r="F1700" s="19"/>
      <c r="G1700" s="4" t="str">
        <f t="shared" si="208"/>
        <v/>
      </c>
      <c r="H1700" s="11" t="str">
        <f t="shared" si="209"/>
        <v/>
      </c>
      <c r="I1700" s="55" t="str">
        <f t="shared" si="210"/>
        <v/>
      </c>
      <c r="J1700" s="55" t="str">
        <f t="shared" si="211"/>
        <v/>
      </c>
      <c r="K1700" s="4" t="str">
        <f t="shared" si="212"/>
        <v/>
      </c>
      <c r="L1700" s="19" t="str">
        <f t="shared" si="213"/>
        <v/>
      </c>
      <c r="M1700" s="12" t="str">
        <f>IF(A1700="","",IFERROR(INDEX(المدخلات!$M$4:$M$15,MATCH(A1700,المدخلات!$L$4:$L$15,0)),""))</f>
        <v/>
      </c>
      <c r="N1700" s="4" t="str">
        <f t="shared" si="214"/>
        <v/>
      </c>
      <c r="O1700" s="4" t="str">
        <f t="shared" si="215"/>
        <v/>
      </c>
    </row>
    <row r="1701" spans="1:15">
      <c r="A1701" s="11"/>
      <c r="B1701" s="19"/>
      <c r="C1701" s="19"/>
      <c r="D1701" s="55"/>
      <c r="E1701" s="56"/>
      <c r="F1701" s="19"/>
      <c r="G1701" s="4" t="str">
        <f t="shared" si="208"/>
        <v/>
      </c>
      <c r="H1701" s="11" t="str">
        <f t="shared" si="209"/>
        <v/>
      </c>
      <c r="I1701" s="55" t="str">
        <f t="shared" si="210"/>
        <v/>
      </c>
      <c r="J1701" s="55" t="str">
        <f t="shared" si="211"/>
        <v/>
      </c>
      <c r="K1701" s="4" t="str">
        <f t="shared" si="212"/>
        <v/>
      </c>
      <c r="L1701" s="19" t="str">
        <f t="shared" si="213"/>
        <v/>
      </c>
      <c r="M1701" s="12" t="str">
        <f>IF(A1701="","",IFERROR(INDEX(المدخلات!$M$4:$M$15,MATCH(A1701,المدخلات!$L$4:$L$15,0)),""))</f>
        <v/>
      </c>
      <c r="N1701" s="4" t="str">
        <f t="shared" si="214"/>
        <v/>
      </c>
      <c r="O1701" s="4" t="str">
        <f t="shared" si="215"/>
        <v/>
      </c>
    </row>
    <row r="1702" spans="1:15">
      <c r="A1702" s="11"/>
      <c r="B1702" s="19"/>
      <c r="C1702" s="19"/>
      <c r="D1702" s="55"/>
      <c r="E1702" s="56"/>
      <c r="F1702" s="19"/>
      <c r="G1702" s="4" t="str">
        <f t="shared" si="208"/>
        <v/>
      </c>
      <c r="H1702" s="11" t="str">
        <f t="shared" si="209"/>
        <v/>
      </c>
      <c r="I1702" s="55" t="str">
        <f t="shared" si="210"/>
        <v/>
      </c>
      <c r="J1702" s="55" t="str">
        <f t="shared" si="211"/>
        <v/>
      </c>
      <c r="K1702" s="4" t="str">
        <f t="shared" si="212"/>
        <v/>
      </c>
      <c r="L1702" s="19" t="str">
        <f t="shared" si="213"/>
        <v/>
      </c>
      <c r="M1702" s="12" t="str">
        <f>IF(A1702="","",IFERROR(INDEX(المدخلات!$M$4:$M$15,MATCH(A1702,المدخلات!$L$4:$L$15,0)),""))</f>
        <v/>
      </c>
      <c r="N1702" s="4" t="str">
        <f t="shared" si="214"/>
        <v/>
      </c>
      <c r="O1702" s="4" t="str">
        <f t="shared" si="215"/>
        <v/>
      </c>
    </row>
    <row r="1703" spans="1:15">
      <c r="A1703" s="11"/>
      <c r="B1703" s="19"/>
      <c r="C1703" s="19"/>
      <c r="D1703" s="55"/>
      <c r="E1703" s="56"/>
      <c r="F1703" s="19"/>
      <c r="G1703" s="4" t="str">
        <f t="shared" si="208"/>
        <v/>
      </c>
      <c r="H1703" s="11" t="str">
        <f t="shared" si="209"/>
        <v/>
      </c>
      <c r="I1703" s="55" t="str">
        <f t="shared" si="210"/>
        <v/>
      </c>
      <c r="J1703" s="55" t="str">
        <f t="shared" si="211"/>
        <v/>
      </c>
      <c r="K1703" s="4" t="str">
        <f t="shared" si="212"/>
        <v/>
      </c>
      <c r="L1703" s="19" t="str">
        <f t="shared" si="213"/>
        <v/>
      </c>
      <c r="M1703" s="12" t="str">
        <f>IF(A1703="","",IFERROR(INDEX(المدخلات!$M$4:$M$15,MATCH(A1703,المدخلات!$L$4:$L$15,0)),""))</f>
        <v/>
      </c>
      <c r="N1703" s="4" t="str">
        <f t="shared" si="214"/>
        <v/>
      </c>
      <c r="O1703" s="4" t="str">
        <f t="shared" si="215"/>
        <v/>
      </c>
    </row>
    <row r="1704" spans="1:15">
      <c r="A1704" s="11"/>
      <c r="B1704" s="19"/>
      <c r="C1704" s="19"/>
      <c r="D1704" s="55"/>
      <c r="E1704" s="56"/>
      <c r="F1704" s="19"/>
      <c r="G1704" s="4" t="str">
        <f t="shared" si="208"/>
        <v/>
      </c>
      <c r="H1704" s="11" t="str">
        <f t="shared" si="209"/>
        <v/>
      </c>
      <c r="I1704" s="55" t="str">
        <f t="shared" si="210"/>
        <v/>
      </c>
      <c r="J1704" s="55" t="str">
        <f t="shared" si="211"/>
        <v/>
      </c>
      <c r="K1704" s="4" t="str">
        <f t="shared" si="212"/>
        <v/>
      </c>
      <c r="L1704" s="19" t="str">
        <f t="shared" si="213"/>
        <v/>
      </c>
      <c r="M1704" s="12" t="str">
        <f>IF(A1704="","",IFERROR(INDEX(المدخلات!$M$4:$M$15,MATCH(A1704,المدخلات!$L$4:$L$15,0)),""))</f>
        <v/>
      </c>
      <c r="N1704" s="4" t="str">
        <f t="shared" si="214"/>
        <v/>
      </c>
      <c r="O1704" s="4" t="str">
        <f t="shared" si="215"/>
        <v/>
      </c>
    </row>
    <row r="1705" spans="1:15">
      <c r="A1705" s="11"/>
      <c r="B1705" s="19"/>
      <c r="C1705" s="19"/>
      <c r="D1705" s="55"/>
      <c r="E1705" s="56"/>
      <c r="F1705" s="19"/>
      <c r="G1705" s="4" t="str">
        <f t="shared" si="208"/>
        <v/>
      </c>
      <c r="H1705" s="11" t="str">
        <f t="shared" si="209"/>
        <v/>
      </c>
      <c r="I1705" s="55" t="str">
        <f t="shared" si="210"/>
        <v/>
      </c>
      <c r="J1705" s="55" t="str">
        <f t="shared" si="211"/>
        <v/>
      </c>
      <c r="K1705" s="4" t="str">
        <f t="shared" si="212"/>
        <v/>
      </c>
      <c r="L1705" s="19" t="str">
        <f t="shared" si="213"/>
        <v/>
      </c>
      <c r="M1705" s="12" t="str">
        <f>IF(A1705="","",IFERROR(INDEX(المدخلات!$M$4:$M$15,MATCH(A1705,المدخلات!$L$4:$L$15,0)),""))</f>
        <v/>
      </c>
      <c r="N1705" s="4" t="str">
        <f t="shared" si="214"/>
        <v/>
      </c>
      <c r="O1705" s="4" t="str">
        <f t="shared" si="215"/>
        <v/>
      </c>
    </row>
    <row r="1706" spans="1:15">
      <c r="A1706" s="11"/>
      <c r="B1706" s="19"/>
      <c r="C1706" s="19"/>
      <c r="D1706" s="55"/>
      <c r="E1706" s="56"/>
      <c r="F1706" s="19"/>
      <c r="G1706" s="4" t="str">
        <f t="shared" si="208"/>
        <v/>
      </c>
      <c r="H1706" s="11" t="str">
        <f t="shared" si="209"/>
        <v/>
      </c>
      <c r="I1706" s="55" t="str">
        <f t="shared" si="210"/>
        <v/>
      </c>
      <c r="J1706" s="55" t="str">
        <f t="shared" si="211"/>
        <v/>
      </c>
      <c r="K1706" s="4" t="str">
        <f t="shared" si="212"/>
        <v/>
      </c>
      <c r="L1706" s="19" t="str">
        <f t="shared" si="213"/>
        <v/>
      </c>
      <c r="M1706" s="12" t="str">
        <f>IF(A1706="","",IFERROR(INDEX(المدخلات!$M$4:$M$15,MATCH(A1706,المدخلات!$L$4:$L$15,0)),""))</f>
        <v/>
      </c>
      <c r="N1706" s="4" t="str">
        <f t="shared" si="214"/>
        <v/>
      </c>
      <c r="O1706" s="4" t="str">
        <f t="shared" si="215"/>
        <v/>
      </c>
    </row>
    <row r="1707" spans="1:15">
      <c r="A1707" s="11"/>
      <c r="B1707" s="19"/>
      <c r="C1707" s="19"/>
      <c r="D1707" s="55"/>
      <c r="E1707" s="56"/>
      <c r="F1707" s="19"/>
      <c r="G1707" s="4" t="str">
        <f t="shared" si="208"/>
        <v/>
      </c>
      <c r="H1707" s="11" t="str">
        <f t="shared" si="209"/>
        <v/>
      </c>
      <c r="I1707" s="55" t="str">
        <f t="shared" si="210"/>
        <v/>
      </c>
      <c r="J1707" s="55" t="str">
        <f t="shared" si="211"/>
        <v/>
      </c>
      <c r="K1707" s="4" t="str">
        <f t="shared" si="212"/>
        <v/>
      </c>
      <c r="L1707" s="19" t="str">
        <f t="shared" si="213"/>
        <v/>
      </c>
      <c r="M1707" s="12" t="str">
        <f>IF(A1707="","",IFERROR(INDEX(المدخلات!$M$4:$M$15,MATCH(A1707,المدخلات!$L$4:$L$15,0)),""))</f>
        <v/>
      </c>
      <c r="N1707" s="4" t="str">
        <f t="shared" si="214"/>
        <v/>
      </c>
      <c r="O1707" s="4" t="str">
        <f t="shared" si="215"/>
        <v/>
      </c>
    </row>
    <row r="1708" spans="1:15">
      <c r="A1708" s="11"/>
      <c r="B1708" s="19"/>
      <c r="C1708" s="19"/>
      <c r="D1708" s="55"/>
      <c r="E1708" s="56"/>
      <c r="F1708" s="19"/>
      <c r="G1708" s="4" t="str">
        <f t="shared" si="208"/>
        <v/>
      </c>
      <c r="H1708" s="11" t="str">
        <f t="shared" si="209"/>
        <v/>
      </c>
      <c r="I1708" s="55" t="str">
        <f t="shared" si="210"/>
        <v/>
      </c>
      <c r="J1708" s="55" t="str">
        <f t="shared" si="211"/>
        <v/>
      </c>
      <c r="K1708" s="4" t="str">
        <f t="shared" si="212"/>
        <v/>
      </c>
      <c r="L1708" s="19" t="str">
        <f t="shared" si="213"/>
        <v/>
      </c>
      <c r="M1708" s="12" t="str">
        <f>IF(A1708="","",IFERROR(INDEX(المدخلات!$M$4:$M$15,MATCH(A1708,المدخلات!$L$4:$L$15,0)),""))</f>
        <v/>
      </c>
      <c r="N1708" s="4" t="str">
        <f t="shared" si="214"/>
        <v/>
      </c>
      <c r="O1708" s="4" t="str">
        <f t="shared" si="215"/>
        <v/>
      </c>
    </row>
    <row r="1709" spans="1:15">
      <c r="A1709" s="11"/>
      <c r="B1709" s="19"/>
      <c r="C1709" s="19"/>
      <c r="D1709" s="55"/>
      <c r="E1709" s="56"/>
      <c r="F1709" s="19"/>
      <c r="G1709" s="4" t="str">
        <f t="shared" si="208"/>
        <v/>
      </c>
      <c r="H1709" s="11" t="str">
        <f t="shared" si="209"/>
        <v/>
      </c>
      <c r="I1709" s="55" t="str">
        <f t="shared" si="210"/>
        <v/>
      </c>
      <c r="J1709" s="55" t="str">
        <f t="shared" si="211"/>
        <v/>
      </c>
      <c r="K1709" s="4" t="str">
        <f t="shared" si="212"/>
        <v/>
      </c>
      <c r="L1709" s="19" t="str">
        <f t="shared" si="213"/>
        <v/>
      </c>
      <c r="M1709" s="12" t="str">
        <f>IF(A1709="","",IFERROR(INDEX(المدخلات!$M$4:$M$15,MATCH(A1709,المدخلات!$L$4:$L$15,0)),""))</f>
        <v/>
      </c>
      <c r="N1709" s="4" t="str">
        <f t="shared" si="214"/>
        <v/>
      </c>
      <c r="O1709" s="4" t="str">
        <f t="shared" si="215"/>
        <v/>
      </c>
    </row>
    <row r="1710" spans="1:15">
      <c r="A1710" s="11"/>
      <c r="B1710" s="19"/>
      <c r="C1710" s="19"/>
      <c r="D1710" s="55"/>
      <c r="E1710" s="56"/>
      <c r="F1710" s="19"/>
      <c r="G1710" s="4" t="str">
        <f t="shared" si="208"/>
        <v/>
      </c>
      <c r="H1710" s="11" t="str">
        <f t="shared" si="209"/>
        <v/>
      </c>
      <c r="I1710" s="55" t="str">
        <f t="shared" si="210"/>
        <v/>
      </c>
      <c r="J1710" s="55" t="str">
        <f t="shared" si="211"/>
        <v/>
      </c>
      <c r="K1710" s="4" t="str">
        <f t="shared" si="212"/>
        <v/>
      </c>
      <c r="L1710" s="19" t="str">
        <f t="shared" si="213"/>
        <v/>
      </c>
      <c r="M1710" s="12" t="str">
        <f>IF(A1710="","",IFERROR(INDEX(المدخلات!$M$4:$M$15,MATCH(A1710,المدخلات!$L$4:$L$15,0)),""))</f>
        <v/>
      </c>
      <c r="N1710" s="4" t="str">
        <f t="shared" si="214"/>
        <v/>
      </c>
      <c r="O1710" s="4" t="str">
        <f t="shared" si="215"/>
        <v/>
      </c>
    </row>
    <row r="1711" spans="1:15">
      <c r="A1711" s="11"/>
      <c r="B1711" s="19"/>
      <c r="C1711" s="19"/>
      <c r="D1711" s="55"/>
      <c r="E1711" s="56"/>
      <c r="F1711" s="19"/>
      <c r="G1711" s="4" t="str">
        <f t="shared" si="208"/>
        <v/>
      </c>
      <c r="H1711" s="11" t="str">
        <f t="shared" si="209"/>
        <v/>
      </c>
      <c r="I1711" s="55" t="str">
        <f t="shared" si="210"/>
        <v/>
      </c>
      <c r="J1711" s="55" t="str">
        <f t="shared" si="211"/>
        <v/>
      </c>
      <c r="K1711" s="4" t="str">
        <f t="shared" si="212"/>
        <v/>
      </c>
      <c r="L1711" s="19" t="str">
        <f t="shared" si="213"/>
        <v/>
      </c>
      <c r="M1711" s="12" t="str">
        <f>IF(A1711="","",IFERROR(INDEX(المدخلات!$M$4:$M$15,MATCH(A1711,المدخلات!$L$4:$L$15,0)),""))</f>
        <v/>
      </c>
      <c r="N1711" s="4" t="str">
        <f t="shared" si="214"/>
        <v/>
      </c>
      <c r="O1711" s="4" t="str">
        <f t="shared" si="215"/>
        <v/>
      </c>
    </row>
    <row r="1712" spans="1:15">
      <c r="A1712" s="11"/>
      <c r="B1712" s="19"/>
      <c r="C1712" s="19"/>
      <c r="D1712" s="55"/>
      <c r="E1712" s="56"/>
      <c r="F1712" s="19"/>
      <c r="G1712" s="4" t="str">
        <f t="shared" si="208"/>
        <v/>
      </c>
      <c r="H1712" s="11" t="str">
        <f t="shared" si="209"/>
        <v/>
      </c>
      <c r="I1712" s="55" t="str">
        <f t="shared" si="210"/>
        <v/>
      </c>
      <c r="J1712" s="55" t="str">
        <f t="shared" si="211"/>
        <v/>
      </c>
      <c r="K1712" s="4" t="str">
        <f t="shared" si="212"/>
        <v/>
      </c>
      <c r="L1712" s="19" t="str">
        <f t="shared" si="213"/>
        <v/>
      </c>
      <c r="M1712" s="12" t="str">
        <f>IF(A1712="","",IFERROR(INDEX(المدخلات!$M$4:$M$15,MATCH(A1712,المدخلات!$L$4:$L$15,0)),""))</f>
        <v/>
      </c>
      <c r="N1712" s="4" t="str">
        <f t="shared" si="214"/>
        <v/>
      </c>
      <c r="O1712" s="4" t="str">
        <f t="shared" si="215"/>
        <v/>
      </c>
    </row>
    <row r="1713" spans="1:15">
      <c r="A1713" s="11"/>
      <c r="B1713" s="19"/>
      <c r="C1713" s="19"/>
      <c r="D1713" s="55"/>
      <c r="E1713" s="56"/>
      <c r="F1713" s="19"/>
      <c r="G1713" s="4" t="str">
        <f t="shared" si="208"/>
        <v/>
      </c>
      <c r="H1713" s="11" t="str">
        <f t="shared" si="209"/>
        <v/>
      </c>
      <c r="I1713" s="55" t="str">
        <f t="shared" si="210"/>
        <v/>
      </c>
      <c r="J1713" s="55" t="str">
        <f t="shared" si="211"/>
        <v/>
      </c>
      <c r="K1713" s="4" t="str">
        <f t="shared" si="212"/>
        <v/>
      </c>
      <c r="L1713" s="19" t="str">
        <f t="shared" si="213"/>
        <v/>
      </c>
      <c r="M1713" s="12" t="str">
        <f>IF(A1713="","",IFERROR(INDEX(المدخلات!$M$4:$M$15,MATCH(A1713,المدخلات!$L$4:$L$15,0)),""))</f>
        <v/>
      </c>
      <c r="N1713" s="4" t="str">
        <f t="shared" si="214"/>
        <v/>
      </c>
      <c r="O1713" s="4" t="str">
        <f t="shared" si="215"/>
        <v/>
      </c>
    </row>
    <row r="1714" spans="1:15">
      <c r="A1714" s="11"/>
      <c r="B1714" s="19"/>
      <c r="C1714" s="19"/>
      <c r="D1714" s="55"/>
      <c r="E1714" s="56"/>
      <c r="F1714" s="19"/>
      <c r="G1714" s="4" t="str">
        <f t="shared" si="208"/>
        <v/>
      </c>
      <c r="H1714" s="11" t="str">
        <f t="shared" si="209"/>
        <v/>
      </c>
      <c r="I1714" s="55" t="str">
        <f t="shared" si="210"/>
        <v/>
      </c>
      <c r="J1714" s="55" t="str">
        <f t="shared" si="211"/>
        <v/>
      </c>
      <c r="K1714" s="4" t="str">
        <f t="shared" si="212"/>
        <v/>
      </c>
      <c r="L1714" s="19" t="str">
        <f t="shared" si="213"/>
        <v/>
      </c>
      <c r="M1714" s="12" t="str">
        <f>IF(A1714="","",IFERROR(INDEX(المدخلات!$M$4:$M$15,MATCH(A1714,المدخلات!$L$4:$L$15,0)),""))</f>
        <v/>
      </c>
      <c r="N1714" s="4" t="str">
        <f t="shared" si="214"/>
        <v/>
      </c>
      <c r="O1714" s="4" t="str">
        <f t="shared" si="215"/>
        <v/>
      </c>
    </row>
    <row r="1715" spans="1:15">
      <c r="A1715" s="11"/>
      <c r="B1715" s="19"/>
      <c r="C1715" s="19"/>
      <c r="D1715" s="55"/>
      <c r="E1715" s="56"/>
      <c r="F1715" s="19"/>
      <c r="G1715" s="4" t="str">
        <f t="shared" si="208"/>
        <v/>
      </c>
      <c r="H1715" s="11" t="str">
        <f t="shared" si="209"/>
        <v/>
      </c>
      <c r="I1715" s="55" t="str">
        <f t="shared" si="210"/>
        <v/>
      </c>
      <c r="J1715" s="55" t="str">
        <f t="shared" si="211"/>
        <v/>
      </c>
      <c r="K1715" s="4" t="str">
        <f t="shared" si="212"/>
        <v/>
      </c>
      <c r="L1715" s="19" t="str">
        <f t="shared" si="213"/>
        <v/>
      </c>
      <c r="M1715" s="12" t="str">
        <f>IF(A1715="","",IFERROR(INDEX(المدخلات!$M$4:$M$15,MATCH(A1715,المدخلات!$L$4:$L$15,0)),""))</f>
        <v/>
      </c>
      <c r="N1715" s="4" t="str">
        <f t="shared" si="214"/>
        <v/>
      </c>
      <c r="O1715" s="4" t="str">
        <f t="shared" si="215"/>
        <v/>
      </c>
    </row>
    <row r="1716" spans="1:15">
      <c r="A1716" s="11"/>
      <c r="B1716" s="19"/>
      <c r="C1716" s="19"/>
      <c r="D1716" s="55"/>
      <c r="E1716" s="56"/>
      <c r="F1716" s="19"/>
      <c r="G1716" s="4" t="str">
        <f t="shared" si="208"/>
        <v/>
      </c>
      <c r="H1716" s="11" t="str">
        <f t="shared" si="209"/>
        <v/>
      </c>
      <c r="I1716" s="55" t="str">
        <f t="shared" si="210"/>
        <v/>
      </c>
      <c r="J1716" s="55" t="str">
        <f t="shared" si="211"/>
        <v/>
      </c>
      <c r="K1716" s="4" t="str">
        <f t="shared" si="212"/>
        <v/>
      </c>
      <c r="L1716" s="19" t="str">
        <f t="shared" si="213"/>
        <v/>
      </c>
      <c r="M1716" s="12" t="str">
        <f>IF(A1716="","",IFERROR(INDEX(المدخلات!$M$4:$M$15,MATCH(A1716,المدخلات!$L$4:$L$15,0)),""))</f>
        <v/>
      </c>
      <c r="N1716" s="4" t="str">
        <f t="shared" si="214"/>
        <v/>
      </c>
      <c r="O1716" s="4" t="str">
        <f t="shared" si="215"/>
        <v/>
      </c>
    </row>
    <row r="1717" spans="1:15">
      <c r="A1717" s="11"/>
      <c r="B1717" s="19"/>
      <c r="C1717" s="19"/>
      <c r="D1717" s="55"/>
      <c r="E1717" s="56"/>
      <c r="F1717" s="19"/>
      <c r="G1717" s="4" t="str">
        <f t="shared" si="208"/>
        <v/>
      </c>
      <c r="H1717" s="11" t="str">
        <f t="shared" si="209"/>
        <v/>
      </c>
      <c r="I1717" s="55" t="str">
        <f t="shared" si="210"/>
        <v/>
      </c>
      <c r="J1717" s="55" t="str">
        <f t="shared" si="211"/>
        <v/>
      </c>
      <c r="K1717" s="4" t="str">
        <f t="shared" si="212"/>
        <v/>
      </c>
      <c r="L1717" s="19" t="str">
        <f t="shared" si="213"/>
        <v/>
      </c>
      <c r="M1717" s="12" t="str">
        <f>IF(A1717="","",IFERROR(INDEX(المدخلات!$M$4:$M$15,MATCH(A1717,المدخلات!$L$4:$L$15,0)),""))</f>
        <v/>
      </c>
      <c r="N1717" s="4" t="str">
        <f t="shared" si="214"/>
        <v/>
      </c>
      <c r="O1717" s="4" t="str">
        <f t="shared" si="215"/>
        <v/>
      </c>
    </row>
    <row r="1718" spans="1:15">
      <c r="A1718" s="11"/>
      <c r="B1718" s="19"/>
      <c r="C1718" s="19"/>
      <c r="D1718" s="55"/>
      <c r="E1718" s="56"/>
      <c r="F1718" s="19"/>
      <c r="G1718" s="4" t="str">
        <f t="shared" si="208"/>
        <v/>
      </c>
      <c r="H1718" s="11" t="str">
        <f t="shared" si="209"/>
        <v/>
      </c>
      <c r="I1718" s="55" t="str">
        <f t="shared" si="210"/>
        <v/>
      </c>
      <c r="J1718" s="55" t="str">
        <f t="shared" si="211"/>
        <v/>
      </c>
      <c r="K1718" s="4" t="str">
        <f t="shared" si="212"/>
        <v/>
      </c>
      <c r="L1718" s="19" t="str">
        <f t="shared" si="213"/>
        <v/>
      </c>
      <c r="M1718" s="12" t="str">
        <f>IF(A1718="","",IFERROR(INDEX(المدخلات!$M$4:$M$15,MATCH(A1718,المدخلات!$L$4:$L$15,0)),""))</f>
        <v/>
      </c>
      <c r="N1718" s="4" t="str">
        <f t="shared" si="214"/>
        <v/>
      </c>
      <c r="O1718" s="4" t="str">
        <f t="shared" si="215"/>
        <v/>
      </c>
    </row>
    <row r="1719" spans="1:15">
      <c r="A1719" s="11"/>
      <c r="B1719" s="19"/>
      <c r="C1719" s="19"/>
      <c r="D1719" s="55"/>
      <c r="E1719" s="56"/>
      <c r="F1719" s="19"/>
      <c r="G1719" s="4" t="str">
        <f t="shared" si="208"/>
        <v/>
      </c>
      <c r="H1719" s="11" t="str">
        <f t="shared" si="209"/>
        <v/>
      </c>
      <c r="I1719" s="55" t="str">
        <f t="shared" si="210"/>
        <v/>
      </c>
      <c r="J1719" s="55" t="str">
        <f t="shared" si="211"/>
        <v/>
      </c>
      <c r="K1719" s="4" t="str">
        <f t="shared" si="212"/>
        <v/>
      </c>
      <c r="L1719" s="19" t="str">
        <f t="shared" si="213"/>
        <v/>
      </c>
      <c r="M1719" s="12" t="str">
        <f>IF(A1719="","",IFERROR(INDEX(المدخلات!$M$4:$M$15,MATCH(A1719,المدخلات!$L$4:$L$15,0)),""))</f>
        <v/>
      </c>
      <c r="N1719" s="4" t="str">
        <f t="shared" si="214"/>
        <v/>
      </c>
      <c r="O1719" s="4" t="str">
        <f t="shared" si="215"/>
        <v/>
      </c>
    </row>
    <row r="1720" spans="1:15">
      <c r="A1720" s="11"/>
      <c r="B1720" s="19"/>
      <c r="C1720" s="19"/>
      <c r="D1720" s="55"/>
      <c r="E1720" s="56"/>
      <c r="F1720" s="19"/>
      <c r="G1720" s="4" t="str">
        <f t="shared" si="208"/>
        <v/>
      </c>
      <c r="H1720" s="11" t="str">
        <f t="shared" si="209"/>
        <v/>
      </c>
      <c r="I1720" s="55" t="str">
        <f t="shared" si="210"/>
        <v/>
      </c>
      <c r="J1720" s="55" t="str">
        <f t="shared" si="211"/>
        <v/>
      </c>
      <c r="K1720" s="4" t="str">
        <f t="shared" si="212"/>
        <v/>
      </c>
      <c r="L1720" s="19" t="str">
        <f t="shared" si="213"/>
        <v/>
      </c>
      <c r="M1720" s="12" t="str">
        <f>IF(A1720="","",IFERROR(INDEX(المدخلات!$M$4:$M$15,MATCH(A1720,المدخلات!$L$4:$L$15,0)),""))</f>
        <v/>
      </c>
      <c r="N1720" s="4" t="str">
        <f t="shared" si="214"/>
        <v/>
      </c>
      <c r="O1720" s="4" t="str">
        <f t="shared" si="215"/>
        <v/>
      </c>
    </row>
    <row r="1721" spans="1:15">
      <c r="A1721" s="11"/>
      <c r="B1721" s="19"/>
      <c r="C1721" s="19"/>
      <c r="D1721" s="55"/>
      <c r="E1721" s="56"/>
      <c r="F1721" s="19"/>
      <c r="G1721" s="4" t="str">
        <f t="shared" si="208"/>
        <v/>
      </c>
      <c r="H1721" s="11" t="str">
        <f t="shared" si="209"/>
        <v/>
      </c>
      <c r="I1721" s="55" t="str">
        <f t="shared" si="210"/>
        <v/>
      </c>
      <c r="J1721" s="55" t="str">
        <f t="shared" si="211"/>
        <v/>
      </c>
      <c r="K1721" s="4" t="str">
        <f t="shared" si="212"/>
        <v/>
      </c>
      <c r="L1721" s="19" t="str">
        <f t="shared" si="213"/>
        <v/>
      </c>
      <c r="M1721" s="12" t="str">
        <f>IF(A1721="","",IFERROR(INDEX(المدخلات!$M$4:$M$15,MATCH(A1721,المدخلات!$L$4:$L$15,0)),""))</f>
        <v/>
      </c>
      <c r="N1721" s="4" t="str">
        <f t="shared" si="214"/>
        <v/>
      </c>
      <c r="O1721" s="4" t="str">
        <f t="shared" si="215"/>
        <v/>
      </c>
    </row>
    <row r="1722" spans="1:15">
      <c r="A1722" s="11"/>
      <c r="B1722" s="19"/>
      <c r="C1722" s="19"/>
      <c r="D1722" s="55"/>
      <c r="E1722" s="56"/>
      <c r="F1722" s="19"/>
      <c r="G1722" s="4" t="str">
        <f t="shared" si="208"/>
        <v/>
      </c>
      <c r="H1722" s="11" t="str">
        <f t="shared" si="209"/>
        <v/>
      </c>
      <c r="I1722" s="55" t="str">
        <f t="shared" si="210"/>
        <v/>
      </c>
      <c r="J1722" s="55" t="str">
        <f t="shared" si="211"/>
        <v/>
      </c>
      <c r="K1722" s="4" t="str">
        <f t="shared" si="212"/>
        <v/>
      </c>
      <c r="L1722" s="19" t="str">
        <f t="shared" si="213"/>
        <v/>
      </c>
      <c r="M1722" s="12" t="str">
        <f>IF(A1722="","",IFERROR(INDEX(المدخلات!$M$4:$M$15,MATCH(A1722,المدخلات!$L$4:$L$15,0)),""))</f>
        <v/>
      </c>
      <c r="N1722" s="4" t="str">
        <f t="shared" si="214"/>
        <v/>
      </c>
      <c r="O1722" s="4" t="str">
        <f t="shared" si="215"/>
        <v/>
      </c>
    </row>
    <row r="1723" spans="1:15">
      <c r="A1723" s="11"/>
      <c r="B1723" s="19"/>
      <c r="C1723" s="19"/>
      <c r="D1723" s="55"/>
      <c r="E1723" s="56"/>
      <c r="F1723" s="19"/>
      <c r="G1723" s="4" t="str">
        <f t="shared" si="208"/>
        <v/>
      </c>
      <c r="H1723" s="11" t="str">
        <f t="shared" si="209"/>
        <v/>
      </c>
      <c r="I1723" s="55" t="str">
        <f t="shared" si="210"/>
        <v/>
      </c>
      <c r="J1723" s="55" t="str">
        <f t="shared" si="211"/>
        <v/>
      </c>
      <c r="K1723" s="4" t="str">
        <f t="shared" si="212"/>
        <v/>
      </c>
      <c r="L1723" s="19" t="str">
        <f t="shared" si="213"/>
        <v/>
      </c>
      <c r="M1723" s="12" t="str">
        <f>IF(A1723="","",IFERROR(INDEX(المدخلات!$M$4:$M$15,MATCH(A1723,المدخلات!$L$4:$L$15,0)),""))</f>
        <v/>
      </c>
      <c r="N1723" s="4" t="str">
        <f t="shared" si="214"/>
        <v/>
      </c>
      <c r="O1723" s="4" t="str">
        <f t="shared" si="215"/>
        <v/>
      </c>
    </row>
    <row r="1724" spans="1:15">
      <c r="A1724" s="11"/>
      <c r="B1724" s="19"/>
      <c r="C1724" s="19"/>
      <c r="D1724" s="55"/>
      <c r="E1724" s="56"/>
      <c r="F1724" s="19"/>
      <c r="G1724" s="4" t="str">
        <f t="shared" si="208"/>
        <v/>
      </c>
      <c r="H1724" s="11" t="str">
        <f t="shared" si="209"/>
        <v/>
      </c>
      <c r="I1724" s="55" t="str">
        <f t="shared" si="210"/>
        <v/>
      </c>
      <c r="J1724" s="55" t="str">
        <f t="shared" si="211"/>
        <v/>
      </c>
      <c r="K1724" s="4" t="str">
        <f t="shared" si="212"/>
        <v/>
      </c>
      <c r="L1724" s="19" t="str">
        <f t="shared" si="213"/>
        <v/>
      </c>
      <c r="M1724" s="12" t="str">
        <f>IF(A1724="","",IFERROR(INDEX(المدخلات!$M$4:$M$15,MATCH(A1724,المدخلات!$L$4:$L$15,0)),""))</f>
        <v/>
      </c>
      <c r="N1724" s="4" t="str">
        <f t="shared" si="214"/>
        <v/>
      </c>
      <c r="O1724" s="4" t="str">
        <f t="shared" si="215"/>
        <v/>
      </c>
    </row>
    <row r="1725" spans="1:15">
      <c r="A1725" s="11"/>
      <c r="B1725" s="19"/>
      <c r="C1725" s="19"/>
      <c r="D1725" s="55"/>
      <c r="E1725" s="56"/>
      <c r="F1725" s="19"/>
      <c r="G1725" s="4" t="str">
        <f t="shared" si="208"/>
        <v/>
      </c>
      <c r="H1725" s="11" t="str">
        <f t="shared" si="209"/>
        <v/>
      </c>
      <c r="I1725" s="55" t="str">
        <f t="shared" si="210"/>
        <v/>
      </c>
      <c r="J1725" s="55" t="str">
        <f t="shared" si="211"/>
        <v/>
      </c>
      <c r="K1725" s="4" t="str">
        <f t="shared" si="212"/>
        <v/>
      </c>
      <c r="L1725" s="19" t="str">
        <f t="shared" si="213"/>
        <v/>
      </c>
      <c r="M1725" s="12" t="str">
        <f>IF(A1725="","",IFERROR(INDEX(المدخلات!$M$4:$M$15,MATCH(A1725,المدخلات!$L$4:$L$15,0)),""))</f>
        <v/>
      </c>
      <c r="N1725" s="4" t="str">
        <f t="shared" si="214"/>
        <v/>
      </c>
      <c r="O1725" s="4" t="str">
        <f t="shared" si="215"/>
        <v/>
      </c>
    </row>
    <row r="1726" spans="1:15">
      <c r="A1726" s="11"/>
      <c r="B1726" s="19"/>
      <c r="C1726" s="19"/>
      <c r="D1726" s="55"/>
      <c r="E1726" s="56"/>
      <c r="F1726" s="19"/>
      <c r="G1726" s="4" t="str">
        <f t="shared" si="208"/>
        <v/>
      </c>
      <c r="H1726" s="11" t="str">
        <f t="shared" si="209"/>
        <v/>
      </c>
      <c r="I1726" s="55" t="str">
        <f t="shared" si="210"/>
        <v/>
      </c>
      <c r="J1726" s="55" t="str">
        <f t="shared" si="211"/>
        <v/>
      </c>
      <c r="K1726" s="4" t="str">
        <f t="shared" si="212"/>
        <v/>
      </c>
      <c r="L1726" s="19" t="str">
        <f t="shared" si="213"/>
        <v/>
      </c>
      <c r="M1726" s="12" t="str">
        <f>IF(A1726="","",IFERROR(INDEX(المدخلات!$M$4:$M$15,MATCH(A1726,المدخلات!$L$4:$L$15,0)),""))</f>
        <v/>
      </c>
      <c r="N1726" s="4" t="str">
        <f t="shared" si="214"/>
        <v/>
      </c>
      <c r="O1726" s="4" t="str">
        <f t="shared" si="215"/>
        <v/>
      </c>
    </row>
    <row r="1727" spans="1:15">
      <c r="A1727" s="11"/>
      <c r="B1727" s="19"/>
      <c r="C1727" s="19"/>
      <c r="D1727" s="55"/>
      <c r="E1727" s="56"/>
      <c r="F1727" s="19"/>
      <c r="G1727" s="4" t="str">
        <f t="shared" si="208"/>
        <v/>
      </c>
      <c r="H1727" s="11" t="str">
        <f t="shared" si="209"/>
        <v/>
      </c>
      <c r="I1727" s="55" t="str">
        <f t="shared" si="210"/>
        <v/>
      </c>
      <c r="J1727" s="55" t="str">
        <f t="shared" si="211"/>
        <v/>
      </c>
      <c r="K1727" s="4" t="str">
        <f t="shared" si="212"/>
        <v/>
      </c>
      <c r="L1727" s="19" t="str">
        <f t="shared" si="213"/>
        <v/>
      </c>
      <c r="M1727" s="12" t="str">
        <f>IF(A1727="","",IFERROR(INDEX(المدخلات!$M$4:$M$15,MATCH(A1727,المدخلات!$L$4:$L$15,0)),""))</f>
        <v/>
      </c>
      <c r="N1727" s="4" t="str">
        <f t="shared" si="214"/>
        <v/>
      </c>
      <c r="O1727" s="4" t="str">
        <f t="shared" si="215"/>
        <v/>
      </c>
    </row>
    <row r="1728" spans="1:15">
      <c r="A1728" s="11"/>
      <c r="B1728" s="19"/>
      <c r="C1728" s="19"/>
      <c r="D1728" s="55"/>
      <c r="E1728" s="56"/>
      <c r="F1728" s="19"/>
      <c r="G1728" s="4" t="str">
        <f t="shared" si="208"/>
        <v/>
      </c>
      <c r="H1728" s="11" t="str">
        <f t="shared" si="209"/>
        <v/>
      </c>
      <c r="I1728" s="55" t="str">
        <f t="shared" si="210"/>
        <v/>
      </c>
      <c r="J1728" s="55" t="str">
        <f t="shared" si="211"/>
        <v/>
      </c>
      <c r="K1728" s="4" t="str">
        <f t="shared" si="212"/>
        <v/>
      </c>
      <c r="L1728" s="19" t="str">
        <f t="shared" si="213"/>
        <v/>
      </c>
      <c r="M1728" s="12" t="str">
        <f>IF(A1728="","",IFERROR(INDEX(المدخلات!$M$4:$M$15,MATCH(A1728,المدخلات!$L$4:$L$15,0)),""))</f>
        <v/>
      </c>
      <c r="N1728" s="4" t="str">
        <f t="shared" si="214"/>
        <v/>
      </c>
      <c r="O1728" s="4" t="str">
        <f t="shared" si="215"/>
        <v/>
      </c>
    </row>
    <row r="1729" spans="1:15">
      <c r="A1729" s="11"/>
      <c r="B1729" s="19"/>
      <c r="C1729" s="19"/>
      <c r="D1729" s="55"/>
      <c r="E1729" s="56"/>
      <c r="F1729" s="19"/>
      <c r="G1729" s="4" t="str">
        <f t="shared" si="208"/>
        <v/>
      </c>
      <c r="H1729" s="11" t="str">
        <f t="shared" si="209"/>
        <v/>
      </c>
      <c r="I1729" s="55" t="str">
        <f t="shared" si="210"/>
        <v/>
      </c>
      <c r="J1729" s="55" t="str">
        <f t="shared" si="211"/>
        <v/>
      </c>
      <c r="K1729" s="4" t="str">
        <f t="shared" si="212"/>
        <v/>
      </c>
      <c r="L1729" s="19" t="str">
        <f t="shared" si="213"/>
        <v/>
      </c>
      <c r="M1729" s="12" t="str">
        <f>IF(A1729="","",IFERROR(INDEX(المدخلات!$M$4:$M$15,MATCH(A1729,المدخلات!$L$4:$L$15,0)),""))</f>
        <v/>
      </c>
      <c r="N1729" s="4" t="str">
        <f t="shared" si="214"/>
        <v/>
      </c>
      <c r="O1729" s="4" t="str">
        <f t="shared" si="215"/>
        <v/>
      </c>
    </row>
    <row r="1730" spans="1:15">
      <c r="A1730" s="11"/>
      <c r="B1730" s="19"/>
      <c r="C1730" s="19"/>
      <c r="D1730" s="55"/>
      <c r="E1730" s="56"/>
      <c r="F1730" s="19"/>
      <c r="G1730" s="4" t="str">
        <f t="shared" si="208"/>
        <v/>
      </c>
      <c r="H1730" s="11" t="str">
        <f t="shared" si="209"/>
        <v/>
      </c>
      <c r="I1730" s="55" t="str">
        <f t="shared" si="210"/>
        <v/>
      </c>
      <c r="J1730" s="55" t="str">
        <f t="shared" si="211"/>
        <v/>
      </c>
      <c r="K1730" s="4" t="str">
        <f t="shared" si="212"/>
        <v/>
      </c>
      <c r="L1730" s="19" t="str">
        <f t="shared" si="213"/>
        <v/>
      </c>
      <c r="M1730" s="12" t="str">
        <f>IF(A1730="","",IFERROR(INDEX(المدخلات!$M$4:$M$15,MATCH(A1730,المدخلات!$L$4:$L$15,0)),""))</f>
        <v/>
      </c>
      <c r="N1730" s="4" t="str">
        <f t="shared" si="214"/>
        <v/>
      </c>
      <c r="O1730" s="4" t="str">
        <f t="shared" si="215"/>
        <v/>
      </c>
    </row>
    <row r="1731" spans="1:15">
      <c r="A1731" s="11"/>
      <c r="B1731" s="19"/>
      <c r="C1731" s="19"/>
      <c r="D1731" s="55"/>
      <c r="E1731" s="56"/>
      <c r="F1731" s="19"/>
      <c r="G1731" s="4" t="str">
        <f t="shared" si="208"/>
        <v/>
      </c>
      <c r="H1731" s="11" t="str">
        <f t="shared" si="209"/>
        <v/>
      </c>
      <c r="I1731" s="55" t="str">
        <f t="shared" si="210"/>
        <v/>
      </c>
      <c r="J1731" s="55" t="str">
        <f t="shared" si="211"/>
        <v/>
      </c>
      <c r="K1731" s="4" t="str">
        <f t="shared" si="212"/>
        <v/>
      </c>
      <c r="L1731" s="19" t="str">
        <f t="shared" si="213"/>
        <v/>
      </c>
      <c r="M1731" s="12" t="str">
        <f>IF(A1731="","",IFERROR(INDEX(المدخلات!$M$4:$M$15,MATCH(A1731,المدخلات!$L$4:$L$15,0)),""))</f>
        <v/>
      </c>
      <c r="N1731" s="4" t="str">
        <f t="shared" si="214"/>
        <v/>
      </c>
      <c r="O1731" s="4" t="str">
        <f t="shared" si="215"/>
        <v/>
      </c>
    </row>
    <row r="1732" spans="1:15">
      <c r="A1732" s="11"/>
      <c r="B1732" s="19"/>
      <c r="C1732" s="19"/>
      <c r="D1732" s="55"/>
      <c r="E1732" s="56"/>
      <c r="F1732" s="19"/>
      <c r="G1732" s="4" t="str">
        <f t="shared" si="208"/>
        <v/>
      </c>
      <c r="H1732" s="11" t="str">
        <f t="shared" si="209"/>
        <v/>
      </c>
      <c r="I1732" s="55" t="str">
        <f t="shared" si="210"/>
        <v/>
      </c>
      <c r="J1732" s="55" t="str">
        <f t="shared" si="211"/>
        <v/>
      </c>
      <c r="K1732" s="4" t="str">
        <f t="shared" si="212"/>
        <v/>
      </c>
      <c r="L1732" s="19" t="str">
        <f t="shared" si="213"/>
        <v/>
      </c>
      <c r="M1732" s="12" t="str">
        <f>IF(A1732="","",IFERROR(INDEX(المدخلات!$M$4:$M$15,MATCH(A1732,المدخلات!$L$4:$L$15,0)),""))</f>
        <v/>
      </c>
      <c r="N1732" s="4" t="str">
        <f t="shared" si="214"/>
        <v/>
      </c>
      <c r="O1732" s="4" t="str">
        <f t="shared" si="215"/>
        <v/>
      </c>
    </row>
    <row r="1733" spans="1:15">
      <c r="A1733" s="11"/>
      <c r="B1733" s="19"/>
      <c r="C1733" s="19"/>
      <c r="D1733" s="55"/>
      <c r="E1733" s="56"/>
      <c r="F1733" s="19"/>
      <c r="G1733" s="4" t="str">
        <f t="shared" ref="G1733:G1796" si="216">IF(OR(D1733="",E1733=""),"",D1733*E1733)</f>
        <v/>
      </c>
      <c r="H1733" s="11" t="str">
        <f t="shared" ref="H1733:H1796" si="217">IF(C1733="","",IFERROR(_xlfn.MAXIFS($A$5:$A$2003,$C$5:$C$2003,C1733,$A$5:$A$2003,"&lt;"&amp;A1733),0))</f>
        <v/>
      </c>
      <c r="I1733" s="55" t="str">
        <f t="shared" ref="I1733:I1796" si="218">IF(OR(H1733="",H1733=0),"",IFERROR(SUMIFS($D$5:$D$2003,$C$5:$C$2003,C1733,$A$5:$A$2003,H1733),""))</f>
        <v/>
      </c>
      <c r="J1733" s="55" t="str">
        <f t="shared" ref="J1733:J1796" si="219">IF(C1733="","",IF(I1733="",0,MAX(I1733-D1733,0)))</f>
        <v/>
      </c>
      <c r="K1733" s="4" t="str">
        <f t="shared" ref="K1733:K1796" si="220">IF(J1733="","",J1733*E1733)</f>
        <v/>
      </c>
      <c r="L1733" s="19" t="str">
        <f t="shared" ref="L1733:L1796" si="221">IF(C1733="","",IF(COUNTIFS($A$5:$A$2003,A1733,$C$5:$C$2003,C1733)&gt;1,"⚠️ مادة مكررة بنفس الشهر",IF(OR(H1733="",H1733=0),"🆕 أول ظهور لهذه المادة",IF(D1733&gt;I1733,"ℹ️ زيادة كمية (شراء/تصحيح) - لا تُحتسب استهلاكاً",IF(D1733=I1733,"➖ لا تغيير","")))))</f>
        <v/>
      </c>
      <c r="M1733" s="12" t="str">
        <f>IF(A1733="","",IFERROR(INDEX(المدخلات!$M$4:$M$15,MATCH(A1733,المدخلات!$L$4:$L$15,0)),""))</f>
        <v/>
      </c>
      <c r="N1733" s="4" t="str">
        <f t="shared" ref="N1733:N1796" si="222">IF(OR(G1733="",F1733=""),"",IF(F1733="دولار أمريكي",IF(M1733="","⚠️ لا يوجد سعر صرف",G1733*M1733),G1733))</f>
        <v/>
      </c>
      <c r="O1733" s="4" t="str">
        <f t="shared" ref="O1733:O1796" si="223">IF(OR(K1733="",F1733=""),"",IF(F1733="دولار أمريكي",IF(M1733="","⚠️ لا يوجد سعر صرف",K1733*M1733),K1733))</f>
        <v/>
      </c>
    </row>
    <row r="1734" spans="1:15">
      <c r="A1734" s="11"/>
      <c r="B1734" s="19"/>
      <c r="C1734" s="19"/>
      <c r="D1734" s="55"/>
      <c r="E1734" s="56"/>
      <c r="F1734" s="19"/>
      <c r="G1734" s="4" t="str">
        <f t="shared" si="216"/>
        <v/>
      </c>
      <c r="H1734" s="11" t="str">
        <f t="shared" si="217"/>
        <v/>
      </c>
      <c r="I1734" s="55" t="str">
        <f t="shared" si="218"/>
        <v/>
      </c>
      <c r="J1734" s="55" t="str">
        <f t="shared" si="219"/>
        <v/>
      </c>
      <c r="K1734" s="4" t="str">
        <f t="shared" si="220"/>
        <v/>
      </c>
      <c r="L1734" s="19" t="str">
        <f t="shared" si="221"/>
        <v/>
      </c>
      <c r="M1734" s="12" t="str">
        <f>IF(A1734="","",IFERROR(INDEX(المدخلات!$M$4:$M$15,MATCH(A1734,المدخلات!$L$4:$L$15,0)),""))</f>
        <v/>
      </c>
      <c r="N1734" s="4" t="str">
        <f t="shared" si="222"/>
        <v/>
      </c>
      <c r="O1734" s="4" t="str">
        <f t="shared" si="223"/>
        <v/>
      </c>
    </row>
    <row r="1735" spans="1:15">
      <c r="A1735" s="11"/>
      <c r="B1735" s="19"/>
      <c r="C1735" s="19"/>
      <c r="D1735" s="55"/>
      <c r="E1735" s="56"/>
      <c r="F1735" s="19"/>
      <c r="G1735" s="4" t="str">
        <f t="shared" si="216"/>
        <v/>
      </c>
      <c r="H1735" s="11" t="str">
        <f t="shared" si="217"/>
        <v/>
      </c>
      <c r="I1735" s="55" t="str">
        <f t="shared" si="218"/>
        <v/>
      </c>
      <c r="J1735" s="55" t="str">
        <f t="shared" si="219"/>
        <v/>
      </c>
      <c r="K1735" s="4" t="str">
        <f t="shared" si="220"/>
        <v/>
      </c>
      <c r="L1735" s="19" t="str">
        <f t="shared" si="221"/>
        <v/>
      </c>
      <c r="M1735" s="12" t="str">
        <f>IF(A1735="","",IFERROR(INDEX(المدخلات!$M$4:$M$15,MATCH(A1735,المدخلات!$L$4:$L$15,0)),""))</f>
        <v/>
      </c>
      <c r="N1735" s="4" t="str">
        <f t="shared" si="222"/>
        <v/>
      </c>
      <c r="O1735" s="4" t="str">
        <f t="shared" si="223"/>
        <v/>
      </c>
    </row>
    <row r="1736" spans="1:15">
      <c r="A1736" s="11"/>
      <c r="B1736" s="19"/>
      <c r="C1736" s="19"/>
      <c r="D1736" s="55"/>
      <c r="E1736" s="56"/>
      <c r="F1736" s="19"/>
      <c r="G1736" s="4" t="str">
        <f t="shared" si="216"/>
        <v/>
      </c>
      <c r="H1736" s="11" t="str">
        <f t="shared" si="217"/>
        <v/>
      </c>
      <c r="I1736" s="55" t="str">
        <f t="shared" si="218"/>
        <v/>
      </c>
      <c r="J1736" s="55" t="str">
        <f t="shared" si="219"/>
        <v/>
      </c>
      <c r="K1736" s="4" t="str">
        <f t="shared" si="220"/>
        <v/>
      </c>
      <c r="L1736" s="19" t="str">
        <f t="shared" si="221"/>
        <v/>
      </c>
      <c r="M1736" s="12" t="str">
        <f>IF(A1736="","",IFERROR(INDEX(المدخلات!$M$4:$M$15,MATCH(A1736,المدخلات!$L$4:$L$15,0)),""))</f>
        <v/>
      </c>
      <c r="N1736" s="4" t="str">
        <f t="shared" si="222"/>
        <v/>
      </c>
      <c r="O1736" s="4" t="str">
        <f t="shared" si="223"/>
        <v/>
      </c>
    </row>
    <row r="1737" spans="1:15">
      <c r="A1737" s="11"/>
      <c r="B1737" s="19"/>
      <c r="C1737" s="19"/>
      <c r="D1737" s="55"/>
      <c r="E1737" s="56"/>
      <c r="F1737" s="19"/>
      <c r="G1737" s="4" t="str">
        <f t="shared" si="216"/>
        <v/>
      </c>
      <c r="H1737" s="11" t="str">
        <f t="shared" si="217"/>
        <v/>
      </c>
      <c r="I1737" s="55" t="str">
        <f t="shared" si="218"/>
        <v/>
      </c>
      <c r="J1737" s="55" t="str">
        <f t="shared" si="219"/>
        <v/>
      </c>
      <c r="K1737" s="4" t="str">
        <f t="shared" si="220"/>
        <v/>
      </c>
      <c r="L1737" s="19" t="str">
        <f t="shared" si="221"/>
        <v/>
      </c>
      <c r="M1737" s="12" t="str">
        <f>IF(A1737="","",IFERROR(INDEX(المدخلات!$M$4:$M$15,MATCH(A1737,المدخلات!$L$4:$L$15,0)),""))</f>
        <v/>
      </c>
      <c r="N1737" s="4" t="str">
        <f t="shared" si="222"/>
        <v/>
      </c>
      <c r="O1737" s="4" t="str">
        <f t="shared" si="223"/>
        <v/>
      </c>
    </row>
    <row r="1738" spans="1:15">
      <c r="A1738" s="11"/>
      <c r="B1738" s="19"/>
      <c r="C1738" s="19"/>
      <c r="D1738" s="55"/>
      <c r="E1738" s="56"/>
      <c r="F1738" s="19"/>
      <c r="G1738" s="4" t="str">
        <f t="shared" si="216"/>
        <v/>
      </c>
      <c r="H1738" s="11" t="str">
        <f t="shared" si="217"/>
        <v/>
      </c>
      <c r="I1738" s="55" t="str">
        <f t="shared" si="218"/>
        <v/>
      </c>
      <c r="J1738" s="55" t="str">
        <f t="shared" si="219"/>
        <v/>
      </c>
      <c r="K1738" s="4" t="str">
        <f t="shared" si="220"/>
        <v/>
      </c>
      <c r="L1738" s="19" t="str">
        <f t="shared" si="221"/>
        <v/>
      </c>
      <c r="M1738" s="12" t="str">
        <f>IF(A1738="","",IFERROR(INDEX(المدخلات!$M$4:$M$15,MATCH(A1738,المدخلات!$L$4:$L$15,0)),""))</f>
        <v/>
      </c>
      <c r="N1738" s="4" t="str">
        <f t="shared" si="222"/>
        <v/>
      </c>
      <c r="O1738" s="4" t="str">
        <f t="shared" si="223"/>
        <v/>
      </c>
    </row>
    <row r="1739" spans="1:15">
      <c r="A1739" s="11"/>
      <c r="B1739" s="19"/>
      <c r="C1739" s="19"/>
      <c r="D1739" s="55"/>
      <c r="E1739" s="56"/>
      <c r="F1739" s="19"/>
      <c r="G1739" s="4" t="str">
        <f t="shared" si="216"/>
        <v/>
      </c>
      <c r="H1739" s="11" t="str">
        <f t="shared" si="217"/>
        <v/>
      </c>
      <c r="I1739" s="55" t="str">
        <f t="shared" si="218"/>
        <v/>
      </c>
      <c r="J1739" s="55" t="str">
        <f t="shared" si="219"/>
        <v/>
      </c>
      <c r="K1739" s="4" t="str">
        <f t="shared" si="220"/>
        <v/>
      </c>
      <c r="L1739" s="19" t="str">
        <f t="shared" si="221"/>
        <v/>
      </c>
      <c r="M1739" s="12" t="str">
        <f>IF(A1739="","",IFERROR(INDEX(المدخلات!$M$4:$M$15,MATCH(A1739,المدخلات!$L$4:$L$15,0)),""))</f>
        <v/>
      </c>
      <c r="N1739" s="4" t="str">
        <f t="shared" si="222"/>
        <v/>
      </c>
      <c r="O1739" s="4" t="str">
        <f t="shared" si="223"/>
        <v/>
      </c>
    </row>
    <row r="1740" spans="1:15">
      <c r="A1740" s="11"/>
      <c r="B1740" s="19"/>
      <c r="C1740" s="19"/>
      <c r="D1740" s="55"/>
      <c r="E1740" s="56"/>
      <c r="F1740" s="19"/>
      <c r="G1740" s="4" t="str">
        <f t="shared" si="216"/>
        <v/>
      </c>
      <c r="H1740" s="11" t="str">
        <f t="shared" si="217"/>
        <v/>
      </c>
      <c r="I1740" s="55" t="str">
        <f t="shared" si="218"/>
        <v/>
      </c>
      <c r="J1740" s="55" t="str">
        <f t="shared" si="219"/>
        <v/>
      </c>
      <c r="K1740" s="4" t="str">
        <f t="shared" si="220"/>
        <v/>
      </c>
      <c r="L1740" s="19" t="str">
        <f t="shared" si="221"/>
        <v/>
      </c>
      <c r="M1740" s="12" t="str">
        <f>IF(A1740="","",IFERROR(INDEX(المدخلات!$M$4:$M$15,MATCH(A1740,المدخلات!$L$4:$L$15,0)),""))</f>
        <v/>
      </c>
      <c r="N1740" s="4" t="str">
        <f t="shared" si="222"/>
        <v/>
      </c>
      <c r="O1740" s="4" t="str">
        <f t="shared" si="223"/>
        <v/>
      </c>
    </row>
    <row r="1741" spans="1:15">
      <c r="A1741" s="11"/>
      <c r="B1741" s="19"/>
      <c r="C1741" s="19"/>
      <c r="D1741" s="55"/>
      <c r="E1741" s="56"/>
      <c r="F1741" s="19"/>
      <c r="G1741" s="4" t="str">
        <f t="shared" si="216"/>
        <v/>
      </c>
      <c r="H1741" s="11" t="str">
        <f t="shared" si="217"/>
        <v/>
      </c>
      <c r="I1741" s="55" t="str">
        <f t="shared" si="218"/>
        <v/>
      </c>
      <c r="J1741" s="55" t="str">
        <f t="shared" si="219"/>
        <v/>
      </c>
      <c r="K1741" s="4" t="str">
        <f t="shared" si="220"/>
        <v/>
      </c>
      <c r="L1741" s="19" t="str">
        <f t="shared" si="221"/>
        <v/>
      </c>
      <c r="M1741" s="12" t="str">
        <f>IF(A1741="","",IFERROR(INDEX(المدخلات!$M$4:$M$15,MATCH(A1741,المدخلات!$L$4:$L$15,0)),""))</f>
        <v/>
      </c>
      <c r="N1741" s="4" t="str">
        <f t="shared" si="222"/>
        <v/>
      </c>
      <c r="O1741" s="4" t="str">
        <f t="shared" si="223"/>
        <v/>
      </c>
    </row>
    <row r="1742" spans="1:15">
      <c r="A1742" s="11"/>
      <c r="B1742" s="19"/>
      <c r="C1742" s="19"/>
      <c r="D1742" s="55"/>
      <c r="E1742" s="56"/>
      <c r="F1742" s="19"/>
      <c r="G1742" s="4" t="str">
        <f t="shared" si="216"/>
        <v/>
      </c>
      <c r="H1742" s="11" t="str">
        <f t="shared" si="217"/>
        <v/>
      </c>
      <c r="I1742" s="55" t="str">
        <f t="shared" si="218"/>
        <v/>
      </c>
      <c r="J1742" s="55" t="str">
        <f t="shared" si="219"/>
        <v/>
      </c>
      <c r="K1742" s="4" t="str">
        <f t="shared" si="220"/>
        <v/>
      </c>
      <c r="L1742" s="19" t="str">
        <f t="shared" si="221"/>
        <v/>
      </c>
      <c r="M1742" s="12" t="str">
        <f>IF(A1742="","",IFERROR(INDEX(المدخلات!$M$4:$M$15,MATCH(A1742,المدخلات!$L$4:$L$15,0)),""))</f>
        <v/>
      </c>
      <c r="N1742" s="4" t="str">
        <f t="shared" si="222"/>
        <v/>
      </c>
      <c r="O1742" s="4" t="str">
        <f t="shared" si="223"/>
        <v/>
      </c>
    </row>
    <row r="1743" spans="1:15">
      <c r="A1743" s="11"/>
      <c r="B1743" s="19"/>
      <c r="C1743" s="19"/>
      <c r="D1743" s="55"/>
      <c r="E1743" s="56"/>
      <c r="F1743" s="19"/>
      <c r="G1743" s="4" t="str">
        <f t="shared" si="216"/>
        <v/>
      </c>
      <c r="H1743" s="11" t="str">
        <f t="shared" si="217"/>
        <v/>
      </c>
      <c r="I1743" s="55" t="str">
        <f t="shared" si="218"/>
        <v/>
      </c>
      <c r="J1743" s="55" t="str">
        <f t="shared" si="219"/>
        <v/>
      </c>
      <c r="K1743" s="4" t="str">
        <f t="shared" si="220"/>
        <v/>
      </c>
      <c r="L1743" s="19" t="str">
        <f t="shared" si="221"/>
        <v/>
      </c>
      <c r="M1743" s="12" t="str">
        <f>IF(A1743="","",IFERROR(INDEX(المدخلات!$M$4:$M$15,MATCH(A1743,المدخلات!$L$4:$L$15,0)),""))</f>
        <v/>
      </c>
      <c r="N1743" s="4" t="str">
        <f t="shared" si="222"/>
        <v/>
      </c>
      <c r="O1743" s="4" t="str">
        <f t="shared" si="223"/>
        <v/>
      </c>
    </row>
    <row r="1744" spans="1:15">
      <c r="A1744" s="11"/>
      <c r="B1744" s="19"/>
      <c r="C1744" s="19"/>
      <c r="D1744" s="55"/>
      <c r="E1744" s="56"/>
      <c r="F1744" s="19"/>
      <c r="G1744" s="4" t="str">
        <f t="shared" si="216"/>
        <v/>
      </c>
      <c r="H1744" s="11" t="str">
        <f t="shared" si="217"/>
        <v/>
      </c>
      <c r="I1744" s="55" t="str">
        <f t="shared" si="218"/>
        <v/>
      </c>
      <c r="J1744" s="55" t="str">
        <f t="shared" si="219"/>
        <v/>
      </c>
      <c r="K1744" s="4" t="str">
        <f t="shared" si="220"/>
        <v/>
      </c>
      <c r="L1744" s="19" t="str">
        <f t="shared" si="221"/>
        <v/>
      </c>
      <c r="M1744" s="12" t="str">
        <f>IF(A1744="","",IFERROR(INDEX(المدخلات!$M$4:$M$15,MATCH(A1744,المدخلات!$L$4:$L$15,0)),""))</f>
        <v/>
      </c>
      <c r="N1744" s="4" t="str">
        <f t="shared" si="222"/>
        <v/>
      </c>
      <c r="O1744" s="4" t="str">
        <f t="shared" si="223"/>
        <v/>
      </c>
    </row>
    <row r="1745" spans="1:15">
      <c r="A1745" s="11"/>
      <c r="B1745" s="19"/>
      <c r="C1745" s="19"/>
      <c r="D1745" s="55"/>
      <c r="E1745" s="56"/>
      <c r="F1745" s="19"/>
      <c r="G1745" s="4" t="str">
        <f t="shared" si="216"/>
        <v/>
      </c>
      <c r="H1745" s="11" t="str">
        <f t="shared" si="217"/>
        <v/>
      </c>
      <c r="I1745" s="55" t="str">
        <f t="shared" si="218"/>
        <v/>
      </c>
      <c r="J1745" s="55" t="str">
        <f t="shared" si="219"/>
        <v/>
      </c>
      <c r="K1745" s="4" t="str">
        <f t="shared" si="220"/>
        <v/>
      </c>
      <c r="L1745" s="19" t="str">
        <f t="shared" si="221"/>
        <v/>
      </c>
      <c r="M1745" s="12" t="str">
        <f>IF(A1745="","",IFERROR(INDEX(المدخلات!$M$4:$M$15,MATCH(A1745,المدخلات!$L$4:$L$15,0)),""))</f>
        <v/>
      </c>
      <c r="N1745" s="4" t="str">
        <f t="shared" si="222"/>
        <v/>
      </c>
      <c r="O1745" s="4" t="str">
        <f t="shared" si="223"/>
        <v/>
      </c>
    </row>
    <row r="1746" spans="1:15">
      <c r="A1746" s="11"/>
      <c r="B1746" s="19"/>
      <c r="C1746" s="19"/>
      <c r="D1746" s="55"/>
      <c r="E1746" s="56"/>
      <c r="F1746" s="19"/>
      <c r="G1746" s="4" t="str">
        <f t="shared" si="216"/>
        <v/>
      </c>
      <c r="H1746" s="11" t="str">
        <f t="shared" si="217"/>
        <v/>
      </c>
      <c r="I1746" s="55" t="str">
        <f t="shared" si="218"/>
        <v/>
      </c>
      <c r="J1746" s="55" t="str">
        <f t="shared" si="219"/>
        <v/>
      </c>
      <c r="K1746" s="4" t="str">
        <f t="shared" si="220"/>
        <v/>
      </c>
      <c r="L1746" s="19" t="str">
        <f t="shared" si="221"/>
        <v/>
      </c>
      <c r="M1746" s="12" t="str">
        <f>IF(A1746="","",IFERROR(INDEX(المدخلات!$M$4:$M$15,MATCH(A1746,المدخلات!$L$4:$L$15,0)),""))</f>
        <v/>
      </c>
      <c r="N1746" s="4" t="str">
        <f t="shared" si="222"/>
        <v/>
      </c>
      <c r="O1746" s="4" t="str">
        <f t="shared" si="223"/>
        <v/>
      </c>
    </row>
    <row r="1747" spans="1:15">
      <c r="A1747" s="11"/>
      <c r="B1747" s="19"/>
      <c r="C1747" s="19"/>
      <c r="D1747" s="55"/>
      <c r="E1747" s="56"/>
      <c r="F1747" s="19"/>
      <c r="G1747" s="4" t="str">
        <f t="shared" si="216"/>
        <v/>
      </c>
      <c r="H1747" s="11" t="str">
        <f t="shared" si="217"/>
        <v/>
      </c>
      <c r="I1747" s="55" t="str">
        <f t="shared" si="218"/>
        <v/>
      </c>
      <c r="J1747" s="55" t="str">
        <f t="shared" si="219"/>
        <v/>
      </c>
      <c r="K1747" s="4" t="str">
        <f t="shared" si="220"/>
        <v/>
      </c>
      <c r="L1747" s="19" t="str">
        <f t="shared" si="221"/>
        <v/>
      </c>
      <c r="M1747" s="12" t="str">
        <f>IF(A1747="","",IFERROR(INDEX(المدخلات!$M$4:$M$15,MATCH(A1747,المدخلات!$L$4:$L$15,0)),""))</f>
        <v/>
      </c>
      <c r="N1747" s="4" t="str">
        <f t="shared" si="222"/>
        <v/>
      </c>
      <c r="O1747" s="4" t="str">
        <f t="shared" si="223"/>
        <v/>
      </c>
    </row>
    <row r="1748" spans="1:15">
      <c r="A1748" s="11"/>
      <c r="B1748" s="19"/>
      <c r="C1748" s="19"/>
      <c r="D1748" s="55"/>
      <c r="E1748" s="56"/>
      <c r="F1748" s="19"/>
      <c r="G1748" s="4" t="str">
        <f t="shared" si="216"/>
        <v/>
      </c>
      <c r="H1748" s="11" t="str">
        <f t="shared" si="217"/>
        <v/>
      </c>
      <c r="I1748" s="55" t="str">
        <f t="shared" si="218"/>
        <v/>
      </c>
      <c r="J1748" s="55" t="str">
        <f t="shared" si="219"/>
        <v/>
      </c>
      <c r="K1748" s="4" t="str">
        <f t="shared" si="220"/>
        <v/>
      </c>
      <c r="L1748" s="19" t="str">
        <f t="shared" si="221"/>
        <v/>
      </c>
      <c r="M1748" s="12" t="str">
        <f>IF(A1748="","",IFERROR(INDEX(المدخلات!$M$4:$M$15,MATCH(A1748,المدخلات!$L$4:$L$15,0)),""))</f>
        <v/>
      </c>
      <c r="N1748" s="4" t="str">
        <f t="shared" si="222"/>
        <v/>
      </c>
      <c r="O1748" s="4" t="str">
        <f t="shared" si="223"/>
        <v/>
      </c>
    </row>
    <row r="1749" spans="1:15">
      <c r="A1749" s="11"/>
      <c r="B1749" s="19"/>
      <c r="C1749" s="19"/>
      <c r="D1749" s="55"/>
      <c r="E1749" s="56"/>
      <c r="F1749" s="19"/>
      <c r="G1749" s="4" t="str">
        <f t="shared" si="216"/>
        <v/>
      </c>
      <c r="H1749" s="11" t="str">
        <f t="shared" si="217"/>
        <v/>
      </c>
      <c r="I1749" s="55" t="str">
        <f t="shared" si="218"/>
        <v/>
      </c>
      <c r="J1749" s="55" t="str">
        <f t="shared" si="219"/>
        <v/>
      </c>
      <c r="K1749" s="4" t="str">
        <f t="shared" si="220"/>
        <v/>
      </c>
      <c r="L1749" s="19" t="str">
        <f t="shared" si="221"/>
        <v/>
      </c>
      <c r="M1749" s="12" t="str">
        <f>IF(A1749="","",IFERROR(INDEX(المدخلات!$M$4:$M$15,MATCH(A1749,المدخلات!$L$4:$L$15,0)),""))</f>
        <v/>
      </c>
      <c r="N1749" s="4" t="str">
        <f t="shared" si="222"/>
        <v/>
      </c>
      <c r="O1749" s="4" t="str">
        <f t="shared" si="223"/>
        <v/>
      </c>
    </row>
    <row r="1750" spans="1:15">
      <c r="A1750" s="11"/>
      <c r="B1750" s="19"/>
      <c r="C1750" s="19"/>
      <c r="D1750" s="55"/>
      <c r="E1750" s="56"/>
      <c r="F1750" s="19"/>
      <c r="G1750" s="4" t="str">
        <f t="shared" si="216"/>
        <v/>
      </c>
      <c r="H1750" s="11" t="str">
        <f t="shared" si="217"/>
        <v/>
      </c>
      <c r="I1750" s="55" t="str">
        <f t="shared" si="218"/>
        <v/>
      </c>
      <c r="J1750" s="55" t="str">
        <f t="shared" si="219"/>
        <v/>
      </c>
      <c r="K1750" s="4" t="str">
        <f t="shared" si="220"/>
        <v/>
      </c>
      <c r="L1750" s="19" t="str">
        <f t="shared" si="221"/>
        <v/>
      </c>
      <c r="M1750" s="12" t="str">
        <f>IF(A1750="","",IFERROR(INDEX(المدخلات!$M$4:$M$15,MATCH(A1750,المدخلات!$L$4:$L$15,0)),""))</f>
        <v/>
      </c>
      <c r="N1750" s="4" t="str">
        <f t="shared" si="222"/>
        <v/>
      </c>
      <c r="O1750" s="4" t="str">
        <f t="shared" si="223"/>
        <v/>
      </c>
    </row>
    <row r="1751" spans="1:15">
      <c r="A1751" s="11"/>
      <c r="B1751" s="19"/>
      <c r="C1751" s="19"/>
      <c r="D1751" s="55"/>
      <c r="E1751" s="56"/>
      <c r="F1751" s="19"/>
      <c r="G1751" s="4" t="str">
        <f t="shared" si="216"/>
        <v/>
      </c>
      <c r="H1751" s="11" t="str">
        <f t="shared" si="217"/>
        <v/>
      </c>
      <c r="I1751" s="55" t="str">
        <f t="shared" si="218"/>
        <v/>
      </c>
      <c r="J1751" s="55" t="str">
        <f t="shared" si="219"/>
        <v/>
      </c>
      <c r="K1751" s="4" t="str">
        <f t="shared" si="220"/>
        <v/>
      </c>
      <c r="L1751" s="19" t="str">
        <f t="shared" si="221"/>
        <v/>
      </c>
      <c r="M1751" s="12" t="str">
        <f>IF(A1751="","",IFERROR(INDEX(المدخلات!$M$4:$M$15,MATCH(A1751,المدخلات!$L$4:$L$15,0)),""))</f>
        <v/>
      </c>
      <c r="N1751" s="4" t="str">
        <f t="shared" si="222"/>
        <v/>
      </c>
      <c r="O1751" s="4" t="str">
        <f t="shared" si="223"/>
        <v/>
      </c>
    </row>
    <row r="1752" spans="1:15">
      <c r="A1752" s="11"/>
      <c r="B1752" s="19"/>
      <c r="C1752" s="19"/>
      <c r="D1752" s="55"/>
      <c r="E1752" s="56"/>
      <c r="F1752" s="19"/>
      <c r="G1752" s="4" t="str">
        <f t="shared" si="216"/>
        <v/>
      </c>
      <c r="H1752" s="11" t="str">
        <f t="shared" si="217"/>
        <v/>
      </c>
      <c r="I1752" s="55" t="str">
        <f t="shared" si="218"/>
        <v/>
      </c>
      <c r="J1752" s="55" t="str">
        <f t="shared" si="219"/>
        <v/>
      </c>
      <c r="K1752" s="4" t="str">
        <f t="shared" si="220"/>
        <v/>
      </c>
      <c r="L1752" s="19" t="str">
        <f t="shared" si="221"/>
        <v/>
      </c>
      <c r="M1752" s="12" t="str">
        <f>IF(A1752="","",IFERROR(INDEX(المدخلات!$M$4:$M$15,MATCH(A1752,المدخلات!$L$4:$L$15,0)),""))</f>
        <v/>
      </c>
      <c r="N1752" s="4" t="str">
        <f t="shared" si="222"/>
        <v/>
      </c>
      <c r="O1752" s="4" t="str">
        <f t="shared" si="223"/>
        <v/>
      </c>
    </row>
    <row r="1753" spans="1:15">
      <c r="A1753" s="11"/>
      <c r="B1753" s="19"/>
      <c r="C1753" s="19"/>
      <c r="D1753" s="55"/>
      <c r="E1753" s="56"/>
      <c r="F1753" s="19"/>
      <c r="G1753" s="4" t="str">
        <f t="shared" si="216"/>
        <v/>
      </c>
      <c r="H1753" s="11" t="str">
        <f t="shared" si="217"/>
        <v/>
      </c>
      <c r="I1753" s="55" t="str">
        <f t="shared" si="218"/>
        <v/>
      </c>
      <c r="J1753" s="55" t="str">
        <f t="shared" si="219"/>
        <v/>
      </c>
      <c r="K1753" s="4" t="str">
        <f t="shared" si="220"/>
        <v/>
      </c>
      <c r="L1753" s="19" t="str">
        <f t="shared" si="221"/>
        <v/>
      </c>
      <c r="M1753" s="12" t="str">
        <f>IF(A1753="","",IFERROR(INDEX(المدخلات!$M$4:$M$15,MATCH(A1753,المدخلات!$L$4:$L$15,0)),""))</f>
        <v/>
      </c>
      <c r="N1753" s="4" t="str">
        <f t="shared" si="222"/>
        <v/>
      </c>
      <c r="O1753" s="4" t="str">
        <f t="shared" si="223"/>
        <v/>
      </c>
    </row>
    <row r="1754" spans="1:15">
      <c r="A1754" s="11"/>
      <c r="B1754" s="19"/>
      <c r="C1754" s="19"/>
      <c r="D1754" s="55"/>
      <c r="E1754" s="56"/>
      <c r="F1754" s="19"/>
      <c r="G1754" s="4" t="str">
        <f t="shared" si="216"/>
        <v/>
      </c>
      <c r="H1754" s="11" t="str">
        <f t="shared" si="217"/>
        <v/>
      </c>
      <c r="I1754" s="55" t="str">
        <f t="shared" si="218"/>
        <v/>
      </c>
      <c r="J1754" s="55" t="str">
        <f t="shared" si="219"/>
        <v/>
      </c>
      <c r="K1754" s="4" t="str">
        <f t="shared" si="220"/>
        <v/>
      </c>
      <c r="L1754" s="19" t="str">
        <f t="shared" si="221"/>
        <v/>
      </c>
      <c r="M1754" s="12" t="str">
        <f>IF(A1754="","",IFERROR(INDEX(المدخلات!$M$4:$M$15,MATCH(A1754,المدخلات!$L$4:$L$15,0)),""))</f>
        <v/>
      </c>
      <c r="N1754" s="4" t="str">
        <f t="shared" si="222"/>
        <v/>
      </c>
      <c r="O1754" s="4" t="str">
        <f t="shared" si="223"/>
        <v/>
      </c>
    </row>
    <row r="1755" spans="1:15">
      <c r="A1755" s="11"/>
      <c r="B1755" s="19"/>
      <c r="C1755" s="19"/>
      <c r="D1755" s="55"/>
      <c r="E1755" s="56"/>
      <c r="F1755" s="19"/>
      <c r="G1755" s="4" t="str">
        <f t="shared" si="216"/>
        <v/>
      </c>
      <c r="H1755" s="11" t="str">
        <f t="shared" si="217"/>
        <v/>
      </c>
      <c r="I1755" s="55" t="str">
        <f t="shared" si="218"/>
        <v/>
      </c>
      <c r="J1755" s="55" t="str">
        <f t="shared" si="219"/>
        <v/>
      </c>
      <c r="K1755" s="4" t="str">
        <f t="shared" si="220"/>
        <v/>
      </c>
      <c r="L1755" s="19" t="str">
        <f t="shared" si="221"/>
        <v/>
      </c>
      <c r="M1755" s="12" t="str">
        <f>IF(A1755="","",IFERROR(INDEX(المدخلات!$M$4:$M$15,MATCH(A1755,المدخلات!$L$4:$L$15,0)),""))</f>
        <v/>
      </c>
      <c r="N1755" s="4" t="str">
        <f t="shared" si="222"/>
        <v/>
      </c>
      <c r="O1755" s="4" t="str">
        <f t="shared" si="223"/>
        <v/>
      </c>
    </row>
    <row r="1756" spans="1:15">
      <c r="A1756" s="11"/>
      <c r="B1756" s="19"/>
      <c r="C1756" s="19"/>
      <c r="D1756" s="55"/>
      <c r="E1756" s="56"/>
      <c r="F1756" s="19"/>
      <c r="G1756" s="4" t="str">
        <f t="shared" si="216"/>
        <v/>
      </c>
      <c r="H1756" s="11" t="str">
        <f t="shared" si="217"/>
        <v/>
      </c>
      <c r="I1756" s="55" t="str">
        <f t="shared" si="218"/>
        <v/>
      </c>
      <c r="J1756" s="55" t="str">
        <f t="shared" si="219"/>
        <v/>
      </c>
      <c r="K1756" s="4" t="str">
        <f t="shared" si="220"/>
        <v/>
      </c>
      <c r="L1756" s="19" t="str">
        <f t="shared" si="221"/>
        <v/>
      </c>
      <c r="M1756" s="12" t="str">
        <f>IF(A1756="","",IFERROR(INDEX(المدخلات!$M$4:$M$15,MATCH(A1756,المدخلات!$L$4:$L$15,0)),""))</f>
        <v/>
      </c>
      <c r="N1756" s="4" t="str">
        <f t="shared" si="222"/>
        <v/>
      </c>
      <c r="O1756" s="4" t="str">
        <f t="shared" si="223"/>
        <v/>
      </c>
    </row>
    <row r="1757" spans="1:15">
      <c r="A1757" s="11"/>
      <c r="B1757" s="19"/>
      <c r="C1757" s="19"/>
      <c r="D1757" s="55"/>
      <c r="E1757" s="56"/>
      <c r="F1757" s="19"/>
      <c r="G1757" s="4" t="str">
        <f t="shared" si="216"/>
        <v/>
      </c>
      <c r="H1757" s="11" t="str">
        <f t="shared" si="217"/>
        <v/>
      </c>
      <c r="I1757" s="55" t="str">
        <f t="shared" si="218"/>
        <v/>
      </c>
      <c r="J1757" s="55" t="str">
        <f t="shared" si="219"/>
        <v/>
      </c>
      <c r="K1757" s="4" t="str">
        <f t="shared" si="220"/>
        <v/>
      </c>
      <c r="L1757" s="19" t="str">
        <f t="shared" si="221"/>
        <v/>
      </c>
      <c r="M1757" s="12" t="str">
        <f>IF(A1757="","",IFERROR(INDEX(المدخلات!$M$4:$M$15,MATCH(A1757,المدخلات!$L$4:$L$15,0)),""))</f>
        <v/>
      </c>
      <c r="N1757" s="4" t="str">
        <f t="shared" si="222"/>
        <v/>
      </c>
      <c r="O1757" s="4" t="str">
        <f t="shared" si="223"/>
        <v/>
      </c>
    </row>
    <row r="1758" spans="1:15">
      <c r="A1758" s="11"/>
      <c r="B1758" s="19"/>
      <c r="C1758" s="19"/>
      <c r="D1758" s="55"/>
      <c r="E1758" s="56"/>
      <c r="F1758" s="19"/>
      <c r="G1758" s="4" t="str">
        <f t="shared" si="216"/>
        <v/>
      </c>
      <c r="H1758" s="11" t="str">
        <f t="shared" si="217"/>
        <v/>
      </c>
      <c r="I1758" s="55" t="str">
        <f t="shared" si="218"/>
        <v/>
      </c>
      <c r="J1758" s="55" t="str">
        <f t="shared" si="219"/>
        <v/>
      </c>
      <c r="K1758" s="4" t="str">
        <f t="shared" si="220"/>
        <v/>
      </c>
      <c r="L1758" s="19" t="str">
        <f t="shared" si="221"/>
        <v/>
      </c>
      <c r="M1758" s="12" t="str">
        <f>IF(A1758="","",IFERROR(INDEX(المدخلات!$M$4:$M$15,MATCH(A1758,المدخلات!$L$4:$L$15,0)),""))</f>
        <v/>
      </c>
      <c r="N1758" s="4" t="str">
        <f t="shared" si="222"/>
        <v/>
      </c>
      <c r="O1758" s="4" t="str">
        <f t="shared" si="223"/>
        <v/>
      </c>
    </row>
    <row r="1759" spans="1:15">
      <c r="A1759" s="11"/>
      <c r="B1759" s="19"/>
      <c r="C1759" s="19"/>
      <c r="D1759" s="55"/>
      <c r="E1759" s="56"/>
      <c r="F1759" s="19"/>
      <c r="G1759" s="4" t="str">
        <f t="shared" si="216"/>
        <v/>
      </c>
      <c r="H1759" s="11" t="str">
        <f t="shared" si="217"/>
        <v/>
      </c>
      <c r="I1759" s="55" t="str">
        <f t="shared" si="218"/>
        <v/>
      </c>
      <c r="J1759" s="55" t="str">
        <f t="shared" si="219"/>
        <v/>
      </c>
      <c r="K1759" s="4" t="str">
        <f t="shared" si="220"/>
        <v/>
      </c>
      <c r="L1759" s="19" t="str">
        <f t="shared" si="221"/>
        <v/>
      </c>
      <c r="M1759" s="12" t="str">
        <f>IF(A1759="","",IFERROR(INDEX(المدخلات!$M$4:$M$15,MATCH(A1759,المدخلات!$L$4:$L$15,0)),""))</f>
        <v/>
      </c>
      <c r="N1759" s="4" t="str">
        <f t="shared" si="222"/>
        <v/>
      </c>
      <c r="O1759" s="4" t="str">
        <f t="shared" si="223"/>
        <v/>
      </c>
    </row>
    <row r="1760" spans="1:15">
      <c r="A1760" s="11"/>
      <c r="B1760" s="19"/>
      <c r="C1760" s="19"/>
      <c r="D1760" s="55"/>
      <c r="E1760" s="56"/>
      <c r="F1760" s="19"/>
      <c r="G1760" s="4" t="str">
        <f t="shared" si="216"/>
        <v/>
      </c>
      <c r="H1760" s="11" t="str">
        <f t="shared" si="217"/>
        <v/>
      </c>
      <c r="I1760" s="55" t="str">
        <f t="shared" si="218"/>
        <v/>
      </c>
      <c r="J1760" s="55" t="str">
        <f t="shared" si="219"/>
        <v/>
      </c>
      <c r="K1760" s="4" t="str">
        <f t="shared" si="220"/>
        <v/>
      </c>
      <c r="L1760" s="19" t="str">
        <f t="shared" si="221"/>
        <v/>
      </c>
      <c r="M1760" s="12" t="str">
        <f>IF(A1760="","",IFERROR(INDEX(المدخلات!$M$4:$M$15,MATCH(A1760,المدخلات!$L$4:$L$15,0)),""))</f>
        <v/>
      </c>
      <c r="N1760" s="4" t="str">
        <f t="shared" si="222"/>
        <v/>
      </c>
      <c r="O1760" s="4" t="str">
        <f t="shared" si="223"/>
        <v/>
      </c>
    </row>
    <row r="1761" spans="1:15">
      <c r="A1761" s="11"/>
      <c r="B1761" s="19"/>
      <c r="C1761" s="19"/>
      <c r="D1761" s="55"/>
      <c r="E1761" s="56"/>
      <c r="F1761" s="19"/>
      <c r="G1761" s="4" t="str">
        <f t="shared" si="216"/>
        <v/>
      </c>
      <c r="H1761" s="11" t="str">
        <f t="shared" si="217"/>
        <v/>
      </c>
      <c r="I1761" s="55" t="str">
        <f t="shared" si="218"/>
        <v/>
      </c>
      <c r="J1761" s="55" t="str">
        <f t="shared" si="219"/>
        <v/>
      </c>
      <c r="K1761" s="4" t="str">
        <f t="shared" si="220"/>
        <v/>
      </c>
      <c r="L1761" s="19" t="str">
        <f t="shared" si="221"/>
        <v/>
      </c>
      <c r="M1761" s="12" t="str">
        <f>IF(A1761="","",IFERROR(INDEX(المدخلات!$M$4:$M$15,MATCH(A1761,المدخلات!$L$4:$L$15,0)),""))</f>
        <v/>
      </c>
      <c r="N1761" s="4" t="str">
        <f t="shared" si="222"/>
        <v/>
      </c>
      <c r="O1761" s="4" t="str">
        <f t="shared" si="223"/>
        <v/>
      </c>
    </row>
    <row r="1762" spans="1:15">
      <c r="A1762" s="11"/>
      <c r="B1762" s="19"/>
      <c r="C1762" s="19"/>
      <c r="D1762" s="55"/>
      <c r="E1762" s="56"/>
      <c r="F1762" s="19"/>
      <c r="G1762" s="4" t="str">
        <f t="shared" si="216"/>
        <v/>
      </c>
      <c r="H1762" s="11" t="str">
        <f t="shared" si="217"/>
        <v/>
      </c>
      <c r="I1762" s="55" t="str">
        <f t="shared" si="218"/>
        <v/>
      </c>
      <c r="J1762" s="55" t="str">
        <f t="shared" si="219"/>
        <v/>
      </c>
      <c r="K1762" s="4" t="str">
        <f t="shared" si="220"/>
        <v/>
      </c>
      <c r="L1762" s="19" t="str">
        <f t="shared" si="221"/>
        <v/>
      </c>
      <c r="M1762" s="12" t="str">
        <f>IF(A1762="","",IFERROR(INDEX(المدخلات!$M$4:$M$15,MATCH(A1762,المدخلات!$L$4:$L$15,0)),""))</f>
        <v/>
      </c>
      <c r="N1762" s="4" t="str">
        <f t="shared" si="222"/>
        <v/>
      </c>
      <c r="O1762" s="4" t="str">
        <f t="shared" si="223"/>
        <v/>
      </c>
    </row>
    <row r="1763" spans="1:15">
      <c r="A1763" s="11"/>
      <c r="B1763" s="19"/>
      <c r="C1763" s="19"/>
      <c r="D1763" s="55"/>
      <c r="E1763" s="56"/>
      <c r="F1763" s="19"/>
      <c r="G1763" s="4" t="str">
        <f t="shared" si="216"/>
        <v/>
      </c>
      <c r="H1763" s="11" t="str">
        <f t="shared" si="217"/>
        <v/>
      </c>
      <c r="I1763" s="55" t="str">
        <f t="shared" si="218"/>
        <v/>
      </c>
      <c r="J1763" s="55" t="str">
        <f t="shared" si="219"/>
        <v/>
      </c>
      <c r="K1763" s="4" t="str">
        <f t="shared" si="220"/>
        <v/>
      </c>
      <c r="L1763" s="19" t="str">
        <f t="shared" si="221"/>
        <v/>
      </c>
      <c r="M1763" s="12" t="str">
        <f>IF(A1763="","",IFERROR(INDEX(المدخلات!$M$4:$M$15,MATCH(A1763,المدخلات!$L$4:$L$15,0)),""))</f>
        <v/>
      </c>
      <c r="N1763" s="4" t="str">
        <f t="shared" si="222"/>
        <v/>
      </c>
      <c r="O1763" s="4" t="str">
        <f t="shared" si="223"/>
        <v/>
      </c>
    </row>
    <row r="1764" spans="1:15">
      <c r="A1764" s="11"/>
      <c r="B1764" s="19"/>
      <c r="C1764" s="19"/>
      <c r="D1764" s="55"/>
      <c r="E1764" s="56"/>
      <c r="F1764" s="19"/>
      <c r="G1764" s="4" t="str">
        <f t="shared" si="216"/>
        <v/>
      </c>
      <c r="H1764" s="11" t="str">
        <f t="shared" si="217"/>
        <v/>
      </c>
      <c r="I1764" s="55" t="str">
        <f t="shared" si="218"/>
        <v/>
      </c>
      <c r="J1764" s="55" t="str">
        <f t="shared" si="219"/>
        <v/>
      </c>
      <c r="K1764" s="4" t="str">
        <f t="shared" si="220"/>
        <v/>
      </c>
      <c r="L1764" s="19" t="str">
        <f t="shared" si="221"/>
        <v/>
      </c>
      <c r="M1764" s="12" t="str">
        <f>IF(A1764="","",IFERROR(INDEX(المدخلات!$M$4:$M$15,MATCH(A1764,المدخلات!$L$4:$L$15,0)),""))</f>
        <v/>
      </c>
      <c r="N1764" s="4" t="str">
        <f t="shared" si="222"/>
        <v/>
      </c>
      <c r="O1764" s="4" t="str">
        <f t="shared" si="223"/>
        <v/>
      </c>
    </row>
    <row r="1765" spans="1:15">
      <c r="A1765" s="11"/>
      <c r="B1765" s="19"/>
      <c r="C1765" s="19"/>
      <c r="D1765" s="55"/>
      <c r="E1765" s="56"/>
      <c r="F1765" s="19"/>
      <c r="G1765" s="4" t="str">
        <f t="shared" si="216"/>
        <v/>
      </c>
      <c r="H1765" s="11" t="str">
        <f t="shared" si="217"/>
        <v/>
      </c>
      <c r="I1765" s="55" t="str">
        <f t="shared" si="218"/>
        <v/>
      </c>
      <c r="J1765" s="55" t="str">
        <f t="shared" si="219"/>
        <v/>
      </c>
      <c r="K1765" s="4" t="str">
        <f t="shared" si="220"/>
        <v/>
      </c>
      <c r="L1765" s="19" t="str">
        <f t="shared" si="221"/>
        <v/>
      </c>
      <c r="M1765" s="12" t="str">
        <f>IF(A1765="","",IFERROR(INDEX(المدخلات!$M$4:$M$15,MATCH(A1765,المدخلات!$L$4:$L$15,0)),""))</f>
        <v/>
      </c>
      <c r="N1765" s="4" t="str">
        <f t="shared" si="222"/>
        <v/>
      </c>
      <c r="O1765" s="4" t="str">
        <f t="shared" si="223"/>
        <v/>
      </c>
    </row>
    <row r="1766" spans="1:15">
      <c r="A1766" s="11"/>
      <c r="B1766" s="19"/>
      <c r="C1766" s="19"/>
      <c r="D1766" s="55"/>
      <c r="E1766" s="56"/>
      <c r="F1766" s="19"/>
      <c r="G1766" s="4" t="str">
        <f t="shared" si="216"/>
        <v/>
      </c>
      <c r="H1766" s="11" t="str">
        <f t="shared" si="217"/>
        <v/>
      </c>
      <c r="I1766" s="55" t="str">
        <f t="shared" si="218"/>
        <v/>
      </c>
      <c r="J1766" s="55" t="str">
        <f t="shared" si="219"/>
        <v/>
      </c>
      <c r="K1766" s="4" t="str">
        <f t="shared" si="220"/>
        <v/>
      </c>
      <c r="L1766" s="19" t="str">
        <f t="shared" si="221"/>
        <v/>
      </c>
      <c r="M1766" s="12" t="str">
        <f>IF(A1766="","",IFERROR(INDEX(المدخلات!$M$4:$M$15,MATCH(A1766,المدخلات!$L$4:$L$15,0)),""))</f>
        <v/>
      </c>
      <c r="N1766" s="4" t="str">
        <f t="shared" si="222"/>
        <v/>
      </c>
      <c r="O1766" s="4" t="str">
        <f t="shared" si="223"/>
        <v/>
      </c>
    </row>
    <row r="1767" spans="1:15">
      <c r="A1767" s="11"/>
      <c r="B1767" s="19"/>
      <c r="C1767" s="19"/>
      <c r="D1767" s="55"/>
      <c r="E1767" s="56"/>
      <c r="F1767" s="19"/>
      <c r="G1767" s="4" t="str">
        <f t="shared" si="216"/>
        <v/>
      </c>
      <c r="H1767" s="11" t="str">
        <f t="shared" si="217"/>
        <v/>
      </c>
      <c r="I1767" s="55" t="str">
        <f t="shared" si="218"/>
        <v/>
      </c>
      <c r="J1767" s="55" t="str">
        <f t="shared" si="219"/>
        <v/>
      </c>
      <c r="K1767" s="4" t="str">
        <f t="shared" si="220"/>
        <v/>
      </c>
      <c r="L1767" s="19" t="str">
        <f t="shared" si="221"/>
        <v/>
      </c>
      <c r="M1767" s="12" t="str">
        <f>IF(A1767="","",IFERROR(INDEX(المدخلات!$M$4:$M$15,MATCH(A1767,المدخلات!$L$4:$L$15,0)),""))</f>
        <v/>
      </c>
      <c r="N1767" s="4" t="str">
        <f t="shared" si="222"/>
        <v/>
      </c>
      <c r="O1767" s="4" t="str">
        <f t="shared" si="223"/>
        <v/>
      </c>
    </row>
    <row r="1768" spans="1:15">
      <c r="A1768" s="11"/>
      <c r="B1768" s="19"/>
      <c r="C1768" s="19"/>
      <c r="D1768" s="55"/>
      <c r="E1768" s="56"/>
      <c r="F1768" s="19"/>
      <c r="G1768" s="4" t="str">
        <f t="shared" si="216"/>
        <v/>
      </c>
      <c r="H1768" s="11" t="str">
        <f t="shared" si="217"/>
        <v/>
      </c>
      <c r="I1768" s="55" t="str">
        <f t="shared" si="218"/>
        <v/>
      </c>
      <c r="J1768" s="55" t="str">
        <f t="shared" si="219"/>
        <v/>
      </c>
      <c r="K1768" s="4" t="str">
        <f t="shared" si="220"/>
        <v/>
      </c>
      <c r="L1768" s="19" t="str">
        <f t="shared" si="221"/>
        <v/>
      </c>
      <c r="M1768" s="12" t="str">
        <f>IF(A1768="","",IFERROR(INDEX(المدخلات!$M$4:$M$15,MATCH(A1768,المدخلات!$L$4:$L$15,0)),""))</f>
        <v/>
      </c>
      <c r="N1768" s="4" t="str">
        <f t="shared" si="222"/>
        <v/>
      </c>
      <c r="O1768" s="4" t="str">
        <f t="shared" si="223"/>
        <v/>
      </c>
    </row>
    <row r="1769" spans="1:15">
      <c r="A1769" s="11"/>
      <c r="B1769" s="19"/>
      <c r="C1769" s="19"/>
      <c r="D1769" s="55"/>
      <c r="E1769" s="56"/>
      <c r="F1769" s="19"/>
      <c r="G1769" s="4" t="str">
        <f t="shared" si="216"/>
        <v/>
      </c>
      <c r="H1769" s="11" t="str">
        <f t="shared" si="217"/>
        <v/>
      </c>
      <c r="I1769" s="55" t="str">
        <f t="shared" si="218"/>
        <v/>
      </c>
      <c r="J1769" s="55" t="str">
        <f t="shared" si="219"/>
        <v/>
      </c>
      <c r="K1769" s="4" t="str">
        <f t="shared" si="220"/>
        <v/>
      </c>
      <c r="L1769" s="19" t="str">
        <f t="shared" si="221"/>
        <v/>
      </c>
      <c r="M1769" s="12" t="str">
        <f>IF(A1769="","",IFERROR(INDEX(المدخلات!$M$4:$M$15,MATCH(A1769,المدخلات!$L$4:$L$15,0)),""))</f>
        <v/>
      </c>
      <c r="N1769" s="4" t="str">
        <f t="shared" si="222"/>
        <v/>
      </c>
      <c r="O1769" s="4" t="str">
        <f t="shared" si="223"/>
        <v/>
      </c>
    </row>
    <row r="1770" spans="1:15">
      <c r="A1770" s="11"/>
      <c r="B1770" s="19"/>
      <c r="C1770" s="19"/>
      <c r="D1770" s="55"/>
      <c r="E1770" s="56"/>
      <c r="F1770" s="19"/>
      <c r="G1770" s="4" t="str">
        <f t="shared" si="216"/>
        <v/>
      </c>
      <c r="H1770" s="11" t="str">
        <f t="shared" si="217"/>
        <v/>
      </c>
      <c r="I1770" s="55" t="str">
        <f t="shared" si="218"/>
        <v/>
      </c>
      <c r="J1770" s="55" t="str">
        <f t="shared" si="219"/>
        <v/>
      </c>
      <c r="K1770" s="4" t="str">
        <f t="shared" si="220"/>
        <v/>
      </c>
      <c r="L1770" s="19" t="str">
        <f t="shared" si="221"/>
        <v/>
      </c>
      <c r="M1770" s="12" t="str">
        <f>IF(A1770="","",IFERROR(INDEX(المدخلات!$M$4:$M$15,MATCH(A1770,المدخلات!$L$4:$L$15,0)),""))</f>
        <v/>
      </c>
      <c r="N1770" s="4" t="str">
        <f t="shared" si="222"/>
        <v/>
      </c>
      <c r="O1770" s="4" t="str">
        <f t="shared" si="223"/>
        <v/>
      </c>
    </row>
    <row r="1771" spans="1:15">
      <c r="A1771" s="11"/>
      <c r="B1771" s="19"/>
      <c r="C1771" s="19"/>
      <c r="D1771" s="55"/>
      <c r="E1771" s="56"/>
      <c r="F1771" s="19"/>
      <c r="G1771" s="4" t="str">
        <f t="shared" si="216"/>
        <v/>
      </c>
      <c r="H1771" s="11" t="str">
        <f t="shared" si="217"/>
        <v/>
      </c>
      <c r="I1771" s="55" t="str">
        <f t="shared" si="218"/>
        <v/>
      </c>
      <c r="J1771" s="55" t="str">
        <f t="shared" si="219"/>
        <v/>
      </c>
      <c r="K1771" s="4" t="str">
        <f t="shared" si="220"/>
        <v/>
      </c>
      <c r="L1771" s="19" t="str">
        <f t="shared" si="221"/>
        <v/>
      </c>
      <c r="M1771" s="12" t="str">
        <f>IF(A1771="","",IFERROR(INDEX(المدخلات!$M$4:$M$15,MATCH(A1771,المدخلات!$L$4:$L$15,0)),""))</f>
        <v/>
      </c>
      <c r="N1771" s="4" t="str">
        <f t="shared" si="222"/>
        <v/>
      </c>
      <c r="O1771" s="4" t="str">
        <f t="shared" si="223"/>
        <v/>
      </c>
    </row>
    <row r="1772" spans="1:15">
      <c r="A1772" s="11"/>
      <c r="B1772" s="19"/>
      <c r="C1772" s="19"/>
      <c r="D1772" s="55"/>
      <c r="E1772" s="56"/>
      <c r="F1772" s="19"/>
      <c r="G1772" s="4" t="str">
        <f t="shared" si="216"/>
        <v/>
      </c>
      <c r="H1772" s="11" t="str">
        <f t="shared" si="217"/>
        <v/>
      </c>
      <c r="I1772" s="55" t="str">
        <f t="shared" si="218"/>
        <v/>
      </c>
      <c r="J1772" s="55" t="str">
        <f t="shared" si="219"/>
        <v/>
      </c>
      <c r="K1772" s="4" t="str">
        <f t="shared" si="220"/>
        <v/>
      </c>
      <c r="L1772" s="19" t="str">
        <f t="shared" si="221"/>
        <v/>
      </c>
      <c r="M1772" s="12" t="str">
        <f>IF(A1772="","",IFERROR(INDEX(المدخلات!$M$4:$M$15,MATCH(A1772,المدخلات!$L$4:$L$15,0)),""))</f>
        <v/>
      </c>
      <c r="N1772" s="4" t="str">
        <f t="shared" si="222"/>
        <v/>
      </c>
      <c r="O1772" s="4" t="str">
        <f t="shared" si="223"/>
        <v/>
      </c>
    </row>
    <row r="1773" spans="1:15">
      <c r="A1773" s="11"/>
      <c r="B1773" s="19"/>
      <c r="C1773" s="19"/>
      <c r="D1773" s="55"/>
      <c r="E1773" s="56"/>
      <c r="F1773" s="19"/>
      <c r="G1773" s="4" t="str">
        <f t="shared" si="216"/>
        <v/>
      </c>
      <c r="H1773" s="11" t="str">
        <f t="shared" si="217"/>
        <v/>
      </c>
      <c r="I1773" s="55" t="str">
        <f t="shared" si="218"/>
        <v/>
      </c>
      <c r="J1773" s="55" t="str">
        <f t="shared" si="219"/>
        <v/>
      </c>
      <c r="K1773" s="4" t="str">
        <f t="shared" si="220"/>
        <v/>
      </c>
      <c r="L1773" s="19" t="str">
        <f t="shared" si="221"/>
        <v/>
      </c>
      <c r="M1773" s="12" t="str">
        <f>IF(A1773="","",IFERROR(INDEX(المدخلات!$M$4:$M$15,MATCH(A1773,المدخلات!$L$4:$L$15,0)),""))</f>
        <v/>
      </c>
      <c r="N1773" s="4" t="str">
        <f t="shared" si="222"/>
        <v/>
      </c>
      <c r="O1773" s="4" t="str">
        <f t="shared" si="223"/>
        <v/>
      </c>
    </row>
    <row r="1774" spans="1:15">
      <c r="A1774" s="11"/>
      <c r="B1774" s="19"/>
      <c r="C1774" s="19"/>
      <c r="D1774" s="55"/>
      <c r="E1774" s="56"/>
      <c r="F1774" s="19"/>
      <c r="G1774" s="4" t="str">
        <f t="shared" si="216"/>
        <v/>
      </c>
      <c r="H1774" s="11" t="str">
        <f t="shared" si="217"/>
        <v/>
      </c>
      <c r="I1774" s="55" t="str">
        <f t="shared" si="218"/>
        <v/>
      </c>
      <c r="J1774" s="55" t="str">
        <f t="shared" si="219"/>
        <v/>
      </c>
      <c r="K1774" s="4" t="str">
        <f t="shared" si="220"/>
        <v/>
      </c>
      <c r="L1774" s="19" t="str">
        <f t="shared" si="221"/>
        <v/>
      </c>
      <c r="M1774" s="12" t="str">
        <f>IF(A1774="","",IFERROR(INDEX(المدخلات!$M$4:$M$15,MATCH(A1774,المدخلات!$L$4:$L$15,0)),""))</f>
        <v/>
      </c>
      <c r="N1774" s="4" t="str">
        <f t="shared" si="222"/>
        <v/>
      </c>
      <c r="O1774" s="4" t="str">
        <f t="shared" si="223"/>
        <v/>
      </c>
    </row>
    <row r="1775" spans="1:15">
      <c r="A1775" s="11"/>
      <c r="B1775" s="19"/>
      <c r="C1775" s="19"/>
      <c r="D1775" s="55"/>
      <c r="E1775" s="56"/>
      <c r="F1775" s="19"/>
      <c r="G1775" s="4" t="str">
        <f t="shared" si="216"/>
        <v/>
      </c>
      <c r="H1775" s="11" t="str">
        <f t="shared" si="217"/>
        <v/>
      </c>
      <c r="I1775" s="55" t="str">
        <f t="shared" si="218"/>
        <v/>
      </c>
      <c r="J1775" s="55" t="str">
        <f t="shared" si="219"/>
        <v/>
      </c>
      <c r="K1775" s="4" t="str">
        <f t="shared" si="220"/>
        <v/>
      </c>
      <c r="L1775" s="19" t="str">
        <f t="shared" si="221"/>
        <v/>
      </c>
      <c r="M1775" s="12" t="str">
        <f>IF(A1775="","",IFERROR(INDEX(المدخلات!$M$4:$M$15,MATCH(A1775,المدخلات!$L$4:$L$15,0)),""))</f>
        <v/>
      </c>
      <c r="N1775" s="4" t="str">
        <f t="shared" si="222"/>
        <v/>
      </c>
      <c r="O1775" s="4" t="str">
        <f t="shared" si="223"/>
        <v/>
      </c>
    </row>
    <row r="1776" spans="1:15">
      <c r="A1776" s="11"/>
      <c r="B1776" s="19"/>
      <c r="C1776" s="19"/>
      <c r="D1776" s="55"/>
      <c r="E1776" s="56"/>
      <c r="F1776" s="19"/>
      <c r="G1776" s="4" t="str">
        <f t="shared" si="216"/>
        <v/>
      </c>
      <c r="H1776" s="11" t="str">
        <f t="shared" si="217"/>
        <v/>
      </c>
      <c r="I1776" s="55" t="str">
        <f t="shared" si="218"/>
        <v/>
      </c>
      <c r="J1776" s="55" t="str">
        <f t="shared" si="219"/>
        <v/>
      </c>
      <c r="K1776" s="4" t="str">
        <f t="shared" si="220"/>
        <v/>
      </c>
      <c r="L1776" s="19" t="str">
        <f t="shared" si="221"/>
        <v/>
      </c>
      <c r="M1776" s="12" t="str">
        <f>IF(A1776="","",IFERROR(INDEX(المدخلات!$M$4:$M$15,MATCH(A1776,المدخلات!$L$4:$L$15,0)),""))</f>
        <v/>
      </c>
      <c r="N1776" s="4" t="str">
        <f t="shared" si="222"/>
        <v/>
      </c>
      <c r="O1776" s="4" t="str">
        <f t="shared" si="223"/>
        <v/>
      </c>
    </row>
    <row r="1777" spans="1:15">
      <c r="A1777" s="11"/>
      <c r="B1777" s="19"/>
      <c r="C1777" s="19"/>
      <c r="D1777" s="55"/>
      <c r="E1777" s="56"/>
      <c r="F1777" s="19"/>
      <c r="G1777" s="4" t="str">
        <f t="shared" si="216"/>
        <v/>
      </c>
      <c r="H1777" s="11" t="str">
        <f t="shared" si="217"/>
        <v/>
      </c>
      <c r="I1777" s="55" t="str">
        <f t="shared" si="218"/>
        <v/>
      </c>
      <c r="J1777" s="55" t="str">
        <f t="shared" si="219"/>
        <v/>
      </c>
      <c r="K1777" s="4" t="str">
        <f t="shared" si="220"/>
        <v/>
      </c>
      <c r="L1777" s="19" t="str">
        <f t="shared" si="221"/>
        <v/>
      </c>
      <c r="M1777" s="12" t="str">
        <f>IF(A1777="","",IFERROR(INDEX(المدخلات!$M$4:$M$15,MATCH(A1777,المدخلات!$L$4:$L$15,0)),""))</f>
        <v/>
      </c>
      <c r="N1777" s="4" t="str">
        <f t="shared" si="222"/>
        <v/>
      </c>
      <c r="O1777" s="4" t="str">
        <f t="shared" si="223"/>
        <v/>
      </c>
    </row>
    <row r="1778" spans="1:15">
      <c r="A1778" s="11"/>
      <c r="B1778" s="19"/>
      <c r="C1778" s="19"/>
      <c r="D1778" s="55"/>
      <c r="E1778" s="56"/>
      <c r="F1778" s="19"/>
      <c r="G1778" s="4" t="str">
        <f t="shared" si="216"/>
        <v/>
      </c>
      <c r="H1778" s="11" t="str">
        <f t="shared" si="217"/>
        <v/>
      </c>
      <c r="I1778" s="55" t="str">
        <f t="shared" si="218"/>
        <v/>
      </c>
      <c r="J1778" s="55" t="str">
        <f t="shared" si="219"/>
        <v/>
      </c>
      <c r="K1778" s="4" t="str">
        <f t="shared" si="220"/>
        <v/>
      </c>
      <c r="L1778" s="19" t="str">
        <f t="shared" si="221"/>
        <v/>
      </c>
      <c r="M1778" s="12" t="str">
        <f>IF(A1778="","",IFERROR(INDEX(المدخلات!$M$4:$M$15,MATCH(A1778,المدخلات!$L$4:$L$15,0)),""))</f>
        <v/>
      </c>
      <c r="N1778" s="4" t="str">
        <f t="shared" si="222"/>
        <v/>
      </c>
      <c r="O1778" s="4" t="str">
        <f t="shared" si="223"/>
        <v/>
      </c>
    </row>
    <row r="1779" spans="1:15">
      <c r="A1779" s="11"/>
      <c r="B1779" s="19"/>
      <c r="C1779" s="19"/>
      <c r="D1779" s="55"/>
      <c r="E1779" s="56"/>
      <c r="F1779" s="19"/>
      <c r="G1779" s="4" t="str">
        <f t="shared" si="216"/>
        <v/>
      </c>
      <c r="H1779" s="11" t="str">
        <f t="shared" si="217"/>
        <v/>
      </c>
      <c r="I1779" s="55" t="str">
        <f t="shared" si="218"/>
        <v/>
      </c>
      <c r="J1779" s="55" t="str">
        <f t="shared" si="219"/>
        <v/>
      </c>
      <c r="K1779" s="4" t="str">
        <f t="shared" si="220"/>
        <v/>
      </c>
      <c r="L1779" s="19" t="str">
        <f t="shared" si="221"/>
        <v/>
      </c>
      <c r="M1779" s="12" t="str">
        <f>IF(A1779="","",IFERROR(INDEX(المدخلات!$M$4:$M$15,MATCH(A1779,المدخلات!$L$4:$L$15,0)),""))</f>
        <v/>
      </c>
      <c r="N1779" s="4" t="str">
        <f t="shared" si="222"/>
        <v/>
      </c>
      <c r="O1779" s="4" t="str">
        <f t="shared" si="223"/>
        <v/>
      </c>
    </row>
    <row r="1780" spans="1:15">
      <c r="A1780" s="11"/>
      <c r="B1780" s="19"/>
      <c r="C1780" s="19"/>
      <c r="D1780" s="55"/>
      <c r="E1780" s="56"/>
      <c r="F1780" s="19"/>
      <c r="G1780" s="4" t="str">
        <f t="shared" si="216"/>
        <v/>
      </c>
      <c r="H1780" s="11" t="str">
        <f t="shared" si="217"/>
        <v/>
      </c>
      <c r="I1780" s="55" t="str">
        <f t="shared" si="218"/>
        <v/>
      </c>
      <c r="J1780" s="55" t="str">
        <f t="shared" si="219"/>
        <v/>
      </c>
      <c r="K1780" s="4" t="str">
        <f t="shared" si="220"/>
        <v/>
      </c>
      <c r="L1780" s="19" t="str">
        <f t="shared" si="221"/>
        <v/>
      </c>
      <c r="M1780" s="12" t="str">
        <f>IF(A1780="","",IFERROR(INDEX(المدخلات!$M$4:$M$15,MATCH(A1780,المدخلات!$L$4:$L$15,0)),""))</f>
        <v/>
      </c>
      <c r="N1780" s="4" t="str">
        <f t="shared" si="222"/>
        <v/>
      </c>
      <c r="O1780" s="4" t="str">
        <f t="shared" si="223"/>
        <v/>
      </c>
    </row>
    <row r="1781" spans="1:15">
      <c r="A1781" s="11"/>
      <c r="B1781" s="19"/>
      <c r="C1781" s="19"/>
      <c r="D1781" s="55"/>
      <c r="E1781" s="56"/>
      <c r="F1781" s="19"/>
      <c r="G1781" s="4" t="str">
        <f t="shared" si="216"/>
        <v/>
      </c>
      <c r="H1781" s="11" t="str">
        <f t="shared" si="217"/>
        <v/>
      </c>
      <c r="I1781" s="55" t="str">
        <f t="shared" si="218"/>
        <v/>
      </c>
      <c r="J1781" s="55" t="str">
        <f t="shared" si="219"/>
        <v/>
      </c>
      <c r="K1781" s="4" t="str">
        <f t="shared" si="220"/>
        <v/>
      </c>
      <c r="L1781" s="19" t="str">
        <f t="shared" si="221"/>
        <v/>
      </c>
      <c r="M1781" s="12" t="str">
        <f>IF(A1781="","",IFERROR(INDEX(المدخلات!$M$4:$M$15,MATCH(A1781,المدخلات!$L$4:$L$15,0)),""))</f>
        <v/>
      </c>
      <c r="N1781" s="4" t="str">
        <f t="shared" si="222"/>
        <v/>
      </c>
      <c r="O1781" s="4" t="str">
        <f t="shared" si="223"/>
        <v/>
      </c>
    </row>
    <row r="1782" spans="1:15">
      <c r="A1782" s="11"/>
      <c r="B1782" s="19"/>
      <c r="C1782" s="19"/>
      <c r="D1782" s="55"/>
      <c r="E1782" s="56"/>
      <c r="F1782" s="19"/>
      <c r="G1782" s="4" t="str">
        <f t="shared" si="216"/>
        <v/>
      </c>
      <c r="H1782" s="11" t="str">
        <f t="shared" si="217"/>
        <v/>
      </c>
      <c r="I1782" s="55" t="str">
        <f t="shared" si="218"/>
        <v/>
      </c>
      <c r="J1782" s="55" t="str">
        <f t="shared" si="219"/>
        <v/>
      </c>
      <c r="K1782" s="4" t="str">
        <f t="shared" si="220"/>
        <v/>
      </c>
      <c r="L1782" s="19" t="str">
        <f t="shared" si="221"/>
        <v/>
      </c>
      <c r="M1782" s="12" t="str">
        <f>IF(A1782="","",IFERROR(INDEX(المدخلات!$M$4:$M$15,MATCH(A1782,المدخلات!$L$4:$L$15,0)),""))</f>
        <v/>
      </c>
      <c r="N1782" s="4" t="str">
        <f t="shared" si="222"/>
        <v/>
      </c>
      <c r="O1782" s="4" t="str">
        <f t="shared" si="223"/>
        <v/>
      </c>
    </row>
    <row r="1783" spans="1:15">
      <c r="A1783" s="11"/>
      <c r="B1783" s="19"/>
      <c r="C1783" s="19"/>
      <c r="D1783" s="55"/>
      <c r="E1783" s="56"/>
      <c r="F1783" s="19"/>
      <c r="G1783" s="4" t="str">
        <f t="shared" si="216"/>
        <v/>
      </c>
      <c r="H1783" s="11" t="str">
        <f t="shared" si="217"/>
        <v/>
      </c>
      <c r="I1783" s="55" t="str">
        <f t="shared" si="218"/>
        <v/>
      </c>
      <c r="J1783" s="55" t="str">
        <f t="shared" si="219"/>
        <v/>
      </c>
      <c r="K1783" s="4" t="str">
        <f t="shared" si="220"/>
        <v/>
      </c>
      <c r="L1783" s="19" t="str">
        <f t="shared" si="221"/>
        <v/>
      </c>
      <c r="M1783" s="12" t="str">
        <f>IF(A1783="","",IFERROR(INDEX(المدخلات!$M$4:$M$15,MATCH(A1783,المدخلات!$L$4:$L$15,0)),""))</f>
        <v/>
      </c>
      <c r="N1783" s="4" t="str">
        <f t="shared" si="222"/>
        <v/>
      </c>
      <c r="O1783" s="4" t="str">
        <f t="shared" si="223"/>
        <v/>
      </c>
    </row>
    <row r="1784" spans="1:15">
      <c r="A1784" s="11"/>
      <c r="B1784" s="19"/>
      <c r="C1784" s="19"/>
      <c r="D1784" s="55"/>
      <c r="E1784" s="56"/>
      <c r="F1784" s="19"/>
      <c r="G1784" s="4" t="str">
        <f t="shared" si="216"/>
        <v/>
      </c>
      <c r="H1784" s="11" t="str">
        <f t="shared" si="217"/>
        <v/>
      </c>
      <c r="I1784" s="55" t="str">
        <f t="shared" si="218"/>
        <v/>
      </c>
      <c r="J1784" s="55" t="str">
        <f t="shared" si="219"/>
        <v/>
      </c>
      <c r="K1784" s="4" t="str">
        <f t="shared" si="220"/>
        <v/>
      </c>
      <c r="L1784" s="19" t="str">
        <f t="shared" si="221"/>
        <v/>
      </c>
      <c r="M1784" s="12" t="str">
        <f>IF(A1784="","",IFERROR(INDEX(المدخلات!$M$4:$M$15,MATCH(A1784,المدخلات!$L$4:$L$15,0)),""))</f>
        <v/>
      </c>
      <c r="N1784" s="4" t="str">
        <f t="shared" si="222"/>
        <v/>
      </c>
      <c r="O1784" s="4" t="str">
        <f t="shared" si="223"/>
        <v/>
      </c>
    </row>
    <row r="1785" spans="1:15">
      <c r="A1785" s="11"/>
      <c r="B1785" s="19"/>
      <c r="C1785" s="19"/>
      <c r="D1785" s="55"/>
      <c r="E1785" s="56"/>
      <c r="F1785" s="19"/>
      <c r="G1785" s="4" t="str">
        <f t="shared" si="216"/>
        <v/>
      </c>
      <c r="H1785" s="11" t="str">
        <f t="shared" si="217"/>
        <v/>
      </c>
      <c r="I1785" s="55" t="str">
        <f t="shared" si="218"/>
        <v/>
      </c>
      <c r="J1785" s="55" t="str">
        <f t="shared" si="219"/>
        <v/>
      </c>
      <c r="K1785" s="4" t="str">
        <f t="shared" si="220"/>
        <v/>
      </c>
      <c r="L1785" s="19" t="str">
        <f t="shared" si="221"/>
        <v/>
      </c>
      <c r="M1785" s="12" t="str">
        <f>IF(A1785="","",IFERROR(INDEX(المدخلات!$M$4:$M$15,MATCH(A1785,المدخلات!$L$4:$L$15,0)),""))</f>
        <v/>
      </c>
      <c r="N1785" s="4" t="str">
        <f t="shared" si="222"/>
        <v/>
      </c>
      <c r="O1785" s="4" t="str">
        <f t="shared" si="223"/>
        <v/>
      </c>
    </row>
    <row r="1786" spans="1:15">
      <c r="A1786" s="11"/>
      <c r="B1786" s="19"/>
      <c r="C1786" s="19"/>
      <c r="D1786" s="55"/>
      <c r="E1786" s="56"/>
      <c r="F1786" s="19"/>
      <c r="G1786" s="4" t="str">
        <f t="shared" si="216"/>
        <v/>
      </c>
      <c r="H1786" s="11" t="str">
        <f t="shared" si="217"/>
        <v/>
      </c>
      <c r="I1786" s="55" t="str">
        <f t="shared" si="218"/>
        <v/>
      </c>
      <c r="J1786" s="55" t="str">
        <f t="shared" si="219"/>
        <v/>
      </c>
      <c r="K1786" s="4" t="str">
        <f t="shared" si="220"/>
        <v/>
      </c>
      <c r="L1786" s="19" t="str">
        <f t="shared" si="221"/>
        <v/>
      </c>
      <c r="M1786" s="12" t="str">
        <f>IF(A1786="","",IFERROR(INDEX(المدخلات!$M$4:$M$15,MATCH(A1786,المدخلات!$L$4:$L$15,0)),""))</f>
        <v/>
      </c>
      <c r="N1786" s="4" t="str">
        <f t="shared" si="222"/>
        <v/>
      </c>
      <c r="O1786" s="4" t="str">
        <f t="shared" si="223"/>
        <v/>
      </c>
    </row>
    <row r="1787" spans="1:15">
      <c r="A1787" s="11"/>
      <c r="B1787" s="19"/>
      <c r="C1787" s="19"/>
      <c r="D1787" s="55"/>
      <c r="E1787" s="56"/>
      <c r="F1787" s="19"/>
      <c r="G1787" s="4" t="str">
        <f t="shared" si="216"/>
        <v/>
      </c>
      <c r="H1787" s="11" t="str">
        <f t="shared" si="217"/>
        <v/>
      </c>
      <c r="I1787" s="55" t="str">
        <f t="shared" si="218"/>
        <v/>
      </c>
      <c r="J1787" s="55" t="str">
        <f t="shared" si="219"/>
        <v/>
      </c>
      <c r="K1787" s="4" t="str">
        <f t="shared" si="220"/>
        <v/>
      </c>
      <c r="L1787" s="19" t="str">
        <f t="shared" si="221"/>
        <v/>
      </c>
      <c r="M1787" s="12" t="str">
        <f>IF(A1787="","",IFERROR(INDEX(المدخلات!$M$4:$M$15,MATCH(A1787,المدخلات!$L$4:$L$15,0)),""))</f>
        <v/>
      </c>
      <c r="N1787" s="4" t="str">
        <f t="shared" si="222"/>
        <v/>
      </c>
      <c r="O1787" s="4" t="str">
        <f t="shared" si="223"/>
        <v/>
      </c>
    </row>
    <row r="1788" spans="1:15">
      <c r="A1788" s="11"/>
      <c r="B1788" s="19"/>
      <c r="C1788" s="19"/>
      <c r="D1788" s="55"/>
      <c r="E1788" s="56"/>
      <c r="F1788" s="19"/>
      <c r="G1788" s="4" t="str">
        <f t="shared" si="216"/>
        <v/>
      </c>
      <c r="H1788" s="11" t="str">
        <f t="shared" si="217"/>
        <v/>
      </c>
      <c r="I1788" s="55" t="str">
        <f t="shared" si="218"/>
        <v/>
      </c>
      <c r="J1788" s="55" t="str">
        <f t="shared" si="219"/>
        <v/>
      </c>
      <c r="K1788" s="4" t="str">
        <f t="shared" si="220"/>
        <v/>
      </c>
      <c r="L1788" s="19" t="str">
        <f t="shared" si="221"/>
        <v/>
      </c>
      <c r="M1788" s="12" t="str">
        <f>IF(A1788="","",IFERROR(INDEX(المدخلات!$M$4:$M$15,MATCH(A1788,المدخلات!$L$4:$L$15,0)),""))</f>
        <v/>
      </c>
      <c r="N1788" s="4" t="str">
        <f t="shared" si="222"/>
        <v/>
      </c>
      <c r="O1788" s="4" t="str">
        <f t="shared" si="223"/>
        <v/>
      </c>
    </row>
    <row r="1789" spans="1:15">
      <c r="A1789" s="11"/>
      <c r="B1789" s="19"/>
      <c r="C1789" s="19"/>
      <c r="D1789" s="55"/>
      <c r="E1789" s="56"/>
      <c r="F1789" s="19"/>
      <c r="G1789" s="4" t="str">
        <f t="shared" si="216"/>
        <v/>
      </c>
      <c r="H1789" s="11" t="str">
        <f t="shared" si="217"/>
        <v/>
      </c>
      <c r="I1789" s="55" t="str">
        <f t="shared" si="218"/>
        <v/>
      </c>
      <c r="J1789" s="55" t="str">
        <f t="shared" si="219"/>
        <v/>
      </c>
      <c r="K1789" s="4" t="str">
        <f t="shared" si="220"/>
        <v/>
      </c>
      <c r="L1789" s="19" t="str">
        <f t="shared" si="221"/>
        <v/>
      </c>
      <c r="M1789" s="12" t="str">
        <f>IF(A1789="","",IFERROR(INDEX(المدخلات!$M$4:$M$15,MATCH(A1789,المدخلات!$L$4:$L$15,0)),""))</f>
        <v/>
      </c>
      <c r="N1789" s="4" t="str">
        <f t="shared" si="222"/>
        <v/>
      </c>
      <c r="O1789" s="4" t="str">
        <f t="shared" si="223"/>
        <v/>
      </c>
    </row>
    <row r="1790" spans="1:15">
      <c r="A1790" s="11"/>
      <c r="B1790" s="19"/>
      <c r="C1790" s="19"/>
      <c r="D1790" s="55"/>
      <c r="E1790" s="56"/>
      <c r="F1790" s="19"/>
      <c r="G1790" s="4" t="str">
        <f t="shared" si="216"/>
        <v/>
      </c>
      <c r="H1790" s="11" t="str">
        <f t="shared" si="217"/>
        <v/>
      </c>
      <c r="I1790" s="55" t="str">
        <f t="shared" si="218"/>
        <v/>
      </c>
      <c r="J1790" s="55" t="str">
        <f t="shared" si="219"/>
        <v/>
      </c>
      <c r="K1790" s="4" t="str">
        <f t="shared" si="220"/>
        <v/>
      </c>
      <c r="L1790" s="19" t="str">
        <f t="shared" si="221"/>
        <v/>
      </c>
      <c r="M1790" s="12" t="str">
        <f>IF(A1790="","",IFERROR(INDEX(المدخلات!$M$4:$M$15,MATCH(A1790,المدخلات!$L$4:$L$15,0)),""))</f>
        <v/>
      </c>
      <c r="N1790" s="4" t="str">
        <f t="shared" si="222"/>
        <v/>
      </c>
      <c r="O1790" s="4" t="str">
        <f t="shared" si="223"/>
        <v/>
      </c>
    </row>
    <row r="1791" spans="1:15">
      <c r="A1791" s="11"/>
      <c r="B1791" s="19"/>
      <c r="C1791" s="19"/>
      <c r="D1791" s="55"/>
      <c r="E1791" s="56"/>
      <c r="F1791" s="19"/>
      <c r="G1791" s="4" t="str">
        <f t="shared" si="216"/>
        <v/>
      </c>
      <c r="H1791" s="11" t="str">
        <f t="shared" si="217"/>
        <v/>
      </c>
      <c r="I1791" s="55" t="str">
        <f t="shared" si="218"/>
        <v/>
      </c>
      <c r="J1791" s="55" t="str">
        <f t="shared" si="219"/>
        <v/>
      </c>
      <c r="K1791" s="4" t="str">
        <f t="shared" si="220"/>
        <v/>
      </c>
      <c r="L1791" s="19" t="str">
        <f t="shared" si="221"/>
        <v/>
      </c>
      <c r="M1791" s="12" t="str">
        <f>IF(A1791="","",IFERROR(INDEX(المدخلات!$M$4:$M$15,MATCH(A1791,المدخلات!$L$4:$L$15,0)),""))</f>
        <v/>
      </c>
      <c r="N1791" s="4" t="str">
        <f t="shared" si="222"/>
        <v/>
      </c>
      <c r="O1791" s="4" t="str">
        <f t="shared" si="223"/>
        <v/>
      </c>
    </row>
    <row r="1792" spans="1:15">
      <c r="A1792" s="11"/>
      <c r="B1792" s="19"/>
      <c r="C1792" s="19"/>
      <c r="D1792" s="55"/>
      <c r="E1792" s="56"/>
      <c r="F1792" s="19"/>
      <c r="G1792" s="4" t="str">
        <f t="shared" si="216"/>
        <v/>
      </c>
      <c r="H1792" s="11" t="str">
        <f t="shared" si="217"/>
        <v/>
      </c>
      <c r="I1792" s="55" t="str">
        <f t="shared" si="218"/>
        <v/>
      </c>
      <c r="J1792" s="55" t="str">
        <f t="shared" si="219"/>
        <v/>
      </c>
      <c r="K1792" s="4" t="str">
        <f t="shared" si="220"/>
        <v/>
      </c>
      <c r="L1792" s="19" t="str">
        <f t="shared" si="221"/>
        <v/>
      </c>
      <c r="M1792" s="12" t="str">
        <f>IF(A1792="","",IFERROR(INDEX(المدخلات!$M$4:$M$15,MATCH(A1792,المدخلات!$L$4:$L$15,0)),""))</f>
        <v/>
      </c>
      <c r="N1792" s="4" t="str">
        <f t="shared" si="222"/>
        <v/>
      </c>
      <c r="O1792" s="4" t="str">
        <f t="shared" si="223"/>
        <v/>
      </c>
    </row>
    <row r="1793" spans="1:15">
      <c r="A1793" s="11"/>
      <c r="B1793" s="19"/>
      <c r="C1793" s="19"/>
      <c r="D1793" s="55"/>
      <c r="E1793" s="56"/>
      <c r="F1793" s="19"/>
      <c r="G1793" s="4" t="str">
        <f t="shared" si="216"/>
        <v/>
      </c>
      <c r="H1793" s="11" t="str">
        <f t="shared" si="217"/>
        <v/>
      </c>
      <c r="I1793" s="55" t="str">
        <f t="shared" si="218"/>
        <v/>
      </c>
      <c r="J1793" s="55" t="str">
        <f t="shared" si="219"/>
        <v/>
      </c>
      <c r="K1793" s="4" t="str">
        <f t="shared" si="220"/>
        <v/>
      </c>
      <c r="L1793" s="19" t="str">
        <f t="shared" si="221"/>
        <v/>
      </c>
      <c r="M1793" s="12" t="str">
        <f>IF(A1793="","",IFERROR(INDEX(المدخلات!$M$4:$M$15,MATCH(A1793,المدخلات!$L$4:$L$15,0)),""))</f>
        <v/>
      </c>
      <c r="N1793" s="4" t="str">
        <f t="shared" si="222"/>
        <v/>
      </c>
      <c r="O1793" s="4" t="str">
        <f t="shared" si="223"/>
        <v/>
      </c>
    </row>
    <row r="1794" spans="1:15">
      <c r="A1794" s="11"/>
      <c r="B1794" s="19"/>
      <c r="C1794" s="19"/>
      <c r="D1794" s="55"/>
      <c r="E1794" s="56"/>
      <c r="F1794" s="19"/>
      <c r="G1794" s="4" t="str">
        <f t="shared" si="216"/>
        <v/>
      </c>
      <c r="H1794" s="11" t="str">
        <f t="shared" si="217"/>
        <v/>
      </c>
      <c r="I1794" s="55" t="str">
        <f t="shared" si="218"/>
        <v/>
      </c>
      <c r="J1794" s="55" t="str">
        <f t="shared" si="219"/>
        <v/>
      </c>
      <c r="K1794" s="4" t="str">
        <f t="shared" si="220"/>
        <v/>
      </c>
      <c r="L1794" s="19" t="str">
        <f t="shared" si="221"/>
        <v/>
      </c>
      <c r="M1794" s="12" t="str">
        <f>IF(A1794="","",IFERROR(INDEX(المدخلات!$M$4:$M$15,MATCH(A1794,المدخلات!$L$4:$L$15,0)),""))</f>
        <v/>
      </c>
      <c r="N1794" s="4" t="str">
        <f t="shared" si="222"/>
        <v/>
      </c>
      <c r="O1794" s="4" t="str">
        <f t="shared" si="223"/>
        <v/>
      </c>
    </row>
    <row r="1795" spans="1:15">
      <c r="A1795" s="11"/>
      <c r="B1795" s="19"/>
      <c r="C1795" s="19"/>
      <c r="D1795" s="55"/>
      <c r="E1795" s="56"/>
      <c r="F1795" s="19"/>
      <c r="G1795" s="4" t="str">
        <f t="shared" si="216"/>
        <v/>
      </c>
      <c r="H1795" s="11" t="str">
        <f t="shared" si="217"/>
        <v/>
      </c>
      <c r="I1795" s="55" t="str">
        <f t="shared" si="218"/>
        <v/>
      </c>
      <c r="J1795" s="55" t="str">
        <f t="shared" si="219"/>
        <v/>
      </c>
      <c r="K1795" s="4" t="str">
        <f t="shared" si="220"/>
        <v/>
      </c>
      <c r="L1795" s="19" t="str">
        <f t="shared" si="221"/>
        <v/>
      </c>
      <c r="M1795" s="12" t="str">
        <f>IF(A1795="","",IFERROR(INDEX(المدخلات!$M$4:$M$15,MATCH(A1795,المدخلات!$L$4:$L$15,0)),""))</f>
        <v/>
      </c>
      <c r="N1795" s="4" t="str">
        <f t="shared" si="222"/>
        <v/>
      </c>
      <c r="O1795" s="4" t="str">
        <f t="shared" si="223"/>
        <v/>
      </c>
    </row>
    <row r="1796" spans="1:15">
      <c r="A1796" s="11"/>
      <c r="B1796" s="19"/>
      <c r="C1796" s="19"/>
      <c r="D1796" s="55"/>
      <c r="E1796" s="56"/>
      <c r="F1796" s="19"/>
      <c r="G1796" s="4" t="str">
        <f t="shared" si="216"/>
        <v/>
      </c>
      <c r="H1796" s="11" t="str">
        <f t="shared" si="217"/>
        <v/>
      </c>
      <c r="I1796" s="55" t="str">
        <f t="shared" si="218"/>
        <v/>
      </c>
      <c r="J1796" s="55" t="str">
        <f t="shared" si="219"/>
        <v/>
      </c>
      <c r="K1796" s="4" t="str">
        <f t="shared" si="220"/>
        <v/>
      </c>
      <c r="L1796" s="19" t="str">
        <f t="shared" si="221"/>
        <v/>
      </c>
      <c r="M1796" s="12" t="str">
        <f>IF(A1796="","",IFERROR(INDEX(المدخلات!$M$4:$M$15,MATCH(A1796,المدخلات!$L$4:$L$15,0)),""))</f>
        <v/>
      </c>
      <c r="N1796" s="4" t="str">
        <f t="shared" si="222"/>
        <v/>
      </c>
      <c r="O1796" s="4" t="str">
        <f t="shared" si="223"/>
        <v/>
      </c>
    </row>
    <row r="1797" spans="1:15">
      <c r="A1797" s="11"/>
      <c r="B1797" s="19"/>
      <c r="C1797" s="19"/>
      <c r="D1797" s="55"/>
      <c r="E1797" s="56"/>
      <c r="F1797" s="19"/>
      <c r="G1797" s="4" t="str">
        <f t="shared" ref="G1797:G1860" si="224">IF(OR(D1797="",E1797=""),"",D1797*E1797)</f>
        <v/>
      </c>
      <c r="H1797" s="11" t="str">
        <f t="shared" ref="H1797:H1860" si="225">IF(C1797="","",IFERROR(_xlfn.MAXIFS($A$5:$A$2003,$C$5:$C$2003,C1797,$A$5:$A$2003,"&lt;"&amp;A1797),0))</f>
        <v/>
      </c>
      <c r="I1797" s="55" t="str">
        <f t="shared" ref="I1797:I1860" si="226">IF(OR(H1797="",H1797=0),"",IFERROR(SUMIFS($D$5:$D$2003,$C$5:$C$2003,C1797,$A$5:$A$2003,H1797),""))</f>
        <v/>
      </c>
      <c r="J1797" s="55" t="str">
        <f t="shared" ref="J1797:J1860" si="227">IF(C1797="","",IF(I1797="",0,MAX(I1797-D1797,0)))</f>
        <v/>
      </c>
      <c r="K1797" s="4" t="str">
        <f t="shared" ref="K1797:K1860" si="228">IF(J1797="","",J1797*E1797)</f>
        <v/>
      </c>
      <c r="L1797" s="19" t="str">
        <f t="shared" ref="L1797:L1860" si="229">IF(C1797="","",IF(COUNTIFS($A$5:$A$2003,A1797,$C$5:$C$2003,C1797)&gt;1,"⚠️ مادة مكررة بنفس الشهر",IF(OR(H1797="",H1797=0),"🆕 أول ظهور لهذه المادة",IF(D1797&gt;I1797,"ℹ️ زيادة كمية (شراء/تصحيح) - لا تُحتسب استهلاكاً",IF(D1797=I1797,"➖ لا تغيير","")))))</f>
        <v/>
      </c>
      <c r="M1797" s="12" t="str">
        <f>IF(A1797="","",IFERROR(INDEX(المدخلات!$M$4:$M$15,MATCH(A1797,المدخلات!$L$4:$L$15,0)),""))</f>
        <v/>
      </c>
      <c r="N1797" s="4" t="str">
        <f t="shared" ref="N1797:N1860" si="230">IF(OR(G1797="",F1797=""),"",IF(F1797="دولار أمريكي",IF(M1797="","⚠️ لا يوجد سعر صرف",G1797*M1797),G1797))</f>
        <v/>
      </c>
      <c r="O1797" s="4" t="str">
        <f t="shared" ref="O1797:O1860" si="231">IF(OR(K1797="",F1797=""),"",IF(F1797="دولار أمريكي",IF(M1797="","⚠️ لا يوجد سعر صرف",K1797*M1797),K1797))</f>
        <v/>
      </c>
    </row>
    <row r="1798" spans="1:15">
      <c r="A1798" s="11"/>
      <c r="B1798" s="19"/>
      <c r="C1798" s="19"/>
      <c r="D1798" s="55"/>
      <c r="E1798" s="56"/>
      <c r="F1798" s="19"/>
      <c r="G1798" s="4" t="str">
        <f t="shared" si="224"/>
        <v/>
      </c>
      <c r="H1798" s="11" t="str">
        <f t="shared" si="225"/>
        <v/>
      </c>
      <c r="I1798" s="55" t="str">
        <f t="shared" si="226"/>
        <v/>
      </c>
      <c r="J1798" s="55" t="str">
        <f t="shared" si="227"/>
        <v/>
      </c>
      <c r="K1798" s="4" t="str">
        <f t="shared" si="228"/>
        <v/>
      </c>
      <c r="L1798" s="19" t="str">
        <f t="shared" si="229"/>
        <v/>
      </c>
      <c r="M1798" s="12" t="str">
        <f>IF(A1798="","",IFERROR(INDEX(المدخلات!$M$4:$M$15,MATCH(A1798,المدخلات!$L$4:$L$15,0)),""))</f>
        <v/>
      </c>
      <c r="N1798" s="4" t="str">
        <f t="shared" si="230"/>
        <v/>
      </c>
      <c r="O1798" s="4" t="str">
        <f t="shared" si="231"/>
        <v/>
      </c>
    </row>
    <row r="1799" spans="1:15">
      <c r="A1799" s="11"/>
      <c r="B1799" s="19"/>
      <c r="C1799" s="19"/>
      <c r="D1799" s="55"/>
      <c r="E1799" s="56"/>
      <c r="F1799" s="19"/>
      <c r="G1799" s="4" t="str">
        <f t="shared" si="224"/>
        <v/>
      </c>
      <c r="H1799" s="11" t="str">
        <f t="shared" si="225"/>
        <v/>
      </c>
      <c r="I1799" s="55" t="str">
        <f t="shared" si="226"/>
        <v/>
      </c>
      <c r="J1799" s="55" t="str">
        <f t="shared" si="227"/>
        <v/>
      </c>
      <c r="K1799" s="4" t="str">
        <f t="shared" si="228"/>
        <v/>
      </c>
      <c r="L1799" s="19" t="str">
        <f t="shared" si="229"/>
        <v/>
      </c>
      <c r="M1799" s="12" t="str">
        <f>IF(A1799="","",IFERROR(INDEX(المدخلات!$M$4:$M$15,MATCH(A1799,المدخلات!$L$4:$L$15,0)),""))</f>
        <v/>
      </c>
      <c r="N1799" s="4" t="str">
        <f t="shared" si="230"/>
        <v/>
      </c>
      <c r="O1799" s="4" t="str">
        <f t="shared" si="231"/>
        <v/>
      </c>
    </row>
    <row r="1800" spans="1:15">
      <c r="A1800" s="11"/>
      <c r="B1800" s="19"/>
      <c r="C1800" s="19"/>
      <c r="D1800" s="55"/>
      <c r="E1800" s="56"/>
      <c r="F1800" s="19"/>
      <c r="G1800" s="4" t="str">
        <f t="shared" si="224"/>
        <v/>
      </c>
      <c r="H1800" s="11" t="str">
        <f t="shared" si="225"/>
        <v/>
      </c>
      <c r="I1800" s="55" t="str">
        <f t="shared" si="226"/>
        <v/>
      </c>
      <c r="J1800" s="55" t="str">
        <f t="shared" si="227"/>
        <v/>
      </c>
      <c r="K1800" s="4" t="str">
        <f t="shared" si="228"/>
        <v/>
      </c>
      <c r="L1800" s="19" t="str">
        <f t="shared" si="229"/>
        <v/>
      </c>
      <c r="M1800" s="12" t="str">
        <f>IF(A1800="","",IFERROR(INDEX(المدخلات!$M$4:$M$15,MATCH(A1800,المدخلات!$L$4:$L$15,0)),""))</f>
        <v/>
      </c>
      <c r="N1800" s="4" t="str">
        <f t="shared" si="230"/>
        <v/>
      </c>
      <c r="O1800" s="4" t="str">
        <f t="shared" si="231"/>
        <v/>
      </c>
    </row>
    <row r="1801" spans="1:15">
      <c r="A1801" s="11"/>
      <c r="B1801" s="19"/>
      <c r="C1801" s="19"/>
      <c r="D1801" s="55"/>
      <c r="E1801" s="56"/>
      <c r="F1801" s="19"/>
      <c r="G1801" s="4" t="str">
        <f t="shared" si="224"/>
        <v/>
      </c>
      <c r="H1801" s="11" t="str">
        <f t="shared" si="225"/>
        <v/>
      </c>
      <c r="I1801" s="55" t="str">
        <f t="shared" si="226"/>
        <v/>
      </c>
      <c r="J1801" s="55" t="str">
        <f t="shared" si="227"/>
        <v/>
      </c>
      <c r="K1801" s="4" t="str">
        <f t="shared" si="228"/>
        <v/>
      </c>
      <c r="L1801" s="19" t="str">
        <f t="shared" si="229"/>
        <v/>
      </c>
      <c r="M1801" s="12" t="str">
        <f>IF(A1801="","",IFERROR(INDEX(المدخلات!$M$4:$M$15,MATCH(A1801,المدخلات!$L$4:$L$15,0)),""))</f>
        <v/>
      </c>
      <c r="N1801" s="4" t="str">
        <f t="shared" si="230"/>
        <v/>
      </c>
      <c r="O1801" s="4" t="str">
        <f t="shared" si="231"/>
        <v/>
      </c>
    </row>
    <row r="1802" spans="1:15">
      <c r="A1802" s="11"/>
      <c r="B1802" s="19"/>
      <c r="C1802" s="19"/>
      <c r="D1802" s="55"/>
      <c r="E1802" s="56"/>
      <c r="F1802" s="19"/>
      <c r="G1802" s="4" t="str">
        <f t="shared" si="224"/>
        <v/>
      </c>
      <c r="H1802" s="11" t="str">
        <f t="shared" si="225"/>
        <v/>
      </c>
      <c r="I1802" s="55" t="str">
        <f t="shared" si="226"/>
        <v/>
      </c>
      <c r="J1802" s="55" t="str">
        <f t="shared" si="227"/>
        <v/>
      </c>
      <c r="K1802" s="4" t="str">
        <f t="shared" si="228"/>
        <v/>
      </c>
      <c r="L1802" s="19" t="str">
        <f t="shared" si="229"/>
        <v/>
      </c>
      <c r="M1802" s="12" t="str">
        <f>IF(A1802="","",IFERROR(INDEX(المدخلات!$M$4:$M$15,MATCH(A1802,المدخلات!$L$4:$L$15,0)),""))</f>
        <v/>
      </c>
      <c r="N1802" s="4" t="str">
        <f t="shared" si="230"/>
        <v/>
      </c>
      <c r="O1802" s="4" t="str">
        <f t="shared" si="231"/>
        <v/>
      </c>
    </row>
    <row r="1803" spans="1:15">
      <c r="A1803" s="11"/>
      <c r="B1803" s="19"/>
      <c r="C1803" s="19"/>
      <c r="D1803" s="55"/>
      <c r="E1803" s="56"/>
      <c r="F1803" s="19"/>
      <c r="G1803" s="4" t="str">
        <f t="shared" si="224"/>
        <v/>
      </c>
      <c r="H1803" s="11" t="str">
        <f t="shared" si="225"/>
        <v/>
      </c>
      <c r="I1803" s="55" t="str">
        <f t="shared" si="226"/>
        <v/>
      </c>
      <c r="J1803" s="55" t="str">
        <f t="shared" si="227"/>
        <v/>
      </c>
      <c r="K1803" s="4" t="str">
        <f t="shared" si="228"/>
        <v/>
      </c>
      <c r="L1803" s="19" t="str">
        <f t="shared" si="229"/>
        <v/>
      </c>
      <c r="M1803" s="12" t="str">
        <f>IF(A1803="","",IFERROR(INDEX(المدخلات!$M$4:$M$15,MATCH(A1803,المدخلات!$L$4:$L$15,0)),""))</f>
        <v/>
      </c>
      <c r="N1803" s="4" t="str">
        <f t="shared" si="230"/>
        <v/>
      </c>
      <c r="O1803" s="4" t="str">
        <f t="shared" si="231"/>
        <v/>
      </c>
    </row>
    <row r="1804" spans="1:15">
      <c r="A1804" s="11"/>
      <c r="B1804" s="19"/>
      <c r="C1804" s="19"/>
      <c r="D1804" s="55"/>
      <c r="E1804" s="56"/>
      <c r="F1804" s="19"/>
      <c r="G1804" s="4" t="str">
        <f t="shared" si="224"/>
        <v/>
      </c>
      <c r="H1804" s="11" t="str">
        <f t="shared" si="225"/>
        <v/>
      </c>
      <c r="I1804" s="55" t="str">
        <f t="shared" si="226"/>
        <v/>
      </c>
      <c r="J1804" s="55" t="str">
        <f t="shared" si="227"/>
        <v/>
      </c>
      <c r="K1804" s="4" t="str">
        <f t="shared" si="228"/>
        <v/>
      </c>
      <c r="L1804" s="19" t="str">
        <f t="shared" si="229"/>
        <v/>
      </c>
      <c r="M1804" s="12" t="str">
        <f>IF(A1804="","",IFERROR(INDEX(المدخلات!$M$4:$M$15,MATCH(A1804,المدخلات!$L$4:$L$15,0)),""))</f>
        <v/>
      </c>
      <c r="N1804" s="4" t="str">
        <f t="shared" si="230"/>
        <v/>
      </c>
      <c r="O1804" s="4" t="str">
        <f t="shared" si="231"/>
        <v/>
      </c>
    </row>
    <row r="1805" spans="1:15">
      <c r="A1805" s="11"/>
      <c r="B1805" s="19"/>
      <c r="C1805" s="19"/>
      <c r="D1805" s="55"/>
      <c r="E1805" s="56"/>
      <c r="F1805" s="19"/>
      <c r="G1805" s="4" t="str">
        <f t="shared" si="224"/>
        <v/>
      </c>
      <c r="H1805" s="11" t="str">
        <f t="shared" si="225"/>
        <v/>
      </c>
      <c r="I1805" s="55" t="str">
        <f t="shared" si="226"/>
        <v/>
      </c>
      <c r="J1805" s="55" t="str">
        <f t="shared" si="227"/>
        <v/>
      </c>
      <c r="K1805" s="4" t="str">
        <f t="shared" si="228"/>
        <v/>
      </c>
      <c r="L1805" s="19" t="str">
        <f t="shared" si="229"/>
        <v/>
      </c>
      <c r="M1805" s="12" t="str">
        <f>IF(A1805="","",IFERROR(INDEX(المدخلات!$M$4:$M$15,MATCH(A1805,المدخلات!$L$4:$L$15,0)),""))</f>
        <v/>
      </c>
      <c r="N1805" s="4" t="str">
        <f t="shared" si="230"/>
        <v/>
      </c>
      <c r="O1805" s="4" t="str">
        <f t="shared" si="231"/>
        <v/>
      </c>
    </row>
    <row r="1806" spans="1:15">
      <c r="A1806" s="11"/>
      <c r="B1806" s="19"/>
      <c r="C1806" s="19"/>
      <c r="D1806" s="55"/>
      <c r="E1806" s="56"/>
      <c r="F1806" s="19"/>
      <c r="G1806" s="4" t="str">
        <f t="shared" si="224"/>
        <v/>
      </c>
      <c r="H1806" s="11" t="str">
        <f t="shared" si="225"/>
        <v/>
      </c>
      <c r="I1806" s="55" t="str">
        <f t="shared" si="226"/>
        <v/>
      </c>
      <c r="J1806" s="55" t="str">
        <f t="shared" si="227"/>
        <v/>
      </c>
      <c r="K1806" s="4" t="str">
        <f t="shared" si="228"/>
        <v/>
      </c>
      <c r="L1806" s="19" t="str">
        <f t="shared" si="229"/>
        <v/>
      </c>
      <c r="M1806" s="12" t="str">
        <f>IF(A1806="","",IFERROR(INDEX(المدخلات!$M$4:$M$15,MATCH(A1806,المدخلات!$L$4:$L$15,0)),""))</f>
        <v/>
      </c>
      <c r="N1806" s="4" t="str">
        <f t="shared" si="230"/>
        <v/>
      </c>
      <c r="O1806" s="4" t="str">
        <f t="shared" si="231"/>
        <v/>
      </c>
    </row>
    <row r="1807" spans="1:15">
      <c r="A1807" s="11"/>
      <c r="B1807" s="19"/>
      <c r="C1807" s="19"/>
      <c r="D1807" s="55"/>
      <c r="E1807" s="56"/>
      <c r="F1807" s="19"/>
      <c r="G1807" s="4" t="str">
        <f t="shared" si="224"/>
        <v/>
      </c>
      <c r="H1807" s="11" t="str">
        <f t="shared" si="225"/>
        <v/>
      </c>
      <c r="I1807" s="55" t="str">
        <f t="shared" si="226"/>
        <v/>
      </c>
      <c r="J1807" s="55" t="str">
        <f t="shared" si="227"/>
        <v/>
      </c>
      <c r="K1807" s="4" t="str">
        <f t="shared" si="228"/>
        <v/>
      </c>
      <c r="L1807" s="19" t="str">
        <f t="shared" si="229"/>
        <v/>
      </c>
      <c r="M1807" s="12" t="str">
        <f>IF(A1807="","",IFERROR(INDEX(المدخلات!$M$4:$M$15,MATCH(A1807,المدخلات!$L$4:$L$15,0)),""))</f>
        <v/>
      </c>
      <c r="N1807" s="4" t="str">
        <f t="shared" si="230"/>
        <v/>
      </c>
      <c r="O1807" s="4" t="str">
        <f t="shared" si="231"/>
        <v/>
      </c>
    </row>
    <row r="1808" spans="1:15">
      <c r="A1808" s="11"/>
      <c r="B1808" s="19"/>
      <c r="C1808" s="19"/>
      <c r="D1808" s="55"/>
      <c r="E1808" s="56"/>
      <c r="F1808" s="19"/>
      <c r="G1808" s="4" t="str">
        <f t="shared" si="224"/>
        <v/>
      </c>
      <c r="H1808" s="11" t="str">
        <f t="shared" si="225"/>
        <v/>
      </c>
      <c r="I1808" s="55" t="str">
        <f t="shared" si="226"/>
        <v/>
      </c>
      <c r="J1808" s="55" t="str">
        <f t="shared" si="227"/>
        <v/>
      </c>
      <c r="K1808" s="4" t="str">
        <f t="shared" si="228"/>
        <v/>
      </c>
      <c r="L1808" s="19" t="str">
        <f t="shared" si="229"/>
        <v/>
      </c>
      <c r="M1808" s="12" t="str">
        <f>IF(A1808="","",IFERROR(INDEX(المدخلات!$M$4:$M$15,MATCH(A1808,المدخلات!$L$4:$L$15,0)),""))</f>
        <v/>
      </c>
      <c r="N1808" s="4" t="str">
        <f t="shared" si="230"/>
        <v/>
      </c>
      <c r="O1808" s="4" t="str">
        <f t="shared" si="231"/>
        <v/>
      </c>
    </row>
    <row r="1809" spans="1:15">
      <c r="A1809" s="11"/>
      <c r="B1809" s="19"/>
      <c r="C1809" s="19"/>
      <c r="D1809" s="55"/>
      <c r="E1809" s="56"/>
      <c r="F1809" s="19"/>
      <c r="G1809" s="4" t="str">
        <f t="shared" si="224"/>
        <v/>
      </c>
      <c r="H1809" s="11" t="str">
        <f t="shared" si="225"/>
        <v/>
      </c>
      <c r="I1809" s="55" t="str">
        <f t="shared" si="226"/>
        <v/>
      </c>
      <c r="J1809" s="55" t="str">
        <f t="shared" si="227"/>
        <v/>
      </c>
      <c r="K1809" s="4" t="str">
        <f t="shared" si="228"/>
        <v/>
      </c>
      <c r="L1809" s="19" t="str">
        <f t="shared" si="229"/>
        <v/>
      </c>
      <c r="M1809" s="12" t="str">
        <f>IF(A1809="","",IFERROR(INDEX(المدخلات!$M$4:$M$15,MATCH(A1809,المدخلات!$L$4:$L$15,0)),""))</f>
        <v/>
      </c>
      <c r="N1809" s="4" t="str">
        <f t="shared" si="230"/>
        <v/>
      </c>
      <c r="O1809" s="4" t="str">
        <f t="shared" si="231"/>
        <v/>
      </c>
    </row>
    <row r="1810" spans="1:15">
      <c r="A1810" s="11"/>
      <c r="B1810" s="19"/>
      <c r="C1810" s="19"/>
      <c r="D1810" s="55"/>
      <c r="E1810" s="56"/>
      <c r="F1810" s="19"/>
      <c r="G1810" s="4" t="str">
        <f t="shared" si="224"/>
        <v/>
      </c>
      <c r="H1810" s="11" t="str">
        <f t="shared" si="225"/>
        <v/>
      </c>
      <c r="I1810" s="55" t="str">
        <f t="shared" si="226"/>
        <v/>
      </c>
      <c r="J1810" s="55" t="str">
        <f t="shared" si="227"/>
        <v/>
      </c>
      <c r="K1810" s="4" t="str">
        <f t="shared" si="228"/>
        <v/>
      </c>
      <c r="L1810" s="19" t="str">
        <f t="shared" si="229"/>
        <v/>
      </c>
      <c r="M1810" s="12" t="str">
        <f>IF(A1810="","",IFERROR(INDEX(المدخلات!$M$4:$M$15,MATCH(A1810,المدخلات!$L$4:$L$15,0)),""))</f>
        <v/>
      </c>
      <c r="N1810" s="4" t="str">
        <f t="shared" si="230"/>
        <v/>
      </c>
      <c r="O1810" s="4" t="str">
        <f t="shared" si="231"/>
        <v/>
      </c>
    </row>
    <row r="1811" spans="1:15">
      <c r="A1811" s="11"/>
      <c r="B1811" s="19"/>
      <c r="C1811" s="19"/>
      <c r="D1811" s="55"/>
      <c r="E1811" s="56"/>
      <c r="F1811" s="19"/>
      <c r="G1811" s="4" t="str">
        <f t="shared" si="224"/>
        <v/>
      </c>
      <c r="H1811" s="11" t="str">
        <f t="shared" si="225"/>
        <v/>
      </c>
      <c r="I1811" s="55" t="str">
        <f t="shared" si="226"/>
        <v/>
      </c>
      <c r="J1811" s="55" t="str">
        <f t="shared" si="227"/>
        <v/>
      </c>
      <c r="K1811" s="4" t="str">
        <f t="shared" si="228"/>
        <v/>
      </c>
      <c r="L1811" s="19" t="str">
        <f t="shared" si="229"/>
        <v/>
      </c>
      <c r="M1811" s="12" t="str">
        <f>IF(A1811="","",IFERROR(INDEX(المدخلات!$M$4:$M$15,MATCH(A1811,المدخلات!$L$4:$L$15,0)),""))</f>
        <v/>
      </c>
      <c r="N1811" s="4" t="str">
        <f t="shared" si="230"/>
        <v/>
      </c>
      <c r="O1811" s="4" t="str">
        <f t="shared" si="231"/>
        <v/>
      </c>
    </row>
    <row r="1812" spans="1:15">
      <c r="A1812" s="11"/>
      <c r="B1812" s="19"/>
      <c r="C1812" s="19"/>
      <c r="D1812" s="55"/>
      <c r="E1812" s="56"/>
      <c r="F1812" s="19"/>
      <c r="G1812" s="4" t="str">
        <f t="shared" si="224"/>
        <v/>
      </c>
      <c r="H1812" s="11" t="str">
        <f t="shared" si="225"/>
        <v/>
      </c>
      <c r="I1812" s="55" t="str">
        <f t="shared" si="226"/>
        <v/>
      </c>
      <c r="J1812" s="55" t="str">
        <f t="shared" si="227"/>
        <v/>
      </c>
      <c r="K1812" s="4" t="str">
        <f t="shared" si="228"/>
        <v/>
      </c>
      <c r="L1812" s="19" t="str">
        <f t="shared" si="229"/>
        <v/>
      </c>
      <c r="M1812" s="12" t="str">
        <f>IF(A1812="","",IFERROR(INDEX(المدخلات!$M$4:$M$15,MATCH(A1812,المدخلات!$L$4:$L$15,0)),""))</f>
        <v/>
      </c>
      <c r="N1812" s="4" t="str">
        <f t="shared" si="230"/>
        <v/>
      </c>
      <c r="O1812" s="4" t="str">
        <f t="shared" si="231"/>
        <v/>
      </c>
    </row>
    <row r="1813" spans="1:15">
      <c r="A1813" s="11"/>
      <c r="B1813" s="19"/>
      <c r="C1813" s="19"/>
      <c r="D1813" s="55"/>
      <c r="E1813" s="56"/>
      <c r="F1813" s="19"/>
      <c r="G1813" s="4" t="str">
        <f t="shared" si="224"/>
        <v/>
      </c>
      <c r="H1813" s="11" t="str">
        <f t="shared" si="225"/>
        <v/>
      </c>
      <c r="I1813" s="55" t="str">
        <f t="shared" si="226"/>
        <v/>
      </c>
      <c r="J1813" s="55" t="str">
        <f t="shared" si="227"/>
        <v/>
      </c>
      <c r="K1813" s="4" t="str">
        <f t="shared" si="228"/>
        <v/>
      </c>
      <c r="L1813" s="19" t="str">
        <f t="shared" si="229"/>
        <v/>
      </c>
      <c r="M1813" s="12" t="str">
        <f>IF(A1813="","",IFERROR(INDEX(المدخلات!$M$4:$M$15,MATCH(A1813,المدخلات!$L$4:$L$15,0)),""))</f>
        <v/>
      </c>
      <c r="N1813" s="4" t="str">
        <f t="shared" si="230"/>
        <v/>
      </c>
      <c r="O1813" s="4" t="str">
        <f t="shared" si="231"/>
        <v/>
      </c>
    </row>
    <row r="1814" spans="1:15">
      <c r="A1814" s="11"/>
      <c r="B1814" s="19"/>
      <c r="C1814" s="19"/>
      <c r="D1814" s="55"/>
      <c r="E1814" s="56"/>
      <c r="F1814" s="19"/>
      <c r="G1814" s="4" t="str">
        <f t="shared" si="224"/>
        <v/>
      </c>
      <c r="H1814" s="11" t="str">
        <f t="shared" si="225"/>
        <v/>
      </c>
      <c r="I1814" s="55" t="str">
        <f t="shared" si="226"/>
        <v/>
      </c>
      <c r="J1814" s="55" t="str">
        <f t="shared" si="227"/>
        <v/>
      </c>
      <c r="K1814" s="4" t="str">
        <f t="shared" si="228"/>
        <v/>
      </c>
      <c r="L1814" s="19" t="str">
        <f t="shared" si="229"/>
        <v/>
      </c>
      <c r="M1814" s="12" t="str">
        <f>IF(A1814="","",IFERROR(INDEX(المدخلات!$M$4:$M$15,MATCH(A1814,المدخلات!$L$4:$L$15,0)),""))</f>
        <v/>
      </c>
      <c r="N1814" s="4" t="str">
        <f t="shared" si="230"/>
        <v/>
      </c>
      <c r="O1814" s="4" t="str">
        <f t="shared" si="231"/>
        <v/>
      </c>
    </row>
    <row r="1815" spans="1:15">
      <c r="A1815" s="11"/>
      <c r="B1815" s="19"/>
      <c r="C1815" s="19"/>
      <c r="D1815" s="55"/>
      <c r="E1815" s="56"/>
      <c r="F1815" s="19"/>
      <c r="G1815" s="4" t="str">
        <f t="shared" si="224"/>
        <v/>
      </c>
      <c r="H1815" s="11" t="str">
        <f t="shared" si="225"/>
        <v/>
      </c>
      <c r="I1815" s="55" t="str">
        <f t="shared" si="226"/>
        <v/>
      </c>
      <c r="J1815" s="55" t="str">
        <f t="shared" si="227"/>
        <v/>
      </c>
      <c r="K1815" s="4" t="str">
        <f t="shared" si="228"/>
        <v/>
      </c>
      <c r="L1815" s="19" t="str">
        <f t="shared" si="229"/>
        <v/>
      </c>
      <c r="M1815" s="12" t="str">
        <f>IF(A1815="","",IFERROR(INDEX(المدخلات!$M$4:$M$15,MATCH(A1815,المدخلات!$L$4:$L$15,0)),""))</f>
        <v/>
      </c>
      <c r="N1815" s="4" t="str">
        <f t="shared" si="230"/>
        <v/>
      </c>
      <c r="O1815" s="4" t="str">
        <f t="shared" si="231"/>
        <v/>
      </c>
    </row>
    <row r="1816" spans="1:15">
      <c r="A1816" s="11"/>
      <c r="B1816" s="19"/>
      <c r="C1816" s="19"/>
      <c r="D1816" s="55"/>
      <c r="E1816" s="56"/>
      <c r="F1816" s="19"/>
      <c r="G1816" s="4" t="str">
        <f t="shared" si="224"/>
        <v/>
      </c>
      <c r="H1816" s="11" t="str">
        <f t="shared" si="225"/>
        <v/>
      </c>
      <c r="I1816" s="55" t="str">
        <f t="shared" si="226"/>
        <v/>
      </c>
      <c r="J1816" s="55" t="str">
        <f t="shared" si="227"/>
        <v/>
      </c>
      <c r="K1816" s="4" t="str">
        <f t="shared" si="228"/>
        <v/>
      </c>
      <c r="L1816" s="19" t="str">
        <f t="shared" si="229"/>
        <v/>
      </c>
      <c r="M1816" s="12" t="str">
        <f>IF(A1816="","",IFERROR(INDEX(المدخلات!$M$4:$M$15,MATCH(A1816,المدخلات!$L$4:$L$15,0)),""))</f>
        <v/>
      </c>
      <c r="N1816" s="4" t="str">
        <f t="shared" si="230"/>
        <v/>
      </c>
      <c r="O1816" s="4" t="str">
        <f t="shared" si="231"/>
        <v/>
      </c>
    </row>
    <row r="1817" spans="1:15">
      <c r="A1817" s="11"/>
      <c r="B1817" s="19"/>
      <c r="C1817" s="19"/>
      <c r="D1817" s="55"/>
      <c r="E1817" s="56"/>
      <c r="F1817" s="19"/>
      <c r="G1817" s="4" t="str">
        <f t="shared" si="224"/>
        <v/>
      </c>
      <c r="H1817" s="11" t="str">
        <f t="shared" si="225"/>
        <v/>
      </c>
      <c r="I1817" s="55" t="str">
        <f t="shared" si="226"/>
        <v/>
      </c>
      <c r="J1817" s="55" t="str">
        <f t="shared" si="227"/>
        <v/>
      </c>
      <c r="K1817" s="4" t="str">
        <f t="shared" si="228"/>
        <v/>
      </c>
      <c r="L1817" s="19" t="str">
        <f t="shared" si="229"/>
        <v/>
      </c>
      <c r="M1817" s="12" t="str">
        <f>IF(A1817="","",IFERROR(INDEX(المدخلات!$M$4:$M$15,MATCH(A1817,المدخلات!$L$4:$L$15,0)),""))</f>
        <v/>
      </c>
      <c r="N1817" s="4" t="str">
        <f t="shared" si="230"/>
        <v/>
      </c>
      <c r="O1817" s="4" t="str">
        <f t="shared" si="231"/>
        <v/>
      </c>
    </row>
    <row r="1818" spans="1:15">
      <c r="A1818" s="11"/>
      <c r="B1818" s="19"/>
      <c r="C1818" s="19"/>
      <c r="D1818" s="55"/>
      <c r="E1818" s="56"/>
      <c r="F1818" s="19"/>
      <c r="G1818" s="4" t="str">
        <f t="shared" si="224"/>
        <v/>
      </c>
      <c r="H1818" s="11" t="str">
        <f t="shared" si="225"/>
        <v/>
      </c>
      <c r="I1818" s="55" t="str">
        <f t="shared" si="226"/>
        <v/>
      </c>
      <c r="J1818" s="55" t="str">
        <f t="shared" si="227"/>
        <v/>
      </c>
      <c r="K1818" s="4" t="str">
        <f t="shared" si="228"/>
        <v/>
      </c>
      <c r="L1818" s="19" t="str">
        <f t="shared" si="229"/>
        <v/>
      </c>
      <c r="M1818" s="12" t="str">
        <f>IF(A1818="","",IFERROR(INDEX(المدخلات!$M$4:$M$15,MATCH(A1818,المدخلات!$L$4:$L$15,0)),""))</f>
        <v/>
      </c>
      <c r="N1818" s="4" t="str">
        <f t="shared" si="230"/>
        <v/>
      </c>
      <c r="O1818" s="4" t="str">
        <f t="shared" si="231"/>
        <v/>
      </c>
    </row>
    <row r="1819" spans="1:15">
      <c r="A1819" s="11"/>
      <c r="B1819" s="19"/>
      <c r="C1819" s="19"/>
      <c r="D1819" s="55"/>
      <c r="E1819" s="56"/>
      <c r="F1819" s="19"/>
      <c r="G1819" s="4" t="str">
        <f t="shared" si="224"/>
        <v/>
      </c>
      <c r="H1819" s="11" t="str">
        <f t="shared" si="225"/>
        <v/>
      </c>
      <c r="I1819" s="55" t="str">
        <f t="shared" si="226"/>
        <v/>
      </c>
      <c r="J1819" s="55" t="str">
        <f t="shared" si="227"/>
        <v/>
      </c>
      <c r="K1819" s="4" t="str">
        <f t="shared" si="228"/>
        <v/>
      </c>
      <c r="L1819" s="19" t="str">
        <f t="shared" si="229"/>
        <v/>
      </c>
      <c r="M1819" s="12" t="str">
        <f>IF(A1819="","",IFERROR(INDEX(المدخلات!$M$4:$M$15,MATCH(A1819,المدخلات!$L$4:$L$15,0)),""))</f>
        <v/>
      </c>
      <c r="N1819" s="4" t="str">
        <f t="shared" si="230"/>
        <v/>
      </c>
      <c r="O1819" s="4" t="str">
        <f t="shared" si="231"/>
        <v/>
      </c>
    </row>
    <row r="1820" spans="1:15">
      <c r="A1820" s="11"/>
      <c r="B1820" s="19"/>
      <c r="C1820" s="19"/>
      <c r="D1820" s="55"/>
      <c r="E1820" s="56"/>
      <c r="F1820" s="19"/>
      <c r="G1820" s="4" t="str">
        <f t="shared" si="224"/>
        <v/>
      </c>
      <c r="H1820" s="11" t="str">
        <f t="shared" si="225"/>
        <v/>
      </c>
      <c r="I1820" s="55" t="str">
        <f t="shared" si="226"/>
        <v/>
      </c>
      <c r="J1820" s="55" t="str">
        <f t="shared" si="227"/>
        <v/>
      </c>
      <c r="K1820" s="4" t="str">
        <f t="shared" si="228"/>
        <v/>
      </c>
      <c r="L1820" s="19" t="str">
        <f t="shared" si="229"/>
        <v/>
      </c>
      <c r="M1820" s="12" t="str">
        <f>IF(A1820="","",IFERROR(INDEX(المدخلات!$M$4:$M$15,MATCH(A1820,المدخلات!$L$4:$L$15,0)),""))</f>
        <v/>
      </c>
      <c r="N1820" s="4" t="str">
        <f t="shared" si="230"/>
        <v/>
      </c>
      <c r="O1820" s="4" t="str">
        <f t="shared" si="231"/>
        <v/>
      </c>
    </row>
    <row r="1821" spans="1:15">
      <c r="A1821" s="11"/>
      <c r="B1821" s="19"/>
      <c r="C1821" s="19"/>
      <c r="D1821" s="55"/>
      <c r="E1821" s="56"/>
      <c r="F1821" s="19"/>
      <c r="G1821" s="4" t="str">
        <f t="shared" si="224"/>
        <v/>
      </c>
      <c r="H1821" s="11" t="str">
        <f t="shared" si="225"/>
        <v/>
      </c>
      <c r="I1821" s="55" t="str">
        <f t="shared" si="226"/>
        <v/>
      </c>
      <c r="J1821" s="55" t="str">
        <f t="shared" si="227"/>
        <v/>
      </c>
      <c r="K1821" s="4" t="str">
        <f t="shared" si="228"/>
        <v/>
      </c>
      <c r="L1821" s="19" t="str">
        <f t="shared" si="229"/>
        <v/>
      </c>
      <c r="M1821" s="12" t="str">
        <f>IF(A1821="","",IFERROR(INDEX(المدخلات!$M$4:$M$15,MATCH(A1821,المدخلات!$L$4:$L$15,0)),""))</f>
        <v/>
      </c>
      <c r="N1821" s="4" t="str">
        <f t="shared" si="230"/>
        <v/>
      </c>
      <c r="O1821" s="4" t="str">
        <f t="shared" si="231"/>
        <v/>
      </c>
    </row>
    <row r="1822" spans="1:15">
      <c r="A1822" s="11"/>
      <c r="B1822" s="19"/>
      <c r="C1822" s="19"/>
      <c r="D1822" s="55"/>
      <c r="E1822" s="56"/>
      <c r="F1822" s="19"/>
      <c r="G1822" s="4" t="str">
        <f t="shared" si="224"/>
        <v/>
      </c>
      <c r="H1822" s="11" t="str">
        <f t="shared" si="225"/>
        <v/>
      </c>
      <c r="I1822" s="55" t="str">
        <f t="shared" si="226"/>
        <v/>
      </c>
      <c r="J1822" s="55" t="str">
        <f t="shared" si="227"/>
        <v/>
      </c>
      <c r="K1822" s="4" t="str">
        <f t="shared" si="228"/>
        <v/>
      </c>
      <c r="L1822" s="19" t="str">
        <f t="shared" si="229"/>
        <v/>
      </c>
      <c r="M1822" s="12" t="str">
        <f>IF(A1822="","",IFERROR(INDEX(المدخلات!$M$4:$M$15,MATCH(A1822,المدخلات!$L$4:$L$15,0)),""))</f>
        <v/>
      </c>
      <c r="N1822" s="4" t="str">
        <f t="shared" si="230"/>
        <v/>
      </c>
      <c r="O1822" s="4" t="str">
        <f t="shared" si="231"/>
        <v/>
      </c>
    </row>
    <row r="1823" spans="1:15">
      <c r="A1823" s="11"/>
      <c r="B1823" s="19"/>
      <c r="C1823" s="19"/>
      <c r="D1823" s="55"/>
      <c r="E1823" s="56"/>
      <c r="F1823" s="19"/>
      <c r="G1823" s="4" t="str">
        <f t="shared" si="224"/>
        <v/>
      </c>
      <c r="H1823" s="11" t="str">
        <f t="shared" si="225"/>
        <v/>
      </c>
      <c r="I1823" s="55" t="str">
        <f t="shared" si="226"/>
        <v/>
      </c>
      <c r="J1823" s="55" t="str">
        <f t="shared" si="227"/>
        <v/>
      </c>
      <c r="K1823" s="4" t="str">
        <f t="shared" si="228"/>
        <v/>
      </c>
      <c r="L1823" s="19" t="str">
        <f t="shared" si="229"/>
        <v/>
      </c>
      <c r="M1823" s="12" t="str">
        <f>IF(A1823="","",IFERROR(INDEX(المدخلات!$M$4:$M$15,MATCH(A1823,المدخلات!$L$4:$L$15,0)),""))</f>
        <v/>
      </c>
      <c r="N1823" s="4" t="str">
        <f t="shared" si="230"/>
        <v/>
      </c>
      <c r="O1823" s="4" t="str">
        <f t="shared" si="231"/>
        <v/>
      </c>
    </row>
    <row r="1824" spans="1:15">
      <c r="A1824" s="11"/>
      <c r="B1824" s="19"/>
      <c r="C1824" s="19"/>
      <c r="D1824" s="55"/>
      <c r="E1824" s="56"/>
      <c r="F1824" s="19"/>
      <c r="G1824" s="4" t="str">
        <f t="shared" si="224"/>
        <v/>
      </c>
      <c r="H1824" s="11" t="str">
        <f t="shared" si="225"/>
        <v/>
      </c>
      <c r="I1824" s="55" t="str">
        <f t="shared" si="226"/>
        <v/>
      </c>
      <c r="J1824" s="55" t="str">
        <f t="shared" si="227"/>
        <v/>
      </c>
      <c r="K1824" s="4" t="str">
        <f t="shared" si="228"/>
        <v/>
      </c>
      <c r="L1824" s="19" t="str">
        <f t="shared" si="229"/>
        <v/>
      </c>
      <c r="M1824" s="12" t="str">
        <f>IF(A1824="","",IFERROR(INDEX(المدخلات!$M$4:$M$15,MATCH(A1824,المدخلات!$L$4:$L$15,0)),""))</f>
        <v/>
      </c>
      <c r="N1824" s="4" t="str">
        <f t="shared" si="230"/>
        <v/>
      </c>
      <c r="O1824" s="4" t="str">
        <f t="shared" si="231"/>
        <v/>
      </c>
    </row>
    <row r="1825" spans="1:15">
      <c r="A1825" s="11"/>
      <c r="B1825" s="19"/>
      <c r="C1825" s="19"/>
      <c r="D1825" s="55"/>
      <c r="E1825" s="56"/>
      <c r="F1825" s="19"/>
      <c r="G1825" s="4" t="str">
        <f t="shared" si="224"/>
        <v/>
      </c>
      <c r="H1825" s="11" t="str">
        <f t="shared" si="225"/>
        <v/>
      </c>
      <c r="I1825" s="55" t="str">
        <f t="shared" si="226"/>
        <v/>
      </c>
      <c r="J1825" s="55" t="str">
        <f t="shared" si="227"/>
        <v/>
      </c>
      <c r="K1825" s="4" t="str">
        <f t="shared" si="228"/>
        <v/>
      </c>
      <c r="L1825" s="19" t="str">
        <f t="shared" si="229"/>
        <v/>
      </c>
      <c r="M1825" s="12" t="str">
        <f>IF(A1825="","",IFERROR(INDEX(المدخلات!$M$4:$M$15,MATCH(A1825,المدخلات!$L$4:$L$15,0)),""))</f>
        <v/>
      </c>
      <c r="N1825" s="4" t="str">
        <f t="shared" si="230"/>
        <v/>
      </c>
      <c r="O1825" s="4" t="str">
        <f t="shared" si="231"/>
        <v/>
      </c>
    </row>
    <row r="1826" spans="1:15">
      <c r="A1826" s="11"/>
      <c r="B1826" s="19"/>
      <c r="C1826" s="19"/>
      <c r="D1826" s="55"/>
      <c r="E1826" s="56"/>
      <c r="F1826" s="19"/>
      <c r="G1826" s="4" t="str">
        <f t="shared" si="224"/>
        <v/>
      </c>
      <c r="H1826" s="11" t="str">
        <f t="shared" si="225"/>
        <v/>
      </c>
      <c r="I1826" s="55" t="str">
        <f t="shared" si="226"/>
        <v/>
      </c>
      <c r="J1826" s="55" t="str">
        <f t="shared" si="227"/>
        <v/>
      </c>
      <c r="K1826" s="4" t="str">
        <f t="shared" si="228"/>
        <v/>
      </c>
      <c r="L1826" s="19" t="str">
        <f t="shared" si="229"/>
        <v/>
      </c>
      <c r="M1826" s="12" t="str">
        <f>IF(A1826="","",IFERROR(INDEX(المدخلات!$M$4:$M$15,MATCH(A1826,المدخلات!$L$4:$L$15,0)),""))</f>
        <v/>
      </c>
      <c r="N1826" s="4" t="str">
        <f t="shared" si="230"/>
        <v/>
      </c>
      <c r="O1826" s="4" t="str">
        <f t="shared" si="231"/>
        <v/>
      </c>
    </row>
    <row r="1827" spans="1:15">
      <c r="A1827" s="11"/>
      <c r="B1827" s="19"/>
      <c r="C1827" s="19"/>
      <c r="D1827" s="55"/>
      <c r="E1827" s="56"/>
      <c r="F1827" s="19"/>
      <c r="G1827" s="4" t="str">
        <f t="shared" si="224"/>
        <v/>
      </c>
      <c r="H1827" s="11" t="str">
        <f t="shared" si="225"/>
        <v/>
      </c>
      <c r="I1827" s="55" t="str">
        <f t="shared" si="226"/>
        <v/>
      </c>
      <c r="J1827" s="55" t="str">
        <f t="shared" si="227"/>
        <v/>
      </c>
      <c r="K1827" s="4" t="str">
        <f t="shared" si="228"/>
        <v/>
      </c>
      <c r="L1827" s="19" t="str">
        <f t="shared" si="229"/>
        <v/>
      </c>
      <c r="M1827" s="12" t="str">
        <f>IF(A1827="","",IFERROR(INDEX(المدخلات!$M$4:$M$15,MATCH(A1827,المدخلات!$L$4:$L$15,0)),""))</f>
        <v/>
      </c>
      <c r="N1827" s="4" t="str">
        <f t="shared" si="230"/>
        <v/>
      </c>
      <c r="O1827" s="4" t="str">
        <f t="shared" si="231"/>
        <v/>
      </c>
    </row>
    <row r="1828" spans="1:15">
      <c r="A1828" s="11"/>
      <c r="B1828" s="19"/>
      <c r="C1828" s="19"/>
      <c r="D1828" s="55"/>
      <c r="E1828" s="56"/>
      <c r="F1828" s="19"/>
      <c r="G1828" s="4" t="str">
        <f t="shared" si="224"/>
        <v/>
      </c>
      <c r="H1828" s="11" t="str">
        <f t="shared" si="225"/>
        <v/>
      </c>
      <c r="I1828" s="55" t="str">
        <f t="shared" si="226"/>
        <v/>
      </c>
      <c r="J1828" s="55" t="str">
        <f t="shared" si="227"/>
        <v/>
      </c>
      <c r="K1828" s="4" t="str">
        <f t="shared" si="228"/>
        <v/>
      </c>
      <c r="L1828" s="19" t="str">
        <f t="shared" si="229"/>
        <v/>
      </c>
      <c r="M1828" s="12" t="str">
        <f>IF(A1828="","",IFERROR(INDEX(المدخلات!$M$4:$M$15,MATCH(A1828,المدخلات!$L$4:$L$15,0)),""))</f>
        <v/>
      </c>
      <c r="N1828" s="4" t="str">
        <f t="shared" si="230"/>
        <v/>
      </c>
      <c r="O1828" s="4" t="str">
        <f t="shared" si="231"/>
        <v/>
      </c>
    </row>
    <row r="1829" spans="1:15">
      <c r="A1829" s="11"/>
      <c r="B1829" s="19"/>
      <c r="C1829" s="19"/>
      <c r="D1829" s="55"/>
      <c r="E1829" s="56"/>
      <c r="F1829" s="19"/>
      <c r="G1829" s="4" t="str">
        <f t="shared" si="224"/>
        <v/>
      </c>
      <c r="H1829" s="11" t="str">
        <f t="shared" si="225"/>
        <v/>
      </c>
      <c r="I1829" s="55" t="str">
        <f t="shared" si="226"/>
        <v/>
      </c>
      <c r="J1829" s="55" t="str">
        <f t="shared" si="227"/>
        <v/>
      </c>
      <c r="K1829" s="4" t="str">
        <f t="shared" si="228"/>
        <v/>
      </c>
      <c r="L1829" s="19" t="str">
        <f t="shared" si="229"/>
        <v/>
      </c>
      <c r="M1829" s="12" t="str">
        <f>IF(A1829="","",IFERROR(INDEX(المدخلات!$M$4:$M$15,MATCH(A1829,المدخلات!$L$4:$L$15,0)),""))</f>
        <v/>
      </c>
      <c r="N1829" s="4" t="str">
        <f t="shared" si="230"/>
        <v/>
      </c>
      <c r="O1829" s="4" t="str">
        <f t="shared" si="231"/>
        <v/>
      </c>
    </row>
    <row r="1830" spans="1:15">
      <c r="A1830" s="11"/>
      <c r="B1830" s="19"/>
      <c r="C1830" s="19"/>
      <c r="D1830" s="55"/>
      <c r="E1830" s="56"/>
      <c r="F1830" s="19"/>
      <c r="G1830" s="4" t="str">
        <f t="shared" si="224"/>
        <v/>
      </c>
      <c r="H1830" s="11" t="str">
        <f t="shared" si="225"/>
        <v/>
      </c>
      <c r="I1830" s="55" t="str">
        <f t="shared" si="226"/>
        <v/>
      </c>
      <c r="J1830" s="55" t="str">
        <f t="shared" si="227"/>
        <v/>
      </c>
      <c r="K1830" s="4" t="str">
        <f t="shared" si="228"/>
        <v/>
      </c>
      <c r="L1830" s="19" t="str">
        <f t="shared" si="229"/>
        <v/>
      </c>
      <c r="M1830" s="12" t="str">
        <f>IF(A1830="","",IFERROR(INDEX(المدخلات!$M$4:$M$15,MATCH(A1830,المدخلات!$L$4:$L$15,0)),""))</f>
        <v/>
      </c>
      <c r="N1830" s="4" t="str">
        <f t="shared" si="230"/>
        <v/>
      </c>
      <c r="O1830" s="4" t="str">
        <f t="shared" si="231"/>
        <v/>
      </c>
    </row>
    <row r="1831" spans="1:15">
      <c r="A1831" s="11"/>
      <c r="B1831" s="19"/>
      <c r="C1831" s="19"/>
      <c r="D1831" s="55"/>
      <c r="E1831" s="56"/>
      <c r="F1831" s="19"/>
      <c r="G1831" s="4" t="str">
        <f t="shared" si="224"/>
        <v/>
      </c>
      <c r="H1831" s="11" t="str">
        <f t="shared" si="225"/>
        <v/>
      </c>
      <c r="I1831" s="55" t="str">
        <f t="shared" si="226"/>
        <v/>
      </c>
      <c r="J1831" s="55" t="str">
        <f t="shared" si="227"/>
        <v/>
      </c>
      <c r="K1831" s="4" t="str">
        <f t="shared" si="228"/>
        <v/>
      </c>
      <c r="L1831" s="19" t="str">
        <f t="shared" si="229"/>
        <v/>
      </c>
      <c r="M1831" s="12" t="str">
        <f>IF(A1831="","",IFERROR(INDEX(المدخلات!$M$4:$M$15,MATCH(A1831,المدخلات!$L$4:$L$15,0)),""))</f>
        <v/>
      </c>
      <c r="N1831" s="4" t="str">
        <f t="shared" si="230"/>
        <v/>
      </c>
      <c r="O1831" s="4" t="str">
        <f t="shared" si="231"/>
        <v/>
      </c>
    </row>
    <row r="1832" spans="1:15">
      <c r="A1832" s="11"/>
      <c r="B1832" s="19"/>
      <c r="C1832" s="19"/>
      <c r="D1832" s="55"/>
      <c r="E1832" s="56"/>
      <c r="F1832" s="19"/>
      <c r="G1832" s="4" t="str">
        <f t="shared" si="224"/>
        <v/>
      </c>
      <c r="H1832" s="11" t="str">
        <f t="shared" si="225"/>
        <v/>
      </c>
      <c r="I1832" s="55" t="str">
        <f t="shared" si="226"/>
        <v/>
      </c>
      <c r="J1832" s="55" t="str">
        <f t="shared" si="227"/>
        <v/>
      </c>
      <c r="K1832" s="4" t="str">
        <f t="shared" si="228"/>
        <v/>
      </c>
      <c r="L1832" s="19" t="str">
        <f t="shared" si="229"/>
        <v/>
      </c>
      <c r="M1832" s="12" t="str">
        <f>IF(A1832="","",IFERROR(INDEX(المدخلات!$M$4:$M$15,MATCH(A1832,المدخلات!$L$4:$L$15,0)),""))</f>
        <v/>
      </c>
      <c r="N1832" s="4" t="str">
        <f t="shared" si="230"/>
        <v/>
      </c>
      <c r="O1832" s="4" t="str">
        <f t="shared" si="231"/>
        <v/>
      </c>
    </row>
    <row r="1833" spans="1:15">
      <c r="A1833" s="11"/>
      <c r="B1833" s="19"/>
      <c r="C1833" s="19"/>
      <c r="D1833" s="55"/>
      <c r="E1833" s="56"/>
      <c r="F1833" s="19"/>
      <c r="G1833" s="4" t="str">
        <f t="shared" si="224"/>
        <v/>
      </c>
      <c r="H1833" s="11" t="str">
        <f t="shared" si="225"/>
        <v/>
      </c>
      <c r="I1833" s="55" t="str">
        <f t="shared" si="226"/>
        <v/>
      </c>
      <c r="J1833" s="55" t="str">
        <f t="shared" si="227"/>
        <v/>
      </c>
      <c r="K1833" s="4" t="str">
        <f t="shared" si="228"/>
        <v/>
      </c>
      <c r="L1833" s="19" t="str">
        <f t="shared" si="229"/>
        <v/>
      </c>
      <c r="M1833" s="12" t="str">
        <f>IF(A1833="","",IFERROR(INDEX(المدخلات!$M$4:$M$15,MATCH(A1833,المدخلات!$L$4:$L$15,0)),""))</f>
        <v/>
      </c>
      <c r="N1833" s="4" t="str">
        <f t="shared" si="230"/>
        <v/>
      </c>
      <c r="O1833" s="4" t="str">
        <f t="shared" si="231"/>
        <v/>
      </c>
    </row>
    <row r="1834" spans="1:15">
      <c r="A1834" s="11"/>
      <c r="B1834" s="19"/>
      <c r="C1834" s="19"/>
      <c r="D1834" s="55"/>
      <c r="E1834" s="56"/>
      <c r="F1834" s="19"/>
      <c r="G1834" s="4" t="str">
        <f t="shared" si="224"/>
        <v/>
      </c>
      <c r="H1834" s="11" t="str">
        <f t="shared" si="225"/>
        <v/>
      </c>
      <c r="I1834" s="55" t="str">
        <f t="shared" si="226"/>
        <v/>
      </c>
      <c r="J1834" s="55" t="str">
        <f t="shared" si="227"/>
        <v/>
      </c>
      <c r="K1834" s="4" t="str">
        <f t="shared" si="228"/>
        <v/>
      </c>
      <c r="L1834" s="19" t="str">
        <f t="shared" si="229"/>
        <v/>
      </c>
      <c r="M1834" s="12" t="str">
        <f>IF(A1834="","",IFERROR(INDEX(المدخلات!$M$4:$M$15,MATCH(A1834,المدخلات!$L$4:$L$15,0)),""))</f>
        <v/>
      </c>
      <c r="N1834" s="4" t="str">
        <f t="shared" si="230"/>
        <v/>
      </c>
      <c r="O1834" s="4" t="str">
        <f t="shared" si="231"/>
        <v/>
      </c>
    </row>
    <row r="1835" spans="1:15">
      <c r="A1835" s="11"/>
      <c r="B1835" s="19"/>
      <c r="C1835" s="19"/>
      <c r="D1835" s="55"/>
      <c r="E1835" s="56"/>
      <c r="F1835" s="19"/>
      <c r="G1835" s="4" t="str">
        <f t="shared" si="224"/>
        <v/>
      </c>
      <c r="H1835" s="11" t="str">
        <f t="shared" si="225"/>
        <v/>
      </c>
      <c r="I1835" s="55" t="str">
        <f t="shared" si="226"/>
        <v/>
      </c>
      <c r="J1835" s="55" t="str">
        <f t="shared" si="227"/>
        <v/>
      </c>
      <c r="K1835" s="4" t="str">
        <f t="shared" si="228"/>
        <v/>
      </c>
      <c r="L1835" s="19" t="str">
        <f t="shared" si="229"/>
        <v/>
      </c>
      <c r="M1835" s="12" t="str">
        <f>IF(A1835="","",IFERROR(INDEX(المدخلات!$M$4:$M$15,MATCH(A1835,المدخلات!$L$4:$L$15,0)),""))</f>
        <v/>
      </c>
      <c r="N1835" s="4" t="str">
        <f t="shared" si="230"/>
        <v/>
      </c>
      <c r="O1835" s="4" t="str">
        <f t="shared" si="231"/>
        <v/>
      </c>
    </row>
    <row r="1836" spans="1:15">
      <c r="A1836" s="11"/>
      <c r="B1836" s="19"/>
      <c r="C1836" s="19"/>
      <c r="D1836" s="55"/>
      <c r="E1836" s="56"/>
      <c r="F1836" s="19"/>
      <c r="G1836" s="4" t="str">
        <f t="shared" si="224"/>
        <v/>
      </c>
      <c r="H1836" s="11" t="str">
        <f t="shared" si="225"/>
        <v/>
      </c>
      <c r="I1836" s="55" t="str">
        <f t="shared" si="226"/>
        <v/>
      </c>
      <c r="J1836" s="55" t="str">
        <f t="shared" si="227"/>
        <v/>
      </c>
      <c r="K1836" s="4" t="str">
        <f t="shared" si="228"/>
        <v/>
      </c>
      <c r="L1836" s="19" t="str">
        <f t="shared" si="229"/>
        <v/>
      </c>
      <c r="M1836" s="12" t="str">
        <f>IF(A1836="","",IFERROR(INDEX(المدخلات!$M$4:$M$15,MATCH(A1836,المدخلات!$L$4:$L$15,0)),""))</f>
        <v/>
      </c>
      <c r="N1836" s="4" t="str">
        <f t="shared" si="230"/>
        <v/>
      </c>
      <c r="O1836" s="4" t="str">
        <f t="shared" si="231"/>
        <v/>
      </c>
    </row>
    <row r="1837" spans="1:15">
      <c r="A1837" s="11"/>
      <c r="B1837" s="19"/>
      <c r="C1837" s="19"/>
      <c r="D1837" s="55"/>
      <c r="E1837" s="56"/>
      <c r="F1837" s="19"/>
      <c r="G1837" s="4" t="str">
        <f t="shared" si="224"/>
        <v/>
      </c>
      <c r="H1837" s="11" t="str">
        <f t="shared" si="225"/>
        <v/>
      </c>
      <c r="I1837" s="55" t="str">
        <f t="shared" si="226"/>
        <v/>
      </c>
      <c r="J1837" s="55" t="str">
        <f t="shared" si="227"/>
        <v/>
      </c>
      <c r="K1837" s="4" t="str">
        <f t="shared" si="228"/>
        <v/>
      </c>
      <c r="L1837" s="19" t="str">
        <f t="shared" si="229"/>
        <v/>
      </c>
      <c r="M1837" s="12" t="str">
        <f>IF(A1837="","",IFERROR(INDEX(المدخلات!$M$4:$M$15,MATCH(A1837,المدخلات!$L$4:$L$15,0)),""))</f>
        <v/>
      </c>
      <c r="N1837" s="4" t="str">
        <f t="shared" si="230"/>
        <v/>
      </c>
      <c r="O1837" s="4" t="str">
        <f t="shared" si="231"/>
        <v/>
      </c>
    </row>
    <row r="1838" spans="1:15">
      <c r="A1838" s="11"/>
      <c r="B1838" s="19"/>
      <c r="C1838" s="19"/>
      <c r="D1838" s="55"/>
      <c r="E1838" s="56"/>
      <c r="F1838" s="19"/>
      <c r="G1838" s="4" t="str">
        <f t="shared" si="224"/>
        <v/>
      </c>
      <c r="H1838" s="11" t="str">
        <f t="shared" si="225"/>
        <v/>
      </c>
      <c r="I1838" s="55" t="str">
        <f t="shared" si="226"/>
        <v/>
      </c>
      <c r="J1838" s="55" t="str">
        <f t="shared" si="227"/>
        <v/>
      </c>
      <c r="K1838" s="4" t="str">
        <f t="shared" si="228"/>
        <v/>
      </c>
      <c r="L1838" s="19" t="str">
        <f t="shared" si="229"/>
        <v/>
      </c>
      <c r="M1838" s="12" t="str">
        <f>IF(A1838="","",IFERROR(INDEX(المدخلات!$M$4:$M$15,MATCH(A1838,المدخلات!$L$4:$L$15,0)),""))</f>
        <v/>
      </c>
      <c r="N1838" s="4" t="str">
        <f t="shared" si="230"/>
        <v/>
      </c>
      <c r="O1838" s="4" t="str">
        <f t="shared" si="231"/>
        <v/>
      </c>
    </row>
    <row r="1839" spans="1:15">
      <c r="A1839" s="11"/>
      <c r="B1839" s="19"/>
      <c r="C1839" s="19"/>
      <c r="D1839" s="55"/>
      <c r="E1839" s="56"/>
      <c r="F1839" s="19"/>
      <c r="G1839" s="4" t="str">
        <f t="shared" si="224"/>
        <v/>
      </c>
      <c r="H1839" s="11" t="str">
        <f t="shared" si="225"/>
        <v/>
      </c>
      <c r="I1839" s="55" t="str">
        <f t="shared" si="226"/>
        <v/>
      </c>
      <c r="J1839" s="55" t="str">
        <f t="shared" si="227"/>
        <v/>
      </c>
      <c r="K1839" s="4" t="str">
        <f t="shared" si="228"/>
        <v/>
      </c>
      <c r="L1839" s="19" t="str">
        <f t="shared" si="229"/>
        <v/>
      </c>
      <c r="M1839" s="12" t="str">
        <f>IF(A1839="","",IFERROR(INDEX(المدخلات!$M$4:$M$15,MATCH(A1839,المدخلات!$L$4:$L$15,0)),""))</f>
        <v/>
      </c>
      <c r="N1839" s="4" t="str">
        <f t="shared" si="230"/>
        <v/>
      </c>
      <c r="O1839" s="4" t="str">
        <f t="shared" si="231"/>
        <v/>
      </c>
    </row>
    <row r="1840" spans="1:15">
      <c r="A1840" s="11"/>
      <c r="B1840" s="19"/>
      <c r="C1840" s="19"/>
      <c r="D1840" s="55"/>
      <c r="E1840" s="56"/>
      <c r="F1840" s="19"/>
      <c r="G1840" s="4" t="str">
        <f t="shared" si="224"/>
        <v/>
      </c>
      <c r="H1840" s="11" t="str">
        <f t="shared" si="225"/>
        <v/>
      </c>
      <c r="I1840" s="55" t="str">
        <f t="shared" si="226"/>
        <v/>
      </c>
      <c r="J1840" s="55" t="str">
        <f t="shared" si="227"/>
        <v/>
      </c>
      <c r="K1840" s="4" t="str">
        <f t="shared" si="228"/>
        <v/>
      </c>
      <c r="L1840" s="19" t="str">
        <f t="shared" si="229"/>
        <v/>
      </c>
      <c r="M1840" s="12" t="str">
        <f>IF(A1840="","",IFERROR(INDEX(المدخلات!$M$4:$M$15,MATCH(A1840,المدخلات!$L$4:$L$15,0)),""))</f>
        <v/>
      </c>
      <c r="N1840" s="4" t="str">
        <f t="shared" si="230"/>
        <v/>
      </c>
      <c r="O1840" s="4" t="str">
        <f t="shared" si="231"/>
        <v/>
      </c>
    </row>
    <row r="1841" spans="1:15">
      <c r="A1841" s="11"/>
      <c r="B1841" s="19"/>
      <c r="C1841" s="19"/>
      <c r="D1841" s="55"/>
      <c r="E1841" s="56"/>
      <c r="F1841" s="19"/>
      <c r="G1841" s="4" t="str">
        <f t="shared" si="224"/>
        <v/>
      </c>
      <c r="H1841" s="11" t="str">
        <f t="shared" si="225"/>
        <v/>
      </c>
      <c r="I1841" s="55" t="str">
        <f t="shared" si="226"/>
        <v/>
      </c>
      <c r="J1841" s="55" t="str">
        <f t="shared" si="227"/>
        <v/>
      </c>
      <c r="K1841" s="4" t="str">
        <f t="shared" si="228"/>
        <v/>
      </c>
      <c r="L1841" s="19" t="str">
        <f t="shared" si="229"/>
        <v/>
      </c>
      <c r="M1841" s="12" t="str">
        <f>IF(A1841="","",IFERROR(INDEX(المدخلات!$M$4:$M$15,MATCH(A1841,المدخلات!$L$4:$L$15,0)),""))</f>
        <v/>
      </c>
      <c r="N1841" s="4" t="str">
        <f t="shared" si="230"/>
        <v/>
      </c>
      <c r="O1841" s="4" t="str">
        <f t="shared" si="231"/>
        <v/>
      </c>
    </row>
    <row r="1842" spans="1:15">
      <c r="A1842" s="11"/>
      <c r="B1842" s="19"/>
      <c r="C1842" s="19"/>
      <c r="D1842" s="55"/>
      <c r="E1842" s="56"/>
      <c r="F1842" s="19"/>
      <c r="G1842" s="4" t="str">
        <f t="shared" si="224"/>
        <v/>
      </c>
      <c r="H1842" s="11" t="str">
        <f t="shared" si="225"/>
        <v/>
      </c>
      <c r="I1842" s="55" t="str">
        <f t="shared" si="226"/>
        <v/>
      </c>
      <c r="J1842" s="55" t="str">
        <f t="shared" si="227"/>
        <v/>
      </c>
      <c r="K1842" s="4" t="str">
        <f t="shared" si="228"/>
        <v/>
      </c>
      <c r="L1842" s="19" t="str">
        <f t="shared" si="229"/>
        <v/>
      </c>
      <c r="M1842" s="12" t="str">
        <f>IF(A1842="","",IFERROR(INDEX(المدخلات!$M$4:$M$15,MATCH(A1842,المدخلات!$L$4:$L$15,0)),""))</f>
        <v/>
      </c>
      <c r="N1842" s="4" t="str">
        <f t="shared" si="230"/>
        <v/>
      </c>
      <c r="O1842" s="4" t="str">
        <f t="shared" si="231"/>
        <v/>
      </c>
    </row>
    <row r="1843" spans="1:15">
      <c r="A1843" s="11"/>
      <c r="B1843" s="19"/>
      <c r="C1843" s="19"/>
      <c r="D1843" s="55"/>
      <c r="E1843" s="56"/>
      <c r="F1843" s="19"/>
      <c r="G1843" s="4" t="str">
        <f t="shared" si="224"/>
        <v/>
      </c>
      <c r="H1843" s="11" t="str">
        <f t="shared" si="225"/>
        <v/>
      </c>
      <c r="I1843" s="55" t="str">
        <f t="shared" si="226"/>
        <v/>
      </c>
      <c r="J1843" s="55" t="str">
        <f t="shared" si="227"/>
        <v/>
      </c>
      <c r="K1843" s="4" t="str">
        <f t="shared" si="228"/>
        <v/>
      </c>
      <c r="L1843" s="19" t="str">
        <f t="shared" si="229"/>
        <v/>
      </c>
      <c r="M1843" s="12" t="str">
        <f>IF(A1843="","",IFERROR(INDEX(المدخلات!$M$4:$M$15,MATCH(A1843,المدخلات!$L$4:$L$15,0)),""))</f>
        <v/>
      </c>
      <c r="N1843" s="4" t="str">
        <f t="shared" si="230"/>
        <v/>
      </c>
      <c r="O1843" s="4" t="str">
        <f t="shared" si="231"/>
        <v/>
      </c>
    </row>
    <row r="1844" spans="1:15">
      <c r="A1844" s="11"/>
      <c r="B1844" s="19"/>
      <c r="C1844" s="19"/>
      <c r="D1844" s="55"/>
      <c r="E1844" s="56"/>
      <c r="F1844" s="19"/>
      <c r="G1844" s="4" t="str">
        <f t="shared" si="224"/>
        <v/>
      </c>
      <c r="H1844" s="11" t="str">
        <f t="shared" si="225"/>
        <v/>
      </c>
      <c r="I1844" s="55" t="str">
        <f t="shared" si="226"/>
        <v/>
      </c>
      <c r="J1844" s="55" t="str">
        <f t="shared" si="227"/>
        <v/>
      </c>
      <c r="K1844" s="4" t="str">
        <f t="shared" si="228"/>
        <v/>
      </c>
      <c r="L1844" s="19" t="str">
        <f t="shared" si="229"/>
        <v/>
      </c>
      <c r="M1844" s="12" t="str">
        <f>IF(A1844="","",IFERROR(INDEX(المدخلات!$M$4:$M$15,MATCH(A1844,المدخلات!$L$4:$L$15,0)),""))</f>
        <v/>
      </c>
      <c r="N1844" s="4" t="str">
        <f t="shared" si="230"/>
        <v/>
      </c>
      <c r="O1844" s="4" t="str">
        <f t="shared" si="231"/>
        <v/>
      </c>
    </row>
    <row r="1845" spans="1:15">
      <c r="A1845" s="11"/>
      <c r="B1845" s="19"/>
      <c r="C1845" s="19"/>
      <c r="D1845" s="55"/>
      <c r="E1845" s="56"/>
      <c r="F1845" s="19"/>
      <c r="G1845" s="4" t="str">
        <f t="shared" si="224"/>
        <v/>
      </c>
      <c r="H1845" s="11" t="str">
        <f t="shared" si="225"/>
        <v/>
      </c>
      <c r="I1845" s="55" t="str">
        <f t="shared" si="226"/>
        <v/>
      </c>
      <c r="J1845" s="55" t="str">
        <f t="shared" si="227"/>
        <v/>
      </c>
      <c r="K1845" s="4" t="str">
        <f t="shared" si="228"/>
        <v/>
      </c>
      <c r="L1845" s="19" t="str">
        <f t="shared" si="229"/>
        <v/>
      </c>
      <c r="M1845" s="12" t="str">
        <f>IF(A1845="","",IFERROR(INDEX(المدخلات!$M$4:$M$15,MATCH(A1845,المدخلات!$L$4:$L$15,0)),""))</f>
        <v/>
      </c>
      <c r="N1845" s="4" t="str">
        <f t="shared" si="230"/>
        <v/>
      </c>
      <c r="O1845" s="4" t="str">
        <f t="shared" si="231"/>
        <v/>
      </c>
    </row>
    <row r="1846" spans="1:15">
      <c r="A1846" s="11"/>
      <c r="B1846" s="19"/>
      <c r="C1846" s="19"/>
      <c r="D1846" s="55"/>
      <c r="E1846" s="56"/>
      <c r="F1846" s="19"/>
      <c r="G1846" s="4" t="str">
        <f t="shared" si="224"/>
        <v/>
      </c>
      <c r="H1846" s="11" t="str">
        <f t="shared" si="225"/>
        <v/>
      </c>
      <c r="I1846" s="55" t="str">
        <f t="shared" si="226"/>
        <v/>
      </c>
      <c r="J1846" s="55" t="str">
        <f t="shared" si="227"/>
        <v/>
      </c>
      <c r="K1846" s="4" t="str">
        <f t="shared" si="228"/>
        <v/>
      </c>
      <c r="L1846" s="19" t="str">
        <f t="shared" si="229"/>
        <v/>
      </c>
      <c r="M1846" s="12" t="str">
        <f>IF(A1846="","",IFERROR(INDEX(المدخلات!$M$4:$M$15,MATCH(A1846,المدخلات!$L$4:$L$15,0)),""))</f>
        <v/>
      </c>
      <c r="N1846" s="4" t="str">
        <f t="shared" si="230"/>
        <v/>
      </c>
      <c r="O1846" s="4" t="str">
        <f t="shared" si="231"/>
        <v/>
      </c>
    </row>
    <row r="1847" spans="1:15">
      <c r="A1847" s="11"/>
      <c r="B1847" s="19"/>
      <c r="C1847" s="19"/>
      <c r="D1847" s="55"/>
      <c r="E1847" s="56"/>
      <c r="F1847" s="19"/>
      <c r="G1847" s="4" t="str">
        <f t="shared" si="224"/>
        <v/>
      </c>
      <c r="H1847" s="11" t="str">
        <f t="shared" si="225"/>
        <v/>
      </c>
      <c r="I1847" s="55" t="str">
        <f t="shared" si="226"/>
        <v/>
      </c>
      <c r="J1847" s="55" t="str">
        <f t="shared" si="227"/>
        <v/>
      </c>
      <c r="K1847" s="4" t="str">
        <f t="shared" si="228"/>
        <v/>
      </c>
      <c r="L1847" s="19" t="str">
        <f t="shared" si="229"/>
        <v/>
      </c>
      <c r="M1847" s="12" t="str">
        <f>IF(A1847="","",IFERROR(INDEX(المدخلات!$M$4:$M$15,MATCH(A1847,المدخلات!$L$4:$L$15,0)),""))</f>
        <v/>
      </c>
      <c r="N1847" s="4" t="str">
        <f t="shared" si="230"/>
        <v/>
      </c>
      <c r="O1847" s="4" t="str">
        <f t="shared" si="231"/>
        <v/>
      </c>
    </row>
    <row r="1848" spans="1:15">
      <c r="A1848" s="11"/>
      <c r="B1848" s="19"/>
      <c r="C1848" s="19"/>
      <c r="D1848" s="55"/>
      <c r="E1848" s="56"/>
      <c r="F1848" s="19"/>
      <c r="G1848" s="4" t="str">
        <f t="shared" si="224"/>
        <v/>
      </c>
      <c r="H1848" s="11" t="str">
        <f t="shared" si="225"/>
        <v/>
      </c>
      <c r="I1848" s="55" t="str">
        <f t="shared" si="226"/>
        <v/>
      </c>
      <c r="J1848" s="55" t="str">
        <f t="shared" si="227"/>
        <v/>
      </c>
      <c r="K1848" s="4" t="str">
        <f t="shared" si="228"/>
        <v/>
      </c>
      <c r="L1848" s="19" t="str">
        <f t="shared" si="229"/>
        <v/>
      </c>
      <c r="M1848" s="12" t="str">
        <f>IF(A1848="","",IFERROR(INDEX(المدخلات!$M$4:$M$15,MATCH(A1848,المدخلات!$L$4:$L$15,0)),""))</f>
        <v/>
      </c>
      <c r="N1848" s="4" t="str">
        <f t="shared" si="230"/>
        <v/>
      </c>
      <c r="O1848" s="4" t="str">
        <f t="shared" si="231"/>
        <v/>
      </c>
    </row>
    <row r="1849" spans="1:15">
      <c r="A1849" s="11"/>
      <c r="B1849" s="19"/>
      <c r="C1849" s="19"/>
      <c r="D1849" s="55"/>
      <c r="E1849" s="56"/>
      <c r="F1849" s="19"/>
      <c r="G1849" s="4" t="str">
        <f t="shared" si="224"/>
        <v/>
      </c>
      <c r="H1849" s="11" t="str">
        <f t="shared" si="225"/>
        <v/>
      </c>
      <c r="I1849" s="55" t="str">
        <f t="shared" si="226"/>
        <v/>
      </c>
      <c r="J1849" s="55" t="str">
        <f t="shared" si="227"/>
        <v/>
      </c>
      <c r="K1849" s="4" t="str">
        <f t="shared" si="228"/>
        <v/>
      </c>
      <c r="L1849" s="19" t="str">
        <f t="shared" si="229"/>
        <v/>
      </c>
      <c r="M1849" s="12" t="str">
        <f>IF(A1849="","",IFERROR(INDEX(المدخلات!$M$4:$M$15,MATCH(A1849,المدخلات!$L$4:$L$15,0)),""))</f>
        <v/>
      </c>
      <c r="N1849" s="4" t="str">
        <f t="shared" si="230"/>
        <v/>
      </c>
      <c r="O1849" s="4" t="str">
        <f t="shared" si="231"/>
        <v/>
      </c>
    </row>
    <row r="1850" spans="1:15">
      <c r="A1850" s="11"/>
      <c r="B1850" s="19"/>
      <c r="C1850" s="19"/>
      <c r="D1850" s="55"/>
      <c r="E1850" s="56"/>
      <c r="F1850" s="19"/>
      <c r="G1850" s="4" t="str">
        <f t="shared" si="224"/>
        <v/>
      </c>
      <c r="H1850" s="11" t="str">
        <f t="shared" si="225"/>
        <v/>
      </c>
      <c r="I1850" s="55" t="str">
        <f t="shared" si="226"/>
        <v/>
      </c>
      <c r="J1850" s="55" t="str">
        <f t="shared" si="227"/>
        <v/>
      </c>
      <c r="K1850" s="4" t="str">
        <f t="shared" si="228"/>
        <v/>
      </c>
      <c r="L1850" s="19" t="str">
        <f t="shared" si="229"/>
        <v/>
      </c>
      <c r="M1850" s="12" t="str">
        <f>IF(A1850="","",IFERROR(INDEX(المدخلات!$M$4:$M$15,MATCH(A1850,المدخلات!$L$4:$L$15,0)),""))</f>
        <v/>
      </c>
      <c r="N1850" s="4" t="str">
        <f t="shared" si="230"/>
        <v/>
      </c>
      <c r="O1850" s="4" t="str">
        <f t="shared" si="231"/>
        <v/>
      </c>
    </row>
    <row r="1851" spans="1:15">
      <c r="A1851" s="11"/>
      <c r="B1851" s="19"/>
      <c r="C1851" s="19"/>
      <c r="D1851" s="55"/>
      <c r="E1851" s="56"/>
      <c r="F1851" s="19"/>
      <c r="G1851" s="4" t="str">
        <f t="shared" si="224"/>
        <v/>
      </c>
      <c r="H1851" s="11" t="str">
        <f t="shared" si="225"/>
        <v/>
      </c>
      <c r="I1851" s="55" t="str">
        <f t="shared" si="226"/>
        <v/>
      </c>
      <c r="J1851" s="55" t="str">
        <f t="shared" si="227"/>
        <v/>
      </c>
      <c r="K1851" s="4" t="str">
        <f t="shared" si="228"/>
        <v/>
      </c>
      <c r="L1851" s="19" t="str">
        <f t="shared" si="229"/>
        <v/>
      </c>
      <c r="M1851" s="12" t="str">
        <f>IF(A1851="","",IFERROR(INDEX(المدخلات!$M$4:$M$15,MATCH(A1851,المدخلات!$L$4:$L$15,0)),""))</f>
        <v/>
      </c>
      <c r="N1851" s="4" t="str">
        <f t="shared" si="230"/>
        <v/>
      </c>
      <c r="O1851" s="4" t="str">
        <f t="shared" si="231"/>
        <v/>
      </c>
    </row>
    <row r="1852" spans="1:15">
      <c r="A1852" s="11"/>
      <c r="B1852" s="19"/>
      <c r="C1852" s="19"/>
      <c r="D1852" s="55"/>
      <c r="E1852" s="56"/>
      <c r="F1852" s="19"/>
      <c r="G1852" s="4" t="str">
        <f t="shared" si="224"/>
        <v/>
      </c>
      <c r="H1852" s="11" t="str">
        <f t="shared" si="225"/>
        <v/>
      </c>
      <c r="I1852" s="55" t="str">
        <f t="shared" si="226"/>
        <v/>
      </c>
      <c r="J1852" s="55" t="str">
        <f t="shared" si="227"/>
        <v/>
      </c>
      <c r="K1852" s="4" t="str">
        <f t="shared" si="228"/>
        <v/>
      </c>
      <c r="L1852" s="19" t="str">
        <f t="shared" si="229"/>
        <v/>
      </c>
      <c r="M1852" s="12" t="str">
        <f>IF(A1852="","",IFERROR(INDEX(المدخلات!$M$4:$M$15,MATCH(A1852,المدخلات!$L$4:$L$15,0)),""))</f>
        <v/>
      </c>
      <c r="N1852" s="4" t="str">
        <f t="shared" si="230"/>
        <v/>
      </c>
      <c r="O1852" s="4" t="str">
        <f t="shared" si="231"/>
        <v/>
      </c>
    </row>
    <row r="1853" spans="1:15">
      <c r="A1853" s="11"/>
      <c r="B1853" s="19"/>
      <c r="C1853" s="19"/>
      <c r="D1853" s="55"/>
      <c r="E1853" s="56"/>
      <c r="F1853" s="19"/>
      <c r="G1853" s="4" t="str">
        <f t="shared" si="224"/>
        <v/>
      </c>
      <c r="H1853" s="11" t="str">
        <f t="shared" si="225"/>
        <v/>
      </c>
      <c r="I1853" s="55" t="str">
        <f t="shared" si="226"/>
        <v/>
      </c>
      <c r="J1853" s="55" t="str">
        <f t="shared" si="227"/>
        <v/>
      </c>
      <c r="K1853" s="4" t="str">
        <f t="shared" si="228"/>
        <v/>
      </c>
      <c r="L1853" s="19" t="str">
        <f t="shared" si="229"/>
        <v/>
      </c>
      <c r="M1853" s="12" t="str">
        <f>IF(A1853="","",IFERROR(INDEX(المدخلات!$M$4:$M$15,MATCH(A1853,المدخلات!$L$4:$L$15,0)),""))</f>
        <v/>
      </c>
      <c r="N1853" s="4" t="str">
        <f t="shared" si="230"/>
        <v/>
      </c>
      <c r="O1853" s="4" t="str">
        <f t="shared" si="231"/>
        <v/>
      </c>
    </row>
    <row r="1854" spans="1:15">
      <c r="A1854" s="11"/>
      <c r="B1854" s="19"/>
      <c r="C1854" s="19"/>
      <c r="D1854" s="55"/>
      <c r="E1854" s="56"/>
      <c r="F1854" s="19"/>
      <c r="G1854" s="4" t="str">
        <f t="shared" si="224"/>
        <v/>
      </c>
      <c r="H1854" s="11" t="str">
        <f t="shared" si="225"/>
        <v/>
      </c>
      <c r="I1854" s="55" t="str">
        <f t="shared" si="226"/>
        <v/>
      </c>
      <c r="J1854" s="55" t="str">
        <f t="shared" si="227"/>
        <v/>
      </c>
      <c r="K1854" s="4" t="str">
        <f t="shared" si="228"/>
        <v/>
      </c>
      <c r="L1854" s="19" t="str">
        <f t="shared" si="229"/>
        <v/>
      </c>
      <c r="M1854" s="12" t="str">
        <f>IF(A1854="","",IFERROR(INDEX(المدخلات!$M$4:$M$15,MATCH(A1854,المدخلات!$L$4:$L$15,0)),""))</f>
        <v/>
      </c>
      <c r="N1854" s="4" t="str">
        <f t="shared" si="230"/>
        <v/>
      </c>
      <c r="O1854" s="4" t="str">
        <f t="shared" si="231"/>
        <v/>
      </c>
    </row>
    <row r="1855" spans="1:15">
      <c r="A1855" s="11"/>
      <c r="B1855" s="19"/>
      <c r="C1855" s="19"/>
      <c r="D1855" s="55"/>
      <c r="E1855" s="56"/>
      <c r="F1855" s="19"/>
      <c r="G1855" s="4" t="str">
        <f t="shared" si="224"/>
        <v/>
      </c>
      <c r="H1855" s="11" t="str">
        <f t="shared" si="225"/>
        <v/>
      </c>
      <c r="I1855" s="55" t="str">
        <f t="shared" si="226"/>
        <v/>
      </c>
      <c r="J1855" s="55" t="str">
        <f t="shared" si="227"/>
        <v/>
      </c>
      <c r="K1855" s="4" t="str">
        <f t="shared" si="228"/>
        <v/>
      </c>
      <c r="L1855" s="19" t="str">
        <f t="shared" si="229"/>
        <v/>
      </c>
      <c r="M1855" s="12" t="str">
        <f>IF(A1855="","",IFERROR(INDEX(المدخلات!$M$4:$M$15,MATCH(A1855,المدخلات!$L$4:$L$15,0)),""))</f>
        <v/>
      </c>
      <c r="N1855" s="4" t="str">
        <f t="shared" si="230"/>
        <v/>
      </c>
      <c r="O1855" s="4" t="str">
        <f t="shared" si="231"/>
        <v/>
      </c>
    </row>
    <row r="1856" spans="1:15">
      <c r="A1856" s="11"/>
      <c r="B1856" s="19"/>
      <c r="C1856" s="19"/>
      <c r="D1856" s="55"/>
      <c r="E1856" s="56"/>
      <c r="F1856" s="19"/>
      <c r="G1856" s="4" t="str">
        <f t="shared" si="224"/>
        <v/>
      </c>
      <c r="H1856" s="11" t="str">
        <f t="shared" si="225"/>
        <v/>
      </c>
      <c r="I1856" s="55" t="str">
        <f t="shared" si="226"/>
        <v/>
      </c>
      <c r="J1856" s="55" t="str">
        <f t="shared" si="227"/>
        <v/>
      </c>
      <c r="K1856" s="4" t="str">
        <f t="shared" si="228"/>
        <v/>
      </c>
      <c r="L1856" s="19" t="str">
        <f t="shared" si="229"/>
        <v/>
      </c>
      <c r="M1856" s="12" t="str">
        <f>IF(A1856="","",IFERROR(INDEX(المدخلات!$M$4:$M$15,MATCH(A1856,المدخلات!$L$4:$L$15,0)),""))</f>
        <v/>
      </c>
      <c r="N1856" s="4" t="str">
        <f t="shared" si="230"/>
        <v/>
      </c>
      <c r="O1856" s="4" t="str">
        <f t="shared" si="231"/>
        <v/>
      </c>
    </row>
    <row r="1857" spans="1:15">
      <c r="A1857" s="11"/>
      <c r="B1857" s="19"/>
      <c r="C1857" s="19"/>
      <c r="D1857" s="55"/>
      <c r="E1857" s="56"/>
      <c r="F1857" s="19"/>
      <c r="G1857" s="4" t="str">
        <f t="shared" si="224"/>
        <v/>
      </c>
      <c r="H1857" s="11" t="str">
        <f t="shared" si="225"/>
        <v/>
      </c>
      <c r="I1857" s="55" t="str">
        <f t="shared" si="226"/>
        <v/>
      </c>
      <c r="J1857" s="55" t="str">
        <f t="shared" si="227"/>
        <v/>
      </c>
      <c r="K1857" s="4" t="str">
        <f t="shared" si="228"/>
        <v/>
      </c>
      <c r="L1857" s="19" t="str">
        <f t="shared" si="229"/>
        <v/>
      </c>
      <c r="M1857" s="12" t="str">
        <f>IF(A1857="","",IFERROR(INDEX(المدخلات!$M$4:$M$15,MATCH(A1857,المدخلات!$L$4:$L$15,0)),""))</f>
        <v/>
      </c>
      <c r="N1857" s="4" t="str">
        <f t="shared" si="230"/>
        <v/>
      </c>
      <c r="O1857" s="4" t="str">
        <f t="shared" si="231"/>
        <v/>
      </c>
    </row>
    <row r="1858" spans="1:15">
      <c r="A1858" s="11"/>
      <c r="B1858" s="19"/>
      <c r="C1858" s="19"/>
      <c r="D1858" s="55"/>
      <c r="E1858" s="56"/>
      <c r="F1858" s="19"/>
      <c r="G1858" s="4" t="str">
        <f t="shared" si="224"/>
        <v/>
      </c>
      <c r="H1858" s="11" t="str">
        <f t="shared" si="225"/>
        <v/>
      </c>
      <c r="I1858" s="55" t="str">
        <f t="shared" si="226"/>
        <v/>
      </c>
      <c r="J1858" s="55" t="str">
        <f t="shared" si="227"/>
        <v/>
      </c>
      <c r="K1858" s="4" t="str">
        <f t="shared" si="228"/>
        <v/>
      </c>
      <c r="L1858" s="19" t="str">
        <f t="shared" si="229"/>
        <v/>
      </c>
      <c r="M1858" s="12" t="str">
        <f>IF(A1858="","",IFERROR(INDEX(المدخلات!$M$4:$M$15,MATCH(A1858,المدخلات!$L$4:$L$15,0)),""))</f>
        <v/>
      </c>
      <c r="N1858" s="4" t="str">
        <f t="shared" si="230"/>
        <v/>
      </c>
      <c r="O1858" s="4" t="str">
        <f t="shared" si="231"/>
        <v/>
      </c>
    </row>
    <row r="1859" spans="1:15">
      <c r="A1859" s="11"/>
      <c r="B1859" s="19"/>
      <c r="C1859" s="19"/>
      <c r="D1859" s="55"/>
      <c r="E1859" s="56"/>
      <c r="F1859" s="19"/>
      <c r="G1859" s="4" t="str">
        <f t="shared" si="224"/>
        <v/>
      </c>
      <c r="H1859" s="11" t="str">
        <f t="shared" si="225"/>
        <v/>
      </c>
      <c r="I1859" s="55" t="str">
        <f t="shared" si="226"/>
        <v/>
      </c>
      <c r="J1859" s="55" t="str">
        <f t="shared" si="227"/>
        <v/>
      </c>
      <c r="K1859" s="4" t="str">
        <f t="shared" si="228"/>
        <v/>
      </c>
      <c r="L1859" s="19" t="str">
        <f t="shared" si="229"/>
        <v/>
      </c>
      <c r="M1859" s="12" t="str">
        <f>IF(A1859="","",IFERROR(INDEX(المدخلات!$M$4:$M$15,MATCH(A1859,المدخلات!$L$4:$L$15,0)),""))</f>
        <v/>
      </c>
      <c r="N1859" s="4" t="str">
        <f t="shared" si="230"/>
        <v/>
      </c>
      <c r="O1859" s="4" t="str">
        <f t="shared" si="231"/>
        <v/>
      </c>
    </row>
    <row r="1860" spans="1:15">
      <c r="A1860" s="11"/>
      <c r="B1860" s="19"/>
      <c r="C1860" s="19"/>
      <c r="D1860" s="55"/>
      <c r="E1860" s="56"/>
      <c r="F1860" s="19"/>
      <c r="G1860" s="4" t="str">
        <f t="shared" si="224"/>
        <v/>
      </c>
      <c r="H1860" s="11" t="str">
        <f t="shared" si="225"/>
        <v/>
      </c>
      <c r="I1860" s="55" t="str">
        <f t="shared" si="226"/>
        <v/>
      </c>
      <c r="J1860" s="55" t="str">
        <f t="shared" si="227"/>
        <v/>
      </c>
      <c r="K1860" s="4" t="str">
        <f t="shared" si="228"/>
        <v/>
      </c>
      <c r="L1860" s="19" t="str">
        <f t="shared" si="229"/>
        <v/>
      </c>
      <c r="M1860" s="12" t="str">
        <f>IF(A1860="","",IFERROR(INDEX(المدخلات!$M$4:$M$15,MATCH(A1860,المدخلات!$L$4:$L$15,0)),""))</f>
        <v/>
      </c>
      <c r="N1860" s="4" t="str">
        <f t="shared" si="230"/>
        <v/>
      </c>
      <c r="O1860" s="4" t="str">
        <f t="shared" si="231"/>
        <v/>
      </c>
    </row>
    <row r="1861" spans="1:15">
      <c r="A1861" s="11"/>
      <c r="B1861" s="19"/>
      <c r="C1861" s="19"/>
      <c r="D1861" s="55"/>
      <c r="E1861" s="56"/>
      <c r="F1861" s="19"/>
      <c r="G1861" s="4" t="str">
        <f t="shared" ref="G1861:G1924" si="232">IF(OR(D1861="",E1861=""),"",D1861*E1861)</f>
        <v/>
      </c>
      <c r="H1861" s="11" t="str">
        <f t="shared" ref="H1861:H1924" si="233">IF(C1861="","",IFERROR(_xlfn.MAXIFS($A$5:$A$2003,$C$5:$C$2003,C1861,$A$5:$A$2003,"&lt;"&amp;A1861),0))</f>
        <v/>
      </c>
      <c r="I1861" s="55" t="str">
        <f t="shared" ref="I1861:I1924" si="234">IF(OR(H1861="",H1861=0),"",IFERROR(SUMIFS($D$5:$D$2003,$C$5:$C$2003,C1861,$A$5:$A$2003,H1861),""))</f>
        <v/>
      </c>
      <c r="J1861" s="55" t="str">
        <f t="shared" ref="J1861:J1924" si="235">IF(C1861="","",IF(I1861="",0,MAX(I1861-D1861,0)))</f>
        <v/>
      </c>
      <c r="K1861" s="4" t="str">
        <f t="shared" ref="K1861:K1924" si="236">IF(J1861="","",J1861*E1861)</f>
        <v/>
      </c>
      <c r="L1861" s="19" t="str">
        <f t="shared" ref="L1861:L1924" si="237">IF(C1861="","",IF(COUNTIFS($A$5:$A$2003,A1861,$C$5:$C$2003,C1861)&gt;1,"⚠️ مادة مكررة بنفس الشهر",IF(OR(H1861="",H1861=0),"🆕 أول ظهور لهذه المادة",IF(D1861&gt;I1861,"ℹ️ زيادة كمية (شراء/تصحيح) - لا تُحتسب استهلاكاً",IF(D1861=I1861,"➖ لا تغيير","")))))</f>
        <v/>
      </c>
      <c r="M1861" s="12" t="str">
        <f>IF(A1861="","",IFERROR(INDEX(المدخلات!$M$4:$M$15,MATCH(A1861,المدخلات!$L$4:$L$15,0)),""))</f>
        <v/>
      </c>
      <c r="N1861" s="4" t="str">
        <f t="shared" ref="N1861:N1924" si="238">IF(OR(G1861="",F1861=""),"",IF(F1861="دولار أمريكي",IF(M1861="","⚠️ لا يوجد سعر صرف",G1861*M1861),G1861))</f>
        <v/>
      </c>
      <c r="O1861" s="4" t="str">
        <f t="shared" ref="O1861:O1924" si="239">IF(OR(K1861="",F1861=""),"",IF(F1861="دولار أمريكي",IF(M1861="","⚠️ لا يوجد سعر صرف",K1861*M1861),K1861))</f>
        <v/>
      </c>
    </row>
    <row r="1862" spans="1:15">
      <c r="A1862" s="11"/>
      <c r="B1862" s="19"/>
      <c r="C1862" s="19"/>
      <c r="D1862" s="55"/>
      <c r="E1862" s="56"/>
      <c r="F1862" s="19"/>
      <c r="G1862" s="4" t="str">
        <f t="shared" si="232"/>
        <v/>
      </c>
      <c r="H1862" s="11" t="str">
        <f t="shared" si="233"/>
        <v/>
      </c>
      <c r="I1862" s="55" t="str">
        <f t="shared" si="234"/>
        <v/>
      </c>
      <c r="J1862" s="55" t="str">
        <f t="shared" si="235"/>
        <v/>
      </c>
      <c r="K1862" s="4" t="str">
        <f t="shared" si="236"/>
        <v/>
      </c>
      <c r="L1862" s="19" t="str">
        <f t="shared" si="237"/>
        <v/>
      </c>
      <c r="M1862" s="12" t="str">
        <f>IF(A1862="","",IFERROR(INDEX(المدخلات!$M$4:$M$15,MATCH(A1862,المدخلات!$L$4:$L$15,0)),""))</f>
        <v/>
      </c>
      <c r="N1862" s="4" t="str">
        <f t="shared" si="238"/>
        <v/>
      </c>
      <c r="O1862" s="4" t="str">
        <f t="shared" si="239"/>
        <v/>
      </c>
    </row>
    <row r="1863" spans="1:15">
      <c r="A1863" s="11"/>
      <c r="B1863" s="19"/>
      <c r="C1863" s="19"/>
      <c r="D1863" s="55"/>
      <c r="E1863" s="56"/>
      <c r="F1863" s="19"/>
      <c r="G1863" s="4" t="str">
        <f t="shared" si="232"/>
        <v/>
      </c>
      <c r="H1863" s="11" t="str">
        <f t="shared" si="233"/>
        <v/>
      </c>
      <c r="I1863" s="55" t="str">
        <f t="shared" si="234"/>
        <v/>
      </c>
      <c r="J1863" s="55" t="str">
        <f t="shared" si="235"/>
        <v/>
      </c>
      <c r="K1863" s="4" t="str">
        <f t="shared" si="236"/>
        <v/>
      </c>
      <c r="L1863" s="19" t="str">
        <f t="shared" si="237"/>
        <v/>
      </c>
      <c r="M1863" s="12" t="str">
        <f>IF(A1863="","",IFERROR(INDEX(المدخلات!$M$4:$M$15,MATCH(A1863,المدخلات!$L$4:$L$15,0)),""))</f>
        <v/>
      </c>
      <c r="N1863" s="4" t="str">
        <f t="shared" si="238"/>
        <v/>
      </c>
      <c r="O1863" s="4" t="str">
        <f t="shared" si="239"/>
        <v/>
      </c>
    </row>
    <row r="1864" spans="1:15">
      <c r="A1864" s="11"/>
      <c r="B1864" s="19"/>
      <c r="C1864" s="19"/>
      <c r="D1864" s="55"/>
      <c r="E1864" s="56"/>
      <c r="F1864" s="19"/>
      <c r="G1864" s="4" t="str">
        <f t="shared" si="232"/>
        <v/>
      </c>
      <c r="H1864" s="11" t="str">
        <f t="shared" si="233"/>
        <v/>
      </c>
      <c r="I1864" s="55" t="str">
        <f t="shared" si="234"/>
        <v/>
      </c>
      <c r="J1864" s="55" t="str">
        <f t="shared" si="235"/>
        <v/>
      </c>
      <c r="K1864" s="4" t="str">
        <f t="shared" si="236"/>
        <v/>
      </c>
      <c r="L1864" s="19" t="str">
        <f t="shared" si="237"/>
        <v/>
      </c>
      <c r="M1864" s="12" t="str">
        <f>IF(A1864="","",IFERROR(INDEX(المدخلات!$M$4:$M$15,MATCH(A1864,المدخلات!$L$4:$L$15,0)),""))</f>
        <v/>
      </c>
      <c r="N1864" s="4" t="str">
        <f t="shared" si="238"/>
        <v/>
      </c>
      <c r="O1864" s="4" t="str">
        <f t="shared" si="239"/>
        <v/>
      </c>
    </row>
    <row r="1865" spans="1:15">
      <c r="A1865" s="11"/>
      <c r="B1865" s="19"/>
      <c r="C1865" s="19"/>
      <c r="D1865" s="55"/>
      <c r="E1865" s="56"/>
      <c r="F1865" s="19"/>
      <c r="G1865" s="4" t="str">
        <f t="shared" si="232"/>
        <v/>
      </c>
      <c r="H1865" s="11" t="str">
        <f t="shared" si="233"/>
        <v/>
      </c>
      <c r="I1865" s="55" t="str">
        <f t="shared" si="234"/>
        <v/>
      </c>
      <c r="J1865" s="55" t="str">
        <f t="shared" si="235"/>
        <v/>
      </c>
      <c r="K1865" s="4" t="str">
        <f t="shared" si="236"/>
        <v/>
      </c>
      <c r="L1865" s="19" t="str">
        <f t="shared" si="237"/>
        <v/>
      </c>
      <c r="M1865" s="12" t="str">
        <f>IF(A1865="","",IFERROR(INDEX(المدخلات!$M$4:$M$15,MATCH(A1865,المدخلات!$L$4:$L$15,0)),""))</f>
        <v/>
      </c>
      <c r="N1865" s="4" t="str">
        <f t="shared" si="238"/>
        <v/>
      </c>
      <c r="O1865" s="4" t="str">
        <f t="shared" si="239"/>
        <v/>
      </c>
    </row>
    <row r="1866" spans="1:15">
      <c r="A1866" s="11"/>
      <c r="B1866" s="19"/>
      <c r="C1866" s="19"/>
      <c r="D1866" s="55"/>
      <c r="E1866" s="56"/>
      <c r="F1866" s="19"/>
      <c r="G1866" s="4" t="str">
        <f t="shared" si="232"/>
        <v/>
      </c>
      <c r="H1866" s="11" t="str">
        <f t="shared" si="233"/>
        <v/>
      </c>
      <c r="I1866" s="55" t="str">
        <f t="shared" si="234"/>
        <v/>
      </c>
      <c r="J1866" s="55" t="str">
        <f t="shared" si="235"/>
        <v/>
      </c>
      <c r="K1866" s="4" t="str">
        <f t="shared" si="236"/>
        <v/>
      </c>
      <c r="L1866" s="19" t="str">
        <f t="shared" si="237"/>
        <v/>
      </c>
      <c r="M1866" s="12" t="str">
        <f>IF(A1866="","",IFERROR(INDEX(المدخلات!$M$4:$M$15,MATCH(A1866,المدخلات!$L$4:$L$15,0)),""))</f>
        <v/>
      </c>
      <c r="N1866" s="4" t="str">
        <f t="shared" si="238"/>
        <v/>
      </c>
      <c r="O1866" s="4" t="str">
        <f t="shared" si="239"/>
        <v/>
      </c>
    </row>
    <row r="1867" spans="1:15">
      <c r="A1867" s="11"/>
      <c r="B1867" s="19"/>
      <c r="C1867" s="19"/>
      <c r="D1867" s="55"/>
      <c r="E1867" s="56"/>
      <c r="F1867" s="19"/>
      <c r="G1867" s="4" t="str">
        <f t="shared" si="232"/>
        <v/>
      </c>
      <c r="H1867" s="11" t="str">
        <f t="shared" si="233"/>
        <v/>
      </c>
      <c r="I1867" s="55" t="str">
        <f t="shared" si="234"/>
        <v/>
      </c>
      <c r="J1867" s="55" t="str">
        <f t="shared" si="235"/>
        <v/>
      </c>
      <c r="K1867" s="4" t="str">
        <f t="shared" si="236"/>
        <v/>
      </c>
      <c r="L1867" s="19" t="str">
        <f t="shared" si="237"/>
        <v/>
      </c>
      <c r="M1867" s="12" t="str">
        <f>IF(A1867="","",IFERROR(INDEX(المدخلات!$M$4:$M$15,MATCH(A1867,المدخلات!$L$4:$L$15,0)),""))</f>
        <v/>
      </c>
      <c r="N1867" s="4" t="str">
        <f t="shared" si="238"/>
        <v/>
      </c>
      <c r="O1867" s="4" t="str">
        <f t="shared" si="239"/>
        <v/>
      </c>
    </row>
    <row r="1868" spans="1:15">
      <c r="A1868" s="11"/>
      <c r="B1868" s="19"/>
      <c r="C1868" s="19"/>
      <c r="D1868" s="55"/>
      <c r="E1868" s="56"/>
      <c r="F1868" s="19"/>
      <c r="G1868" s="4" t="str">
        <f t="shared" si="232"/>
        <v/>
      </c>
      <c r="H1868" s="11" t="str">
        <f t="shared" si="233"/>
        <v/>
      </c>
      <c r="I1868" s="55" t="str">
        <f t="shared" si="234"/>
        <v/>
      </c>
      <c r="J1868" s="55" t="str">
        <f t="shared" si="235"/>
        <v/>
      </c>
      <c r="K1868" s="4" t="str">
        <f t="shared" si="236"/>
        <v/>
      </c>
      <c r="L1868" s="19" t="str">
        <f t="shared" si="237"/>
        <v/>
      </c>
      <c r="M1868" s="12" t="str">
        <f>IF(A1868="","",IFERROR(INDEX(المدخلات!$M$4:$M$15,MATCH(A1868,المدخلات!$L$4:$L$15,0)),""))</f>
        <v/>
      </c>
      <c r="N1868" s="4" t="str">
        <f t="shared" si="238"/>
        <v/>
      </c>
      <c r="O1868" s="4" t="str">
        <f t="shared" si="239"/>
        <v/>
      </c>
    </row>
    <row r="1869" spans="1:15">
      <c r="A1869" s="11"/>
      <c r="B1869" s="19"/>
      <c r="C1869" s="19"/>
      <c r="D1869" s="55"/>
      <c r="E1869" s="56"/>
      <c r="F1869" s="19"/>
      <c r="G1869" s="4" t="str">
        <f t="shared" si="232"/>
        <v/>
      </c>
      <c r="H1869" s="11" t="str">
        <f t="shared" si="233"/>
        <v/>
      </c>
      <c r="I1869" s="55" t="str">
        <f t="shared" si="234"/>
        <v/>
      </c>
      <c r="J1869" s="55" t="str">
        <f t="shared" si="235"/>
        <v/>
      </c>
      <c r="K1869" s="4" t="str">
        <f t="shared" si="236"/>
        <v/>
      </c>
      <c r="L1869" s="19" t="str">
        <f t="shared" si="237"/>
        <v/>
      </c>
      <c r="M1869" s="12" t="str">
        <f>IF(A1869="","",IFERROR(INDEX(المدخلات!$M$4:$M$15,MATCH(A1869,المدخلات!$L$4:$L$15,0)),""))</f>
        <v/>
      </c>
      <c r="N1869" s="4" t="str">
        <f t="shared" si="238"/>
        <v/>
      </c>
      <c r="O1869" s="4" t="str">
        <f t="shared" si="239"/>
        <v/>
      </c>
    </row>
    <row r="1870" spans="1:15">
      <c r="A1870" s="11"/>
      <c r="B1870" s="19"/>
      <c r="C1870" s="19"/>
      <c r="D1870" s="55"/>
      <c r="E1870" s="56"/>
      <c r="F1870" s="19"/>
      <c r="G1870" s="4" t="str">
        <f t="shared" si="232"/>
        <v/>
      </c>
      <c r="H1870" s="11" t="str">
        <f t="shared" si="233"/>
        <v/>
      </c>
      <c r="I1870" s="55" t="str">
        <f t="shared" si="234"/>
        <v/>
      </c>
      <c r="J1870" s="55" t="str">
        <f t="shared" si="235"/>
        <v/>
      </c>
      <c r="K1870" s="4" t="str">
        <f t="shared" si="236"/>
        <v/>
      </c>
      <c r="L1870" s="19" t="str">
        <f t="shared" si="237"/>
        <v/>
      </c>
      <c r="M1870" s="12" t="str">
        <f>IF(A1870="","",IFERROR(INDEX(المدخلات!$M$4:$M$15,MATCH(A1870,المدخلات!$L$4:$L$15,0)),""))</f>
        <v/>
      </c>
      <c r="N1870" s="4" t="str">
        <f t="shared" si="238"/>
        <v/>
      </c>
      <c r="O1870" s="4" t="str">
        <f t="shared" si="239"/>
        <v/>
      </c>
    </row>
    <row r="1871" spans="1:15">
      <c r="A1871" s="11"/>
      <c r="B1871" s="19"/>
      <c r="C1871" s="19"/>
      <c r="D1871" s="55"/>
      <c r="E1871" s="56"/>
      <c r="F1871" s="19"/>
      <c r="G1871" s="4" t="str">
        <f t="shared" si="232"/>
        <v/>
      </c>
      <c r="H1871" s="11" t="str">
        <f t="shared" si="233"/>
        <v/>
      </c>
      <c r="I1871" s="55" t="str">
        <f t="shared" si="234"/>
        <v/>
      </c>
      <c r="J1871" s="55" t="str">
        <f t="shared" si="235"/>
        <v/>
      </c>
      <c r="K1871" s="4" t="str">
        <f t="shared" si="236"/>
        <v/>
      </c>
      <c r="L1871" s="19" t="str">
        <f t="shared" si="237"/>
        <v/>
      </c>
      <c r="M1871" s="12" t="str">
        <f>IF(A1871="","",IFERROR(INDEX(المدخلات!$M$4:$M$15,MATCH(A1871,المدخلات!$L$4:$L$15,0)),""))</f>
        <v/>
      </c>
      <c r="N1871" s="4" t="str">
        <f t="shared" si="238"/>
        <v/>
      </c>
      <c r="O1871" s="4" t="str">
        <f t="shared" si="239"/>
        <v/>
      </c>
    </row>
    <row r="1872" spans="1:15">
      <c r="A1872" s="11"/>
      <c r="B1872" s="19"/>
      <c r="C1872" s="19"/>
      <c r="D1872" s="55"/>
      <c r="E1872" s="56"/>
      <c r="F1872" s="19"/>
      <c r="G1872" s="4" t="str">
        <f t="shared" si="232"/>
        <v/>
      </c>
      <c r="H1872" s="11" t="str">
        <f t="shared" si="233"/>
        <v/>
      </c>
      <c r="I1872" s="55" t="str">
        <f t="shared" si="234"/>
        <v/>
      </c>
      <c r="J1872" s="55" t="str">
        <f t="shared" si="235"/>
        <v/>
      </c>
      <c r="K1872" s="4" t="str">
        <f t="shared" si="236"/>
        <v/>
      </c>
      <c r="L1872" s="19" t="str">
        <f t="shared" si="237"/>
        <v/>
      </c>
      <c r="M1872" s="12" t="str">
        <f>IF(A1872="","",IFERROR(INDEX(المدخلات!$M$4:$M$15,MATCH(A1872,المدخلات!$L$4:$L$15,0)),""))</f>
        <v/>
      </c>
      <c r="N1872" s="4" t="str">
        <f t="shared" si="238"/>
        <v/>
      </c>
      <c r="O1872" s="4" t="str">
        <f t="shared" si="239"/>
        <v/>
      </c>
    </row>
    <row r="1873" spans="1:15">
      <c r="A1873" s="11"/>
      <c r="B1873" s="19"/>
      <c r="C1873" s="19"/>
      <c r="D1873" s="55"/>
      <c r="E1873" s="56"/>
      <c r="F1873" s="19"/>
      <c r="G1873" s="4" t="str">
        <f t="shared" si="232"/>
        <v/>
      </c>
      <c r="H1873" s="11" t="str">
        <f t="shared" si="233"/>
        <v/>
      </c>
      <c r="I1873" s="55" t="str">
        <f t="shared" si="234"/>
        <v/>
      </c>
      <c r="J1873" s="55" t="str">
        <f t="shared" si="235"/>
        <v/>
      </c>
      <c r="K1873" s="4" t="str">
        <f t="shared" si="236"/>
        <v/>
      </c>
      <c r="L1873" s="19" t="str">
        <f t="shared" si="237"/>
        <v/>
      </c>
      <c r="M1873" s="12" t="str">
        <f>IF(A1873="","",IFERROR(INDEX(المدخلات!$M$4:$M$15,MATCH(A1873,المدخلات!$L$4:$L$15,0)),""))</f>
        <v/>
      </c>
      <c r="N1873" s="4" t="str">
        <f t="shared" si="238"/>
        <v/>
      </c>
      <c r="O1873" s="4" t="str">
        <f t="shared" si="239"/>
        <v/>
      </c>
    </row>
    <row r="1874" spans="1:15">
      <c r="A1874" s="11"/>
      <c r="B1874" s="19"/>
      <c r="C1874" s="19"/>
      <c r="D1874" s="55"/>
      <c r="E1874" s="56"/>
      <c r="F1874" s="19"/>
      <c r="G1874" s="4" t="str">
        <f t="shared" si="232"/>
        <v/>
      </c>
      <c r="H1874" s="11" t="str">
        <f t="shared" si="233"/>
        <v/>
      </c>
      <c r="I1874" s="55" t="str">
        <f t="shared" si="234"/>
        <v/>
      </c>
      <c r="J1874" s="55" t="str">
        <f t="shared" si="235"/>
        <v/>
      </c>
      <c r="K1874" s="4" t="str">
        <f t="shared" si="236"/>
        <v/>
      </c>
      <c r="L1874" s="19" t="str">
        <f t="shared" si="237"/>
        <v/>
      </c>
      <c r="M1874" s="12" t="str">
        <f>IF(A1874="","",IFERROR(INDEX(المدخلات!$M$4:$M$15,MATCH(A1874,المدخلات!$L$4:$L$15,0)),""))</f>
        <v/>
      </c>
      <c r="N1874" s="4" t="str">
        <f t="shared" si="238"/>
        <v/>
      </c>
      <c r="O1874" s="4" t="str">
        <f t="shared" si="239"/>
        <v/>
      </c>
    </row>
    <row r="1875" spans="1:15">
      <c r="A1875" s="11"/>
      <c r="B1875" s="19"/>
      <c r="C1875" s="19"/>
      <c r="D1875" s="55"/>
      <c r="E1875" s="56"/>
      <c r="F1875" s="19"/>
      <c r="G1875" s="4" t="str">
        <f t="shared" si="232"/>
        <v/>
      </c>
      <c r="H1875" s="11" t="str">
        <f t="shared" si="233"/>
        <v/>
      </c>
      <c r="I1875" s="55" t="str">
        <f t="shared" si="234"/>
        <v/>
      </c>
      <c r="J1875" s="55" t="str">
        <f t="shared" si="235"/>
        <v/>
      </c>
      <c r="K1875" s="4" t="str">
        <f t="shared" si="236"/>
        <v/>
      </c>
      <c r="L1875" s="19" t="str">
        <f t="shared" si="237"/>
        <v/>
      </c>
      <c r="M1875" s="12" t="str">
        <f>IF(A1875="","",IFERROR(INDEX(المدخلات!$M$4:$M$15,MATCH(A1875,المدخلات!$L$4:$L$15,0)),""))</f>
        <v/>
      </c>
      <c r="N1875" s="4" t="str">
        <f t="shared" si="238"/>
        <v/>
      </c>
      <c r="O1875" s="4" t="str">
        <f t="shared" si="239"/>
        <v/>
      </c>
    </row>
    <row r="1876" spans="1:15">
      <c r="A1876" s="11"/>
      <c r="B1876" s="19"/>
      <c r="C1876" s="19"/>
      <c r="D1876" s="55"/>
      <c r="E1876" s="56"/>
      <c r="F1876" s="19"/>
      <c r="G1876" s="4" t="str">
        <f t="shared" si="232"/>
        <v/>
      </c>
      <c r="H1876" s="11" t="str">
        <f t="shared" si="233"/>
        <v/>
      </c>
      <c r="I1876" s="55" t="str">
        <f t="shared" si="234"/>
        <v/>
      </c>
      <c r="J1876" s="55" t="str">
        <f t="shared" si="235"/>
        <v/>
      </c>
      <c r="K1876" s="4" t="str">
        <f t="shared" si="236"/>
        <v/>
      </c>
      <c r="L1876" s="19" t="str">
        <f t="shared" si="237"/>
        <v/>
      </c>
      <c r="M1876" s="12" t="str">
        <f>IF(A1876="","",IFERROR(INDEX(المدخلات!$M$4:$M$15,MATCH(A1876,المدخلات!$L$4:$L$15,0)),""))</f>
        <v/>
      </c>
      <c r="N1876" s="4" t="str">
        <f t="shared" si="238"/>
        <v/>
      </c>
      <c r="O1876" s="4" t="str">
        <f t="shared" si="239"/>
        <v/>
      </c>
    </row>
    <row r="1877" spans="1:15">
      <c r="A1877" s="11"/>
      <c r="B1877" s="19"/>
      <c r="C1877" s="19"/>
      <c r="D1877" s="55"/>
      <c r="E1877" s="56"/>
      <c r="F1877" s="19"/>
      <c r="G1877" s="4" t="str">
        <f t="shared" si="232"/>
        <v/>
      </c>
      <c r="H1877" s="11" t="str">
        <f t="shared" si="233"/>
        <v/>
      </c>
      <c r="I1877" s="55" t="str">
        <f t="shared" si="234"/>
        <v/>
      </c>
      <c r="J1877" s="55" t="str">
        <f t="shared" si="235"/>
        <v/>
      </c>
      <c r="K1877" s="4" t="str">
        <f t="shared" si="236"/>
        <v/>
      </c>
      <c r="L1877" s="19" t="str">
        <f t="shared" si="237"/>
        <v/>
      </c>
      <c r="M1877" s="12" t="str">
        <f>IF(A1877="","",IFERROR(INDEX(المدخلات!$M$4:$M$15,MATCH(A1877,المدخلات!$L$4:$L$15,0)),""))</f>
        <v/>
      </c>
      <c r="N1877" s="4" t="str">
        <f t="shared" si="238"/>
        <v/>
      </c>
      <c r="O1877" s="4" t="str">
        <f t="shared" si="239"/>
        <v/>
      </c>
    </row>
    <row r="1878" spans="1:15">
      <c r="A1878" s="11"/>
      <c r="B1878" s="19"/>
      <c r="C1878" s="19"/>
      <c r="D1878" s="55"/>
      <c r="E1878" s="56"/>
      <c r="F1878" s="19"/>
      <c r="G1878" s="4" t="str">
        <f t="shared" si="232"/>
        <v/>
      </c>
      <c r="H1878" s="11" t="str">
        <f t="shared" si="233"/>
        <v/>
      </c>
      <c r="I1878" s="55" t="str">
        <f t="shared" si="234"/>
        <v/>
      </c>
      <c r="J1878" s="55" t="str">
        <f t="shared" si="235"/>
        <v/>
      </c>
      <c r="K1878" s="4" t="str">
        <f t="shared" si="236"/>
        <v/>
      </c>
      <c r="L1878" s="19" t="str">
        <f t="shared" si="237"/>
        <v/>
      </c>
      <c r="M1878" s="12" t="str">
        <f>IF(A1878="","",IFERROR(INDEX(المدخلات!$M$4:$M$15,MATCH(A1878,المدخلات!$L$4:$L$15,0)),""))</f>
        <v/>
      </c>
      <c r="N1878" s="4" t="str">
        <f t="shared" si="238"/>
        <v/>
      </c>
      <c r="O1878" s="4" t="str">
        <f t="shared" si="239"/>
        <v/>
      </c>
    </row>
    <row r="1879" spans="1:15">
      <c r="A1879" s="11"/>
      <c r="B1879" s="19"/>
      <c r="C1879" s="19"/>
      <c r="D1879" s="55"/>
      <c r="E1879" s="56"/>
      <c r="F1879" s="19"/>
      <c r="G1879" s="4" t="str">
        <f t="shared" si="232"/>
        <v/>
      </c>
      <c r="H1879" s="11" t="str">
        <f t="shared" si="233"/>
        <v/>
      </c>
      <c r="I1879" s="55" t="str">
        <f t="shared" si="234"/>
        <v/>
      </c>
      <c r="J1879" s="55" t="str">
        <f t="shared" si="235"/>
        <v/>
      </c>
      <c r="K1879" s="4" t="str">
        <f t="shared" si="236"/>
        <v/>
      </c>
      <c r="L1879" s="19" t="str">
        <f t="shared" si="237"/>
        <v/>
      </c>
      <c r="M1879" s="12" t="str">
        <f>IF(A1879="","",IFERROR(INDEX(المدخلات!$M$4:$M$15,MATCH(A1879,المدخلات!$L$4:$L$15,0)),""))</f>
        <v/>
      </c>
      <c r="N1879" s="4" t="str">
        <f t="shared" si="238"/>
        <v/>
      </c>
      <c r="O1879" s="4" t="str">
        <f t="shared" si="239"/>
        <v/>
      </c>
    </row>
    <row r="1880" spans="1:15">
      <c r="A1880" s="11"/>
      <c r="B1880" s="19"/>
      <c r="C1880" s="19"/>
      <c r="D1880" s="55"/>
      <c r="E1880" s="56"/>
      <c r="F1880" s="19"/>
      <c r="G1880" s="4" t="str">
        <f t="shared" si="232"/>
        <v/>
      </c>
      <c r="H1880" s="11" t="str">
        <f t="shared" si="233"/>
        <v/>
      </c>
      <c r="I1880" s="55" t="str">
        <f t="shared" si="234"/>
        <v/>
      </c>
      <c r="J1880" s="55" t="str">
        <f t="shared" si="235"/>
        <v/>
      </c>
      <c r="K1880" s="4" t="str">
        <f t="shared" si="236"/>
        <v/>
      </c>
      <c r="L1880" s="19" t="str">
        <f t="shared" si="237"/>
        <v/>
      </c>
      <c r="M1880" s="12" t="str">
        <f>IF(A1880="","",IFERROR(INDEX(المدخلات!$M$4:$M$15,MATCH(A1880,المدخلات!$L$4:$L$15,0)),""))</f>
        <v/>
      </c>
      <c r="N1880" s="4" t="str">
        <f t="shared" si="238"/>
        <v/>
      </c>
      <c r="O1880" s="4" t="str">
        <f t="shared" si="239"/>
        <v/>
      </c>
    </row>
    <row r="1881" spans="1:15">
      <c r="A1881" s="11"/>
      <c r="B1881" s="19"/>
      <c r="C1881" s="19"/>
      <c r="D1881" s="55"/>
      <c r="E1881" s="56"/>
      <c r="F1881" s="19"/>
      <c r="G1881" s="4" t="str">
        <f t="shared" si="232"/>
        <v/>
      </c>
      <c r="H1881" s="11" t="str">
        <f t="shared" si="233"/>
        <v/>
      </c>
      <c r="I1881" s="55" t="str">
        <f t="shared" si="234"/>
        <v/>
      </c>
      <c r="J1881" s="55" t="str">
        <f t="shared" si="235"/>
        <v/>
      </c>
      <c r="K1881" s="4" t="str">
        <f t="shared" si="236"/>
        <v/>
      </c>
      <c r="L1881" s="19" t="str">
        <f t="shared" si="237"/>
        <v/>
      </c>
      <c r="M1881" s="12" t="str">
        <f>IF(A1881="","",IFERROR(INDEX(المدخلات!$M$4:$M$15,MATCH(A1881,المدخلات!$L$4:$L$15,0)),""))</f>
        <v/>
      </c>
      <c r="N1881" s="4" t="str">
        <f t="shared" si="238"/>
        <v/>
      </c>
      <c r="O1881" s="4" t="str">
        <f t="shared" si="239"/>
        <v/>
      </c>
    </row>
    <row r="1882" spans="1:15">
      <c r="A1882" s="11"/>
      <c r="B1882" s="19"/>
      <c r="C1882" s="19"/>
      <c r="D1882" s="55"/>
      <c r="E1882" s="56"/>
      <c r="F1882" s="19"/>
      <c r="G1882" s="4" t="str">
        <f t="shared" si="232"/>
        <v/>
      </c>
      <c r="H1882" s="11" t="str">
        <f t="shared" si="233"/>
        <v/>
      </c>
      <c r="I1882" s="55" t="str">
        <f t="shared" si="234"/>
        <v/>
      </c>
      <c r="J1882" s="55" t="str">
        <f t="shared" si="235"/>
        <v/>
      </c>
      <c r="K1882" s="4" t="str">
        <f t="shared" si="236"/>
        <v/>
      </c>
      <c r="L1882" s="19" t="str">
        <f t="shared" si="237"/>
        <v/>
      </c>
      <c r="M1882" s="12" t="str">
        <f>IF(A1882="","",IFERROR(INDEX(المدخلات!$M$4:$M$15,MATCH(A1882,المدخلات!$L$4:$L$15,0)),""))</f>
        <v/>
      </c>
      <c r="N1882" s="4" t="str">
        <f t="shared" si="238"/>
        <v/>
      </c>
      <c r="O1882" s="4" t="str">
        <f t="shared" si="239"/>
        <v/>
      </c>
    </row>
    <row r="1883" spans="1:15">
      <c r="A1883" s="11"/>
      <c r="B1883" s="19"/>
      <c r="C1883" s="19"/>
      <c r="D1883" s="55"/>
      <c r="E1883" s="56"/>
      <c r="F1883" s="19"/>
      <c r="G1883" s="4" t="str">
        <f t="shared" si="232"/>
        <v/>
      </c>
      <c r="H1883" s="11" t="str">
        <f t="shared" si="233"/>
        <v/>
      </c>
      <c r="I1883" s="55" t="str">
        <f t="shared" si="234"/>
        <v/>
      </c>
      <c r="J1883" s="55" t="str">
        <f t="shared" si="235"/>
        <v/>
      </c>
      <c r="K1883" s="4" t="str">
        <f t="shared" si="236"/>
        <v/>
      </c>
      <c r="L1883" s="19" t="str">
        <f t="shared" si="237"/>
        <v/>
      </c>
      <c r="M1883" s="12" t="str">
        <f>IF(A1883="","",IFERROR(INDEX(المدخلات!$M$4:$M$15,MATCH(A1883,المدخلات!$L$4:$L$15,0)),""))</f>
        <v/>
      </c>
      <c r="N1883" s="4" t="str">
        <f t="shared" si="238"/>
        <v/>
      </c>
      <c r="O1883" s="4" t="str">
        <f t="shared" si="239"/>
        <v/>
      </c>
    </row>
    <row r="1884" spans="1:15">
      <c r="A1884" s="11"/>
      <c r="B1884" s="19"/>
      <c r="C1884" s="19"/>
      <c r="D1884" s="55"/>
      <c r="E1884" s="56"/>
      <c r="F1884" s="19"/>
      <c r="G1884" s="4" t="str">
        <f t="shared" si="232"/>
        <v/>
      </c>
      <c r="H1884" s="11" t="str">
        <f t="shared" si="233"/>
        <v/>
      </c>
      <c r="I1884" s="55" t="str">
        <f t="shared" si="234"/>
        <v/>
      </c>
      <c r="J1884" s="55" t="str">
        <f t="shared" si="235"/>
        <v/>
      </c>
      <c r="K1884" s="4" t="str">
        <f t="shared" si="236"/>
        <v/>
      </c>
      <c r="L1884" s="19" t="str">
        <f t="shared" si="237"/>
        <v/>
      </c>
      <c r="M1884" s="12" t="str">
        <f>IF(A1884="","",IFERROR(INDEX(المدخلات!$M$4:$M$15,MATCH(A1884,المدخلات!$L$4:$L$15,0)),""))</f>
        <v/>
      </c>
      <c r="N1884" s="4" t="str">
        <f t="shared" si="238"/>
        <v/>
      </c>
      <c r="O1884" s="4" t="str">
        <f t="shared" si="239"/>
        <v/>
      </c>
    </row>
    <row r="1885" spans="1:15">
      <c r="A1885" s="11"/>
      <c r="B1885" s="19"/>
      <c r="C1885" s="19"/>
      <c r="D1885" s="55"/>
      <c r="E1885" s="56"/>
      <c r="F1885" s="19"/>
      <c r="G1885" s="4" t="str">
        <f t="shared" si="232"/>
        <v/>
      </c>
      <c r="H1885" s="11" t="str">
        <f t="shared" si="233"/>
        <v/>
      </c>
      <c r="I1885" s="55" t="str">
        <f t="shared" si="234"/>
        <v/>
      </c>
      <c r="J1885" s="55" t="str">
        <f t="shared" si="235"/>
        <v/>
      </c>
      <c r="K1885" s="4" t="str">
        <f t="shared" si="236"/>
        <v/>
      </c>
      <c r="L1885" s="19" t="str">
        <f t="shared" si="237"/>
        <v/>
      </c>
      <c r="M1885" s="12" t="str">
        <f>IF(A1885="","",IFERROR(INDEX(المدخلات!$M$4:$M$15,MATCH(A1885,المدخلات!$L$4:$L$15,0)),""))</f>
        <v/>
      </c>
      <c r="N1885" s="4" t="str">
        <f t="shared" si="238"/>
        <v/>
      </c>
      <c r="O1885" s="4" t="str">
        <f t="shared" si="239"/>
        <v/>
      </c>
    </row>
    <row r="1886" spans="1:15">
      <c r="A1886" s="11"/>
      <c r="B1886" s="19"/>
      <c r="C1886" s="19"/>
      <c r="D1886" s="55"/>
      <c r="E1886" s="56"/>
      <c r="F1886" s="19"/>
      <c r="G1886" s="4" t="str">
        <f t="shared" si="232"/>
        <v/>
      </c>
      <c r="H1886" s="11" t="str">
        <f t="shared" si="233"/>
        <v/>
      </c>
      <c r="I1886" s="55" t="str">
        <f t="shared" si="234"/>
        <v/>
      </c>
      <c r="J1886" s="55" t="str">
        <f t="shared" si="235"/>
        <v/>
      </c>
      <c r="K1886" s="4" t="str">
        <f t="shared" si="236"/>
        <v/>
      </c>
      <c r="L1886" s="19" t="str">
        <f t="shared" si="237"/>
        <v/>
      </c>
      <c r="M1886" s="12" t="str">
        <f>IF(A1886="","",IFERROR(INDEX(المدخلات!$M$4:$M$15,MATCH(A1886,المدخلات!$L$4:$L$15,0)),""))</f>
        <v/>
      </c>
      <c r="N1886" s="4" t="str">
        <f t="shared" si="238"/>
        <v/>
      </c>
      <c r="O1886" s="4" t="str">
        <f t="shared" si="239"/>
        <v/>
      </c>
    </row>
    <row r="1887" spans="1:15">
      <c r="A1887" s="11"/>
      <c r="B1887" s="19"/>
      <c r="C1887" s="19"/>
      <c r="D1887" s="55"/>
      <c r="E1887" s="56"/>
      <c r="F1887" s="19"/>
      <c r="G1887" s="4" t="str">
        <f t="shared" si="232"/>
        <v/>
      </c>
      <c r="H1887" s="11" t="str">
        <f t="shared" si="233"/>
        <v/>
      </c>
      <c r="I1887" s="55" t="str">
        <f t="shared" si="234"/>
        <v/>
      </c>
      <c r="J1887" s="55" t="str">
        <f t="shared" si="235"/>
        <v/>
      </c>
      <c r="K1887" s="4" t="str">
        <f t="shared" si="236"/>
        <v/>
      </c>
      <c r="L1887" s="19" t="str">
        <f t="shared" si="237"/>
        <v/>
      </c>
      <c r="M1887" s="12" t="str">
        <f>IF(A1887="","",IFERROR(INDEX(المدخلات!$M$4:$M$15,MATCH(A1887,المدخلات!$L$4:$L$15,0)),""))</f>
        <v/>
      </c>
      <c r="N1887" s="4" t="str">
        <f t="shared" si="238"/>
        <v/>
      </c>
      <c r="O1887" s="4" t="str">
        <f t="shared" si="239"/>
        <v/>
      </c>
    </row>
    <row r="1888" spans="1:15">
      <c r="A1888" s="11"/>
      <c r="B1888" s="19"/>
      <c r="C1888" s="19"/>
      <c r="D1888" s="55"/>
      <c r="E1888" s="56"/>
      <c r="F1888" s="19"/>
      <c r="G1888" s="4" t="str">
        <f t="shared" si="232"/>
        <v/>
      </c>
      <c r="H1888" s="11" t="str">
        <f t="shared" si="233"/>
        <v/>
      </c>
      <c r="I1888" s="55" t="str">
        <f t="shared" si="234"/>
        <v/>
      </c>
      <c r="J1888" s="55" t="str">
        <f t="shared" si="235"/>
        <v/>
      </c>
      <c r="K1888" s="4" t="str">
        <f t="shared" si="236"/>
        <v/>
      </c>
      <c r="L1888" s="19" t="str">
        <f t="shared" si="237"/>
        <v/>
      </c>
      <c r="M1888" s="12" t="str">
        <f>IF(A1888="","",IFERROR(INDEX(المدخلات!$M$4:$M$15,MATCH(A1888,المدخلات!$L$4:$L$15,0)),""))</f>
        <v/>
      </c>
      <c r="N1888" s="4" t="str">
        <f t="shared" si="238"/>
        <v/>
      </c>
      <c r="O1888" s="4" t="str">
        <f t="shared" si="239"/>
        <v/>
      </c>
    </row>
    <row r="1889" spans="1:15">
      <c r="A1889" s="11"/>
      <c r="B1889" s="19"/>
      <c r="C1889" s="19"/>
      <c r="D1889" s="55"/>
      <c r="E1889" s="56"/>
      <c r="F1889" s="19"/>
      <c r="G1889" s="4" t="str">
        <f t="shared" si="232"/>
        <v/>
      </c>
      <c r="H1889" s="11" t="str">
        <f t="shared" si="233"/>
        <v/>
      </c>
      <c r="I1889" s="55" t="str">
        <f t="shared" si="234"/>
        <v/>
      </c>
      <c r="J1889" s="55" t="str">
        <f t="shared" si="235"/>
        <v/>
      </c>
      <c r="K1889" s="4" t="str">
        <f t="shared" si="236"/>
        <v/>
      </c>
      <c r="L1889" s="19" t="str">
        <f t="shared" si="237"/>
        <v/>
      </c>
      <c r="M1889" s="12" t="str">
        <f>IF(A1889="","",IFERROR(INDEX(المدخلات!$M$4:$M$15,MATCH(A1889,المدخلات!$L$4:$L$15,0)),""))</f>
        <v/>
      </c>
      <c r="N1889" s="4" t="str">
        <f t="shared" si="238"/>
        <v/>
      </c>
      <c r="O1889" s="4" t="str">
        <f t="shared" si="239"/>
        <v/>
      </c>
    </row>
    <row r="1890" spans="1:15">
      <c r="A1890" s="11"/>
      <c r="B1890" s="19"/>
      <c r="C1890" s="19"/>
      <c r="D1890" s="55"/>
      <c r="E1890" s="56"/>
      <c r="F1890" s="19"/>
      <c r="G1890" s="4" t="str">
        <f t="shared" si="232"/>
        <v/>
      </c>
      <c r="H1890" s="11" t="str">
        <f t="shared" si="233"/>
        <v/>
      </c>
      <c r="I1890" s="55" t="str">
        <f t="shared" si="234"/>
        <v/>
      </c>
      <c r="J1890" s="55" t="str">
        <f t="shared" si="235"/>
        <v/>
      </c>
      <c r="K1890" s="4" t="str">
        <f t="shared" si="236"/>
        <v/>
      </c>
      <c r="L1890" s="19" t="str">
        <f t="shared" si="237"/>
        <v/>
      </c>
      <c r="M1890" s="12" t="str">
        <f>IF(A1890="","",IFERROR(INDEX(المدخلات!$M$4:$M$15,MATCH(A1890,المدخلات!$L$4:$L$15,0)),""))</f>
        <v/>
      </c>
      <c r="N1890" s="4" t="str">
        <f t="shared" si="238"/>
        <v/>
      </c>
      <c r="O1890" s="4" t="str">
        <f t="shared" si="239"/>
        <v/>
      </c>
    </row>
    <row r="1891" spans="1:15">
      <c r="A1891" s="11"/>
      <c r="B1891" s="19"/>
      <c r="C1891" s="19"/>
      <c r="D1891" s="55"/>
      <c r="E1891" s="56"/>
      <c r="F1891" s="19"/>
      <c r="G1891" s="4" t="str">
        <f t="shared" si="232"/>
        <v/>
      </c>
      <c r="H1891" s="11" t="str">
        <f t="shared" si="233"/>
        <v/>
      </c>
      <c r="I1891" s="55" t="str">
        <f t="shared" si="234"/>
        <v/>
      </c>
      <c r="J1891" s="55" t="str">
        <f t="shared" si="235"/>
        <v/>
      </c>
      <c r="K1891" s="4" t="str">
        <f t="shared" si="236"/>
        <v/>
      </c>
      <c r="L1891" s="19" t="str">
        <f t="shared" si="237"/>
        <v/>
      </c>
      <c r="M1891" s="12" t="str">
        <f>IF(A1891="","",IFERROR(INDEX(المدخلات!$M$4:$M$15,MATCH(A1891,المدخلات!$L$4:$L$15,0)),""))</f>
        <v/>
      </c>
      <c r="N1891" s="4" t="str">
        <f t="shared" si="238"/>
        <v/>
      </c>
      <c r="O1891" s="4" t="str">
        <f t="shared" si="239"/>
        <v/>
      </c>
    </row>
    <row r="1892" spans="1:15">
      <c r="A1892" s="11"/>
      <c r="B1892" s="19"/>
      <c r="C1892" s="19"/>
      <c r="D1892" s="55"/>
      <c r="E1892" s="56"/>
      <c r="F1892" s="19"/>
      <c r="G1892" s="4" t="str">
        <f t="shared" si="232"/>
        <v/>
      </c>
      <c r="H1892" s="11" t="str">
        <f t="shared" si="233"/>
        <v/>
      </c>
      <c r="I1892" s="55" t="str">
        <f t="shared" si="234"/>
        <v/>
      </c>
      <c r="J1892" s="55" t="str">
        <f t="shared" si="235"/>
        <v/>
      </c>
      <c r="K1892" s="4" t="str">
        <f t="shared" si="236"/>
        <v/>
      </c>
      <c r="L1892" s="19" t="str">
        <f t="shared" si="237"/>
        <v/>
      </c>
      <c r="M1892" s="12" t="str">
        <f>IF(A1892="","",IFERROR(INDEX(المدخلات!$M$4:$M$15,MATCH(A1892,المدخلات!$L$4:$L$15,0)),""))</f>
        <v/>
      </c>
      <c r="N1892" s="4" t="str">
        <f t="shared" si="238"/>
        <v/>
      </c>
      <c r="O1892" s="4" t="str">
        <f t="shared" si="239"/>
        <v/>
      </c>
    </row>
    <row r="1893" spans="1:15">
      <c r="A1893" s="11"/>
      <c r="B1893" s="19"/>
      <c r="C1893" s="19"/>
      <c r="D1893" s="55"/>
      <c r="E1893" s="56"/>
      <c r="F1893" s="19"/>
      <c r="G1893" s="4" t="str">
        <f t="shared" si="232"/>
        <v/>
      </c>
      <c r="H1893" s="11" t="str">
        <f t="shared" si="233"/>
        <v/>
      </c>
      <c r="I1893" s="55" t="str">
        <f t="shared" si="234"/>
        <v/>
      </c>
      <c r="J1893" s="55" t="str">
        <f t="shared" si="235"/>
        <v/>
      </c>
      <c r="K1893" s="4" t="str">
        <f t="shared" si="236"/>
        <v/>
      </c>
      <c r="L1893" s="19" t="str">
        <f t="shared" si="237"/>
        <v/>
      </c>
      <c r="M1893" s="12" t="str">
        <f>IF(A1893="","",IFERROR(INDEX(المدخلات!$M$4:$M$15,MATCH(A1893,المدخلات!$L$4:$L$15,0)),""))</f>
        <v/>
      </c>
      <c r="N1893" s="4" t="str">
        <f t="shared" si="238"/>
        <v/>
      </c>
      <c r="O1893" s="4" t="str">
        <f t="shared" si="239"/>
        <v/>
      </c>
    </row>
    <row r="1894" spans="1:15">
      <c r="A1894" s="11"/>
      <c r="B1894" s="19"/>
      <c r="C1894" s="19"/>
      <c r="D1894" s="55"/>
      <c r="E1894" s="56"/>
      <c r="F1894" s="19"/>
      <c r="G1894" s="4" t="str">
        <f t="shared" si="232"/>
        <v/>
      </c>
      <c r="H1894" s="11" t="str">
        <f t="shared" si="233"/>
        <v/>
      </c>
      <c r="I1894" s="55" t="str">
        <f t="shared" si="234"/>
        <v/>
      </c>
      <c r="J1894" s="55" t="str">
        <f t="shared" si="235"/>
        <v/>
      </c>
      <c r="K1894" s="4" t="str">
        <f t="shared" si="236"/>
        <v/>
      </c>
      <c r="L1894" s="19" t="str">
        <f t="shared" si="237"/>
        <v/>
      </c>
      <c r="M1894" s="12" t="str">
        <f>IF(A1894="","",IFERROR(INDEX(المدخلات!$M$4:$M$15,MATCH(A1894,المدخلات!$L$4:$L$15,0)),""))</f>
        <v/>
      </c>
      <c r="N1894" s="4" t="str">
        <f t="shared" si="238"/>
        <v/>
      </c>
      <c r="O1894" s="4" t="str">
        <f t="shared" si="239"/>
        <v/>
      </c>
    </row>
    <row r="1895" spans="1:15">
      <c r="A1895" s="11"/>
      <c r="B1895" s="19"/>
      <c r="C1895" s="19"/>
      <c r="D1895" s="55"/>
      <c r="E1895" s="56"/>
      <c r="F1895" s="19"/>
      <c r="G1895" s="4" t="str">
        <f t="shared" si="232"/>
        <v/>
      </c>
      <c r="H1895" s="11" t="str">
        <f t="shared" si="233"/>
        <v/>
      </c>
      <c r="I1895" s="55" t="str">
        <f t="shared" si="234"/>
        <v/>
      </c>
      <c r="J1895" s="55" t="str">
        <f t="shared" si="235"/>
        <v/>
      </c>
      <c r="K1895" s="4" t="str">
        <f t="shared" si="236"/>
        <v/>
      </c>
      <c r="L1895" s="19" t="str">
        <f t="shared" si="237"/>
        <v/>
      </c>
      <c r="M1895" s="12" t="str">
        <f>IF(A1895="","",IFERROR(INDEX(المدخلات!$M$4:$M$15,MATCH(A1895,المدخلات!$L$4:$L$15,0)),""))</f>
        <v/>
      </c>
      <c r="N1895" s="4" t="str">
        <f t="shared" si="238"/>
        <v/>
      </c>
      <c r="O1895" s="4" t="str">
        <f t="shared" si="239"/>
        <v/>
      </c>
    </row>
    <row r="1896" spans="1:15">
      <c r="A1896" s="11"/>
      <c r="B1896" s="19"/>
      <c r="C1896" s="19"/>
      <c r="D1896" s="55"/>
      <c r="E1896" s="56"/>
      <c r="F1896" s="19"/>
      <c r="G1896" s="4" t="str">
        <f t="shared" si="232"/>
        <v/>
      </c>
      <c r="H1896" s="11" t="str">
        <f t="shared" si="233"/>
        <v/>
      </c>
      <c r="I1896" s="55" t="str">
        <f t="shared" si="234"/>
        <v/>
      </c>
      <c r="J1896" s="55" t="str">
        <f t="shared" si="235"/>
        <v/>
      </c>
      <c r="K1896" s="4" t="str">
        <f t="shared" si="236"/>
        <v/>
      </c>
      <c r="L1896" s="19" t="str">
        <f t="shared" si="237"/>
        <v/>
      </c>
      <c r="M1896" s="12" t="str">
        <f>IF(A1896="","",IFERROR(INDEX(المدخلات!$M$4:$M$15,MATCH(A1896,المدخلات!$L$4:$L$15,0)),""))</f>
        <v/>
      </c>
      <c r="N1896" s="4" t="str">
        <f t="shared" si="238"/>
        <v/>
      </c>
      <c r="O1896" s="4" t="str">
        <f t="shared" si="239"/>
        <v/>
      </c>
    </row>
    <row r="1897" spans="1:15">
      <c r="A1897" s="11"/>
      <c r="B1897" s="19"/>
      <c r="C1897" s="19"/>
      <c r="D1897" s="55"/>
      <c r="E1897" s="56"/>
      <c r="F1897" s="19"/>
      <c r="G1897" s="4" t="str">
        <f t="shared" si="232"/>
        <v/>
      </c>
      <c r="H1897" s="11" t="str">
        <f t="shared" si="233"/>
        <v/>
      </c>
      <c r="I1897" s="55" t="str">
        <f t="shared" si="234"/>
        <v/>
      </c>
      <c r="J1897" s="55" t="str">
        <f t="shared" si="235"/>
        <v/>
      </c>
      <c r="K1897" s="4" t="str">
        <f t="shared" si="236"/>
        <v/>
      </c>
      <c r="L1897" s="19" t="str">
        <f t="shared" si="237"/>
        <v/>
      </c>
      <c r="M1897" s="12" t="str">
        <f>IF(A1897="","",IFERROR(INDEX(المدخلات!$M$4:$M$15,MATCH(A1897,المدخلات!$L$4:$L$15,0)),""))</f>
        <v/>
      </c>
      <c r="N1897" s="4" t="str">
        <f t="shared" si="238"/>
        <v/>
      </c>
      <c r="O1897" s="4" t="str">
        <f t="shared" si="239"/>
        <v/>
      </c>
    </row>
    <row r="1898" spans="1:15">
      <c r="A1898" s="11"/>
      <c r="B1898" s="19"/>
      <c r="C1898" s="19"/>
      <c r="D1898" s="55"/>
      <c r="E1898" s="56"/>
      <c r="F1898" s="19"/>
      <c r="G1898" s="4" t="str">
        <f t="shared" si="232"/>
        <v/>
      </c>
      <c r="H1898" s="11" t="str">
        <f t="shared" si="233"/>
        <v/>
      </c>
      <c r="I1898" s="55" t="str">
        <f t="shared" si="234"/>
        <v/>
      </c>
      <c r="J1898" s="55" t="str">
        <f t="shared" si="235"/>
        <v/>
      </c>
      <c r="K1898" s="4" t="str">
        <f t="shared" si="236"/>
        <v/>
      </c>
      <c r="L1898" s="19" t="str">
        <f t="shared" si="237"/>
        <v/>
      </c>
      <c r="M1898" s="12" t="str">
        <f>IF(A1898="","",IFERROR(INDEX(المدخلات!$M$4:$M$15,MATCH(A1898,المدخلات!$L$4:$L$15,0)),""))</f>
        <v/>
      </c>
      <c r="N1898" s="4" t="str">
        <f t="shared" si="238"/>
        <v/>
      </c>
      <c r="O1898" s="4" t="str">
        <f t="shared" si="239"/>
        <v/>
      </c>
    </row>
    <row r="1899" spans="1:15">
      <c r="A1899" s="11"/>
      <c r="B1899" s="19"/>
      <c r="C1899" s="19"/>
      <c r="D1899" s="55"/>
      <c r="E1899" s="56"/>
      <c r="F1899" s="19"/>
      <c r="G1899" s="4" t="str">
        <f t="shared" si="232"/>
        <v/>
      </c>
      <c r="H1899" s="11" t="str">
        <f t="shared" si="233"/>
        <v/>
      </c>
      <c r="I1899" s="55" t="str">
        <f t="shared" si="234"/>
        <v/>
      </c>
      <c r="J1899" s="55" t="str">
        <f t="shared" si="235"/>
        <v/>
      </c>
      <c r="K1899" s="4" t="str">
        <f t="shared" si="236"/>
        <v/>
      </c>
      <c r="L1899" s="19" t="str">
        <f t="shared" si="237"/>
        <v/>
      </c>
      <c r="M1899" s="12" t="str">
        <f>IF(A1899="","",IFERROR(INDEX(المدخلات!$M$4:$M$15,MATCH(A1899,المدخلات!$L$4:$L$15,0)),""))</f>
        <v/>
      </c>
      <c r="N1899" s="4" t="str">
        <f t="shared" si="238"/>
        <v/>
      </c>
      <c r="O1899" s="4" t="str">
        <f t="shared" si="239"/>
        <v/>
      </c>
    </row>
    <row r="1900" spans="1:15">
      <c r="A1900" s="11"/>
      <c r="B1900" s="19"/>
      <c r="C1900" s="19"/>
      <c r="D1900" s="55"/>
      <c r="E1900" s="56"/>
      <c r="F1900" s="19"/>
      <c r="G1900" s="4" t="str">
        <f t="shared" si="232"/>
        <v/>
      </c>
      <c r="H1900" s="11" t="str">
        <f t="shared" si="233"/>
        <v/>
      </c>
      <c r="I1900" s="55" t="str">
        <f t="shared" si="234"/>
        <v/>
      </c>
      <c r="J1900" s="55" t="str">
        <f t="shared" si="235"/>
        <v/>
      </c>
      <c r="K1900" s="4" t="str">
        <f t="shared" si="236"/>
        <v/>
      </c>
      <c r="L1900" s="19" t="str">
        <f t="shared" si="237"/>
        <v/>
      </c>
      <c r="M1900" s="12" t="str">
        <f>IF(A1900="","",IFERROR(INDEX(المدخلات!$M$4:$M$15,MATCH(A1900,المدخلات!$L$4:$L$15,0)),""))</f>
        <v/>
      </c>
      <c r="N1900" s="4" t="str">
        <f t="shared" si="238"/>
        <v/>
      </c>
      <c r="O1900" s="4" t="str">
        <f t="shared" si="239"/>
        <v/>
      </c>
    </row>
    <row r="1901" spans="1:15">
      <c r="A1901" s="11"/>
      <c r="B1901" s="19"/>
      <c r="C1901" s="19"/>
      <c r="D1901" s="55"/>
      <c r="E1901" s="56"/>
      <c r="F1901" s="19"/>
      <c r="G1901" s="4" t="str">
        <f t="shared" si="232"/>
        <v/>
      </c>
      <c r="H1901" s="11" t="str">
        <f t="shared" si="233"/>
        <v/>
      </c>
      <c r="I1901" s="55" t="str">
        <f t="shared" si="234"/>
        <v/>
      </c>
      <c r="J1901" s="55" t="str">
        <f t="shared" si="235"/>
        <v/>
      </c>
      <c r="K1901" s="4" t="str">
        <f t="shared" si="236"/>
        <v/>
      </c>
      <c r="L1901" s="19" t="str">
        <f t="shared" si="237"/>
        <v/>
      </c>
      <c r="M1901" s="12" t="str">
        <f>IF(A1901="","",IFERROR(INDEX(المدخلات!$M$4:$M$15,MATCH(A1901,المدخلات!$L$4:$L$15,0)),""))</f>
        <v/>
      </c>
      <c r="N1901" s="4" t="str">
        <f t="shared" si="238"/>
        <v/>
      </c>
      <c r="O1901" s="4" t="str">
        <f t="shared" si="239"/>
        <v/>
      </c>
    </row>
    <row r="1902" spans="1:15">
      <c r="A1902" s="11"/>
      <c r="B1902" s="19"/>
      <c r="C1902" s="19"/>
      <c r="D1902" s="55"/>
      <c r="E1902" s="56"/>
      <c r="F1902" s="19"/>
      <c r="G1902" s="4" t="str">
        <f t="shared" si="232"/>
        <v/>
      </c>
      <c r="H1902" s="11" t="str">
        <f t="shared" si="233"/>
        <v/>
      </c>
      <c r="I1902" s="55" t="str">
        <f t="shared" si="234"/>
        <v/>
      </c>
      <c r="J1902" s="55" t="str">
        <f t="shared" si="235"/>
        <v/>
      </c>
      <c r="K1902" s="4" t="str">
        <f t="shared" si="236"/>
        <v/>
      </c>
      <c r="L1902" s="19" t="str">
        <f t="shared" si="237"/>
        <v/>
      </c>
      <c r="M1902" s="12" t="str">
        <f>IF(A1902="","",IFERROR(INDEX(المدخلات!$M$4:$M$15,MATCH(A1902,المدخلات!$L$4:$L$15,0)),""))</f>
        <v/>
      </c>
      <c r="N1902" s="4" t="str">
        <f t="shared" si="238"/>
        <v/>
      </c>
      <c r="O1902" s="4" t="str">
        <f t="shared" si="239"/>
        <v/>
      </c>
    </row>
    <row r="1903" spans="1:15">
      <c r="A1903" s="11"/>
      <c r="B1903" s="19"/>
      <c r="C1903" s="19"/>
      <c r="D1903" s="55"/>
      <c r="E1903" s="56"/>
      <c r="F1903" s="19"/>
      <c r="G1903" s="4" t="str">
        <f t="shared" si="232"/>
        <v/>
      </c>
      <c r="H1903" s="11" t="str">
        <f t="shared" si="233"/>
        <v/>
      </c>
      <c r="I1903" s="55" t="str">
        <f t="shared" si="234"/>
        <v/>
      </c>
      <c r="J1903" s="55" t="str">
        <f t="shared" si="235"/>
        <v/>
      </c>
      <c r="K1903" s="4" t="str">
        <f t="shared" si="236"/>
        <v/>
      </c>
      <c r="L1903" s="19" t="str">
        <f t="shared" si="237"/>
        <v/>
      </c>
      <c r="M1903" s="12" t="str">
        <f>IF(A1903="","",IFERROR(INDEX(المدخلات!$M$4:$M$15,MATCH(A1903,المدخلات!$L$4:$L$15,0)),""))</f>
        <v/>
      </c>
      <c r="N1903" s="4" t="str">
        <f t="shared" si="238"/>
        <v/>
      </c>
      <c r="O1903" s="4" t="str">
        <f t="shared" si="239"/>
        <v/>
      </c>
    </row>
    <row r="1904" spans="1:15">
      <c r="A1904" s="11"/>
      <c r="B1904" s="19"/>
      <c r="C1904" s="19"/>
      <c r="D1904" s="55"/>
      <c r="E1904" s="56"/>
      <c r="F1904" s="19"/>
      <c r="G1904" s="4" t="str">
        <f t="shared" si="232"/>
        <v/>
      </c>
      <c r="H1904" s="11" t="str">
        <f t="shared" si="233"/>
        <v/>
      </c>
      <c r="I1904" s="55" t="str">
        <f t="shared" si="234"/>
        <v/>
      </c>
      <c r="J1904" s="55" t="str">
        <f t="shared" si="235"/>
        <v/>
      </c>
      <c r="K1904" s="4" t="str">
        <f t="shared" si="236"/>
        <v/>
      </c>
      <c r="L1904" s="19" t="str">
        <f t="shared" si="237"/>
        <v/>
      </c>
      <c r="M1904" s="12" t="str">
        <f>IF(A1904="","",IFERROR(INDEX(المدخلات!$M$4:$M$15,MATCH(A1904,المدخلات!$L$4:$L$15,0)),""))</f>
        <v/>
      </c>
      <c r="N1904" s="4" t="str">
        <f t="shared" si="238"/>
        <v/>
      </c>
      <c r="O1904" s="4" t="str">
        <f t="shared" si="239"/>
        <v/>
      </c>
    </row>
    <row r="1905" spans="1:15">
      <c r="A1905" s="11"/>
      <c r="B1905" s="19"/>
      <c r="C1905" s="19"/>
      <c r="D1905" s="55"/>
      <c r="E1905" s="56"/>
      <c r="F1905" s="19"/>
      <c r="G1905" s="4" t="str">
        <f t="shared" si="232"/>
        <v/>
      </c>
      <c r="H1905" s="11" t="str">
        <f t="shared" si="233"/>
        <v/>
      </c>
      <c r="I1905" s="55" t="str">
        <f t="shared" si="234"/>
        <v/>
      </c>
      <c r="J1905" s="55" t="str">
        <f t="shared" si="235"/>
        <v/>
      </c>
      <c r="K1905" s="4" t="str">
        <f t="shared" si="236"/>
        <v/>
      </c>
      <c r="L1905" s="19" t="str">
        <f t="shared" si="237"/>
        <v/>
      </c>
      <c r="M1905" s="12" t="str">
        <f>IF(A1905="","",IFERROR(INDEX(المدخلات!$M$4:$M$15,MATCH(A1905,المدخلات!$L$4:$L$15,0)),""))</f>
        <v/>
      </c>
      <c r="N1905" s="4" t="str">
        <f t="shared" si="238"/>
        <v/>
      </c>
      <c r="O1905" s="4" t="str">
        <f t="shared" si="239"/>
        <v/>
      </c>
    </row>
    <row r="1906" spans="1:15">
      <c r="A1906" s="11"/>
      <c r="B1906" s="19"/>
      <c r="C1906" s="19"/>
      <c r="D1906" s="55"/>
      <c r="E1906" s="56"/>
      <c r="F1906" s="19"/>
      <c r="G1906" s="4" t="str">
        <f t="shared" si="232"/>
        <v/>
      </c>
      <c r="H1906" s="11" t="str">
        <f t="shared" si="233"/>
        <v/>
      </c>
      <c r="I1906" s="55" t="str">
        <f t="shared" si="234"/>
        <v/>
      </c>
      <c r="J1906" s="55" t="str">
        <f t="shared" si="235"/>
        <v/>
      </c>
      <c r="K1906" s="4" t="str">
        <f t="shared" si="236"/>
        <v/>
      </c>
      <c r="L1906" s="19" t="str">
        <f t="shared" si="237"/>
        <v/>
      </c>
      <c r="M1906" s="12" t="str">
        <f>IF(A1906="","",IFERROR(INDEX(المدخلات!$M$4:$M$15,MATCH(A1906,المدخلات!$L$4:$L$15,0)),""))</f>
        <v/>
      </c>
      <c r="N1906" s="4" t="str">
        <f t="shared" si="238"/>
        <v/>
      </c>
      <c r="O1906" s="4" t="str">
        <f t="shared" si="239"/>
        <v/>
      </c>
    </row>
    <row r="1907" spans="1:15">
      <c r="A1907" s="11"/>
      <c r="B1907" s="19"/>
      <c r="C1907" s="19"/>
      <c r="D1907" s="55"/>
      <c r="E1907" s="56"/>
      <c r="F1907" s="19"/>
      <c r="G1907" s="4" t="str">
        <f t="shared" si="232"/>
        <v/>
      </c>
      <c r="H1907" s="11" t="str">
        <f t="shared" si="233"/>
        <v/>
      </c>
      <c r="I1907" s="55" t="str">
        <f t="shared" si="234"/>
        <v/>
      </c>
      <c r="J1907" s="55" t="str">
        <f t="shared" si="235"/>
        <v/>
      </c>
      <c r="K1907" s="4" t="str">
        <f t="shared" si="236"/>
        <v/>
      </c>
      <c r="L1907" s="19" t="str">
        <f t="shared" si="237"/>
        <v/>
      </c>
      <c r="M1907" s="12" t="str">
        <f>IF(A1907="","",IFERROR(INDEX(المدخلات!$M$4:$M$15,MATCH(A1907,المدخلات!$L$4:$L$15,0)),""))</f>
        <v/>
      </c>
      <c r="N1907" s="4" t="str">
        <f t="shared" si="238"/>
        <v/>
      </c>
      <c r="O1907" s="4" t="str">
        <f t="shared" si="239"/>
        <v/>
      </c>
    </row>
    <row r="1908" spans="1:15">
      <c r="A1908" s="11"/>
      <c r="B1908" s="19"/>
      <c r="C1908" s="19"/>
      <c r="D1908" s="55"/>
      <c r="E1908" s="56"/>
      <c r="F1908" s="19"/>
      <c r="G1908" s="4" t="str">
        <f t="shared" si="232"/>
        <v/>
      </c>
      <c r="H1908" s="11" t="str">
        <f t="shared" si="233"/>
        <v/>
      </c>
      <c r="I1908" s="55" t="str">
        <f t="shared" si="234"/>
        <v/>
      </c>
      <c r="J1908" s="55" t="str">
        <f t="shared" si="235"/>
        <v/>
      </c>
      <c r="K1908" s="4" t="str">
        <f t="shared" si="236"/>
        <v/>
      </c>
      <c r="L1908" s="19" t="str">
        <f t="shared" si="237"/>
        <v/>
      </c>
      <c r="M1908" s="12" t="str">
        <f>IF(A1908="","",IFERROR(INDEX(المدخلات!$M$4:$M$15,MATCH(A1908,المدخلات!$L$4:$L$15,0)),""))</f>
        <v/>
      </c>
      <c r="N1908" s="4" t="str">
        <f t="shared" si="238"/>
        <v/>
      </c>
      <c r="O1908" s="4" t="str">
        <f t="shared" si="239"/>
        <v/>
      </c>
    </row>
    <row r="1909" spans="1:15">
      <c r="A1909" s="11"/>
      <c r="B1909" s="19"/>
      <c r="C1909" s="19"/>
      <c r="D1909" s="55"/>
      <c r="E1909" s="56"/>
      <c r="F1909" s="19"/>
      <c r="G1909" s="4" t="str">
        <f t="shared" si="232"/>
        <v/>
      </c>
      <c r="H1909" s="11" t="str">
        <f t="shared" si="233"/>
        <v/>
      </c>
      <c r="I1909" s="55" t="str">
        <f t="shared" si="234"/>
        <v/>
      </c>
      <c r="J1909" s="55" t="str">
        <f t="shared" si="235"/>
        <v/>
      </c>
      <c r="K1909" s="4" t="str">
        <f t="shared" si="236"/>
        <v/>
      </c>
      <c r="L1909" s="19" t="str">
        <f t="shared" si="237"/>
        <v/>
      </c>
      <c r="M1909" s="12" t="str">
        <f>IF(A1909="","",IFERROR(INDEX(المدخلات!$M$4:$M$15,MATCH(A1909,المدخلات!$L$4:$L$15,0)),""))</f>
        <v/>
      </c>
      <c r="N1909" s="4" t="str">
        <f t="shared" si="238"/>
        <v/>
      </c>
      <c r="O1909" s="4" t="str">
        <f t="shared" si="239"/>
        <v/>
      </c>
    </row>
    <row r="1910" spans="1:15">
      <c r="A1910" s="11"/>
      <c r="B1910" s="19"/>
      <c r="C1910" s="19"/>
      <c r="D1910" s="55"/>
      <c r="E1910" s="56"/>
      <c r="F1910" s="19"/>
      <c r="G1910" s="4" t="str">
        <f t="shared" si="232"/>
        <v/>
      </c>
      <c r="H1910" s="11" t="str">
        <f t="shared" si="233"/>
        <v/>
      </c>
      <c r="I1910" s="55" t="str">
        <f t="shared" si="234"/>
        <v/>
      </c>
      <c r="J1910" s="55" t="str">
        <f t="shared" si="235"/>
        <v/>
      </c>
      <c r="K1910" s="4" t="str">
        <f t="shared" si="236"/>
        <v/>
      </c>
      <c r="L1910" s="19" t="str">
        <f t="shared" si="237"/>
        <v/>
      </c>
      <c r="M1910" s="12" t="str">
        <f>IF(A1910="","",IFERROR(INDEX(المدخلات!$M$4:$M$15,MATCH(A1910,المدخلات!$L$4:$L$15,0)),""))</f>
        <v/>
      </c>
      <c r="N1910" s="4" t="str">
        <f t="shared" si="238"/>
        <v/>
      </c>
      <c r="O1910" s="4" t="str">
        <f t="shared" si="239"/>
        <v/>
      </c>
    </row>
    <row r="1911" spans="1:15">
      <c r="A1911" s="11"/>
      <c r="B1911" s="19"/>
      <c r="C1911" s="19"/>
      <c r="D1911" s="55"/>
      <c r="E1911" s="56"/>
      <c r="F1911" s="19"/>
      <c r="G1911" s="4" t="str">
        <f t="shared" si="232"/>
        <v/>
      </c>
      <c r="H1911" s="11" t="str">
        <f t="shared" si="233"/>
        <v/>
      </c>
      <c r="I1911" s="55" t="str">
        <f t="shared" si="234"/>
        <v/>
      </c>
      <c r="J1911" s="55" t="str">
        <f t="shared" si="235"/>
        <v/>
      </c>
      <c r="K1911" s="4" t="str">
        <f t="shared" si="236"/>
        <v/>
      </c>
      <c r="L1911" s="19" t="str">
        <f t="shared" si="237"/>
        <v/>
      </c>
      <c r="M1911" s="12" t="str">
        <f>IF(A1911="","",IFERROR(INDEX(المدخلات!$M$4:$M$15,MATCH(A1911,المدخلات!$L$4:$L$15,0)),""))</f>
        <v/>
      </c>
      <c r="N1911" s="4" t="str">
        <f t="shared" si="238"/>
        <v/>
      </c>
      <c r="O1911" s="4" t="str">
        <f t="shared" si="239"/>
        <v/>
      </c>
    </row>
    <row r="1912" spans="1:15">
      <c r="A1912" s="11"/>
      <c r="B1912" s="19"/>
      <c r="C1912" s="19"/>
      <c r="D1912" s="55"/>
      <c r="E1912" s="56"/>
      <c r="F1912" s="19"/>
      <c r="G1912" s="4" t="str">
        <f t="shared" si="232"/>
        <v/>
      </c>
      <c r="H1912" s="11" t="str">
        <f t="shared" si="233"/>
        <v/>
      </c>
      <c r="I1912" s="55" t="str">
        <f t="shared" si="234"/>
        <v/>
      </c>
      <c r="J1912" s="55" t="str">
        <f t="shared" si="235"/>
        <v/>
      </c>
      <c r="K1912" s="4" t="str">
        <f t="shared" si="236"/>
        <v/>
      </c>
      <c r="L1912" s="19" t="str">
        <f t="shared" si="237"/>
        <v/>
      </c>
      <c r="M1912" s="12" t="str">
        <f>IF(A1912="","",IFERROR(INDEX(المدخلات!$M$4:$M$15,MATCH(A1912,المدخلات!$L$4:$L$15,0)),""))</f>
        <v/>
      </c>
      <c r="N1912" s="4" t="str">
        <f t="shared" si="238"/>
        <v/>
      </c>
      <c r="O1912" s="4" t="str">
        <f t="shared" si="239"/>
        <v/>
      </c>
    </row>
    <row r="1913" spans="1:15">
      <c r="A1913" s="11"/>
      <c r="B1913" s="19"/>
      <c r="C1913" s="19"/>
      <c r="D1913" s="55"/>
      <c r="E1913" s="56"/>
      <c r="F1913" s="19"/>
      <c r="G1913" s="4" t="str">
        <f t="shared" si="232"/>
        <v/>
      </c>
      <c r="H1913" s="11" t="str">
        <f t="shared" si="233"/>
        <v/>
      </c>
      <c r="I1913" s="55" t="str">
        <f t="shared" si="234"/>
        <v/>
      </c>
      <c r="J1913" s="55" t="str">
        <f t="shared" si="235"/>
        <v/>
      </c>
      <c r="K1913" s="4" t="str">
        <f t="shared" si="236"/>
        <v/>
      </c>
      <c r="L1913" s="19" t="str">
        <f t="shared" si="237"/>
        <v/>
      </c>
      <c r="M1913" s="12" t="str">
        <f>IF(A1913="","",IFERROR(INDEX(المدخلات!$M$4:$M$15,MATCH(A1913,المدخلات!$L$4:$L$15,0)),""))</f>
        <v/>
      </c>
      <c r="N1913" s="4" t="str">
        <f t="shared" si="238"/>
        <v/>
      </c>
      <c r="O1913" s="4" t="str">
        <f t="shared" si="239"/>
        <v/>
      </c>
    </row>
    <row r="1914" spans="1:15">
      <c r="A1914" s="11"/>
      <c r="B1914" s="19"/>
      <c r="C1914" s="19"/>
      <c r="D1914" s="55"/>
      <c r="E1914" s="56"/>
      <c r="F1914" s="19"/>
      <c r="G1914" s="4" t="str">
        <f t="shared" si="232"/>
        <v/>
      </c>
      <c r="H1914" s="11" t="str">
        <f t="shared" si="233"/>
        <v/>
      </c>
      <c r="I1914" s="55" t="str">
        <f t="shared" si="234"/>
        <v/>
      </c>
      <c r="J1914" s="55" t="str">
        <f t="shared" si="235"/>
        <v/>
      </c>
      <c r="K1914" s="4" t="str">
        <f t="shared" si="236"/>
        <v/>
      </c>
      <c r="L1914" s="19" t="str">
        <f t="shared" si="237"/>
        <v/>
      </c>
      <c r="M1914" s="12" t="str">
        <f>IF(A1914="","",IFERROR(INDEX(المدخلات!$M$4:$M$15,MATCH(A1914,المدخلات!$L$4:$L$15,0)),""))</f>
        <v/>
      </c>
      <c r="N1914" s="4" t="str">
        <f t="shared" si="238"/>
        <v/>
      </c>
      <c r="O1914" s="4" t="str">
        <f t="shared" si="239"/>
        <v/>
      </c>
    </row>
    <row r="1915" spans="1:15">
      <c r="A1915" s="11"/>
      <c r="B1915" s="19"/>
      <c r="C1915" s="19"/>
      <c r="D1915" s="55"/>
      <c r="E1915" s="56"/>
      <c r="F1915" s="19"/>
      <c r="G1915" s="4" t="str">
        <f t="shared" si="232"/>
        <v/>
      </c>
      <c r="H1915" s="11" t="str">
        <f t="shared" si="233"/>
        <v/>
      </c>
      <c r="I1915" s="55" t="str">
        <f t="shared" si="234"/>
        <v/>
      </c>
      <c r="J1915" s="55" t="str">
        <f t="shared" si="235"/>
        <v/>
      </c>
      <c r="K1915" s="4" t="str">
        <f t="shared" si="236"/>
        <v/>
      </c>
      <c r="L1915" s="19" t="str">
        <f t="shared" si="237"/>
        <v/>
      </c>
      <c r="M1915" s="12" t="str">
        <f>IF(A1915="","",IFERROR(INDEX(المدخلات!$M$4:$M$15,MATCH(A1915,المدخلات!$L$4:$L$15,0)),""))</f>
        <v/>
      </c>
      <c r="N1915" s="4" t="str">
        <f t="shared" si="238"/>
        <v/>
      </c>
      <c r="O1915" s="4" t="str">
        <f t="shared" si="239"/>
        <v/>
      </c>
    </row>
    <row r="1916" spans="1:15">
      <c r="A1916" s="11"/>
      <c r="B1916" s="19"/>
      <c r="C1916" s="19"/>
      <c r="D1916" s="55"/>
      <c r="E1916" s="56"/>
      <c r="F1916" s="19"/>
      <c r="G1916" s="4" t="str">
        <f t="shared" si="232"/>
        <v/>
      </c>
      <c r="H1916" s="11" t="str">
        <f t="shared" si="233"/>
        <v/>
      </c>
      <c r="I1916" s="55" t="str">
        <f t="shared" si="234"/>
        <v/>
      </c>
      <c r="J1916" s="55" t="str">
        <f t="shared" si="235"/>
        <v/>
      </c>
      <c r="K1916" s="4" t="str">
        <f t="shared" si="236"/>
        <v/>
      </c>
      <c r="L1916" s="19" t="str">
        <f t="shared" si="237"/>
        <v/>
      </c>
      <c r="M1916" s="12" t="str">
        <f>IF(A1916="","",IFERROR(INDEX(المدخلات!$M$4:$M$15,MATCH(A1916,المدخلات!$L$4:$L$15,0)),""))</f>
        <v/>
      </c>
      <c r="N1916" s="4" t="str">
        <f t="shared" si="238"/>
        <v/>
      </c>
      <c r="O1916" s="4" t="str">
        <f t="shared" si="239"/>
        <v/>
      </c>
    </row>
    <row r="1917" spans="1:15">
      <c r="A1917" s="11"/>
      <c r="B1917" s="19"/>
      <c r="C1917" s="19"/>
      <c r="D1917" s="55"/>
      <c r="E1917" s="56"/>
      <c r="F1917" s="19"/>
      <c r="G1917" s="4" t="str">
        <f t="shared" si="232"/>
        <v/>
      </c>
      <c r="H1917" s="11" t="str">
        <f t="shared" si="233"/>
        <v/>
      </c>
      <c r="I1917" s="55" t="str">
        <f t="shared" si="234"/>
        <v/>
      </c>
      <c r="J1917" s="55" t="str">
        <f t="shared" si="235"/>
        <v/>
      </c>
      <c r="K1917" s="4" t="str">
        <f t="shared" si="236"/>
        <v/>
      </c>
      <c r="L1917" s="19" t="str">
        <f t="shared" si="237"/>
        <v/>
      </c>
      <c r="M1917" s="12" t="str">
        <f>IF(A1917="","",IFERROR(INDEX(المدخلات!$M$4:$M$15,MATCH(A1917,المدخلات!$L$4:$L$15,0)),""))</f>
        <v/>
      </c>
      <c r="N1917" s="4" t="str">
        <f t="shared" si="238"/>
        <v/>
      </c>
      <c r="O1917" s="4" t="str">
        <f t="shared" si="239"/>
        <v/>
      </c>
    </row>
    <row r="1918" spans="1:15">
      <c r="A1918" s="11"/>
      <c r="B1918" s="19"/>
      <c r="C1918" s="19"/>
      <c r="D1918" s="55"/>
      <c r="E1918" s="56"/>
      <c r="F1918" s="19"/>
      <c r="G1918" s="4" t="str">
        <f t="shared" si="232"/>
        <v/>
      </c>
      <c r="H1918" s="11" t="str">
        <f t="shared" si="233"/>
        <v/>
      </c>
      <c r="I1918" s="55" t="str">
        <f t="shared" si="234"/>
        <v/>
      </c>
      <c r="J1918" s="55" t="str">
        <f t="shared" si="235"/>
        <v/>
      </c>
      <c r="K1918" s="4" t="str">
        <f t="shared" si="236"/>
        <v/>
      </c>
      <c r="L1918" s="19" t="str">
        <f t="shared" si="237"/>
        <v/>
      </c>
      <c r="M1918" s="12" t="str">
        <f>IF(A1918="","",IFERROR(INDEX(المدخلات!$M$4:$M$15,MATCH(A1918,المدخلات!$L$4:$L$15,0)),""))</f>
        <v/>
      </c>
      <c r="N1918" s="4" t="str">
        <f t="shared" si="238"/>
        <v/>
      </c>
      <c r="O1918" s="4" t="str">
        <f t="shared" si="239"/>
        <v/>
      </c>
    </row>
    <row r="1919" spans="1:15">
      <c r="A1919" s="11"/>
      <c r="B1919" s="19"/>
      <c r="C1919" s="19"/>
      <c r="D1919" s="55"/>
      <c r="E1919" s="56"/>
      <c r="F1919" s="19"/>
      <c r="G1919" s="4" t="str">
        <f t="shared" si="232"/>
        <v/>
      </c>
      <c r="H1919" s="11" t="str">
        <f t="shared" si="233"/>
        <v/>
      </c>
      <c r="I1919" s="55" t="str">
        <f t="shared" si="234"/>
        <v/>
      </c>
      <c r="J1919" s="55" t="str">
        <f t="shared" si="235"/>
        <v/>
      </c>
      <c r="K1919" s="4" t="str">
        <f t="shared" si="236"/>
        <v/>
      </c>
      <c r="L1919" s="19" t="str">
        <f t="shared" si="237"/>
        <v/>
      </c>
      <c r="M1919" s="12" t="str">
        <f>IF(A1919="","",IFERROR(INDEX(المدخلات!$M$4:$M$15,MATCH(A1919,المدخلات!$L$4:$L$15,0)),""))</f>
        <v/>
      </c>
      <c r="N1919" s="4" t="str">
        <f t="shared" si="238"/>
        <v/>
      </c>
      <c r="O1919" s="4" t="str">
        <f t="shared" si="239"/>
        <v/>
      </c>
    </row>
    <row r="1920" spans="1:15">
      <c r="A1920" s="11"/>
      <c r="B1920" s="19"/>
      <c r="C1920" s="19"/>
      <c r="D1920" s="55"/>
      <c r="E1920" s="56"/>
      <c r="F1920" s="19"/>
      <c r="G1920" s="4" t="str">
        <f t="shared" si="232"/>
        <v/>
      </c>
      <c r="H1920" s="11" t="str">
        <f t="shared" si="233"/>
        <v/>
      </c>
      <c r="I1920" s="55" t="str">
        <f t="shared" si="234"/>
        <v/>
      </c>
      <c r="J1920" s="55" t="str">
        <f t="shared" si="235"/>
        <v/>
      </c>
      <c r="K1920" s="4" t="str">
        <f t="shared" si="236"/>
        <v/>
      </c>
      <c r="L1920" s="19" t="str">
        <f t="shared" si="237"/>
        <v/>
      </c>
      <c r="M1920" s="12" t="str">
        <f>IF(A1920="","",IFERROR(INDEX(المدخلات!$M$4:$M$15,MATCH(A1920,المدخلات!$L$4:$L$15,0)),""))</f>
        <v/>
      </c>
      <c r="N1920" s="4" t="str">
        <f t="shared" si="238"/>
        <v/>
      </c>
      <c r="O1920" s="4" t="str">
        <f t="shared" si="239"/>
        <v/>
      </c>
    </row>
    <row r="1921" spans="1:15">
      <c r="A1921" s="11"/>
      <c r="B1921" s="19"/>
      <c r="C1921" s="19"/>
      <c r="D1921" s="55"/>
      <c r="E1921" s="56"/>
      <c r="F1921" s="19"/>
      <c r="G1921" s="4" t="str">
        <f t="shared" si="232"/>
        <v/>
      </c>
      <c r="H1921" s="11" t="str">
        <f t="shared" si="233"/>
        <v/>
      </c>
      <c r="I1921" s="55" t="str">
        <f t="shared" si="234"/>
        <v/>
      </c>
      <c r="J1921" s="55" t="str">
        <f t="shared" si="235"/>
        <v/>
      </c>
      <c r="K1921" s="4" t="str">
        <f t="shared" si="236"/>
        <v/>
      </c>
      <c r="L1921" s="19" t="str">
        <f t="shared" si="237"/>
        <v/>
      </c>
      <c r="M1921" s="12" t="str">
        <f>IF(A1921="","",IFERROR(INDEX(المدخلات!$M$4:$M$15,MATCH(A1921,المدخلات!$L$4:$L$15,0)),""))</f>
        <v/>
      </c>
      <c r="N1921" s="4" t="str">
        <f t="shared" si="238"/>
        <v/>
      </c>
      <c r="O1921" s="4" t="str">
        <f t="shared" si="239"/>
        <v/>
      </c>
    </row>
    <row r="1922" spans="1:15">
      <c r="A1922" s="11"/>
      <c r="B1922" s="19"/>
      <c r="C1922" s="19"/>
      <c r="D1922" s="55"/>
      <c r="E1922" s="56"/>
      <c r="F1922" s="19"/>
      <c r="G1922" s="4" t="str">
        <f t="shared" si="232"/>
        <v/>
      </c>
      <c r="H1922" s="11" t="str">
        <f t="shared" si="233"/>
        <v/>
      </c>
      <c r="I1922" s="55" t="str">
        <f t="shared" si="234"/>
        <v/>
      </c>
      <c r="J1922" s="55" t="str">
        <f t="shared" si="235"/>
        <v/>
      </c>
      <c r="K1922" s="4" t="str">
        <f t="shared" si="236"/>
        <v/>
      </c>
      <c r="L1922" s="19" t="str">
        <f t="shared" si="237"/>
        <v/>
      </c>
      <c r="M1922" s="12" t="str">
        <f>IF(A1922="","",IFERROR(INDEX(المدخلات!$M$4:$M$15,MATCH(A1922,المدخلات!$L$4:$L$15,0)),""))</f>
        <v/>
      </c>
      <c r="N1922" s="4" t="str">
        <f t="shared" si="238"/>
        <v/>
      </c>
      <c r="O1922" s="4" t="str">
        <f t="shared" si="239"/>
        <v/>
      </c>
    </row>
    <row r="1923" spans="1:15">
      <c r="A1923" s="11"/>
      <c r="B1923" s="19"/>
      <c r="C1923" s="19"/>
      <c r="D1923" s="55"/>
      <c r="E1923" s="56"/>
      <c r="F1923" s="19"/>
      <c r="G1923" s="4" t="str">
        <f t="shared" si="232"/>
        <v/>
      </c>
      <c r="H1923" s="11" t="str">
        <f t="shared" si="233"/>
        <v/>
      </c>
      <c r="I1923" s="55" t="str">
        <f t="shared" si="234"/>
        <v/>
      </c>
      <c r="J1923" s="55" t="str">
        <f t="shared" si="235"/>
        <v/>
      </c>
      <c r="K1923" s="4" t="str">
        <f t="shared" si="236"/>
        <v/>
      </c>
      <c r="L1923" s="19" t="str">
        <f t="shared" si="237"/>
        <v/>
      </c>
      <c r="M1923" s="12" t="str">
        <f>IF(A1923="","",IFERROR(INDEX(المدخلات!$M$4:$M$15,MATCH(A1923,المدخلات!$L$4:$L$15,0)),""))</f>
        <v/>
      </c>
      <c r="N1923" s="4" t="str">
        <f t="shared" si="238"/>
        <v/>
      </c>
      <c r="O1923" s="4" t="str">
        <f t="shared" si="239"/>
        <v/>
      </c>
    </row>
    <row r="1924" spans="1:15">
      <c r="A1924" s="11"/>
      <c r="B1924" s="19"/>
      <c r="C1924" s="19"/>
      <c r="D1924" s="55"/>
      <c r="E1924" s="56"/>
      <c r="F1924" s="19"/>
      <c r="G1924" s="4" t="str">
        <f t="shared" si="232"/>
        <v/>
      </c>
      <c r="H1924" s="11" t="str">
        <f t="shared" si="233"/>
        <v/>
      </c>
      <c r="I1924" s="55" t="str">
        <f t="shared" si="234"/>
        <v/>
      </c>
      <c r="J1924" s="55" t="str">
        <f t="shared" si="235"/>
        <v/>
      </c>
      <c r="K1924" s="4" t="str">
        <f t="shared" si="236"/>
        <v/>
      </c>
      <c r="L1924" s="19" t="str">
        <f t="shared" si="237"/>
        <v/>
      </c>
      <c r="M1924" s="12" t="str">
        <f>IF(A1924="","",IFERROR(INDEX(المدخلات!$M$4:$M$15,MATCH(A1924,المدخلات!$L$4:$L$15,0)),""))</f>
        <v/>
      </c>
      <c r="N1924" s="4" t="str">
        <f t="shared" si="238"/>
        <v/>
      </c>
      <c r="O1924" s="4" t="str">
        <f t="shared" si="239"/>
        <v/>
      </c>
    </row>
    <row r="1925" spans="1:15">
      <c r="A1925" s="11"/>
      <c r="B1925" s="19"/>
      <c r="C1925" s="19"/>
      <c r="D1925" s="55"/>
      <c r="E1925" s="56"/>
      <c r="F1925" s="19"/>
      <c r="G1925" s="4" t="str">
        <f t="shared" ref="G1925:G1988" si="240">IF(OR(D1925="",E1925=""),"",D1925*E1925)</f>
        <v/>
      </c>
      <c r="H1925" s="11" t="str">
        <f t="shared" ref="H1925:H1988" si="241">IF(C1925="","",IFERROR(_xlfn.MAXIFS($A$5:$A$2003,$C$5:$C$2003,C1925,$A$5:$A$2003,"&lt;"&amp;A1925),0))</f>
        <v/>
      </c>
      <c r="I1925" s="55" t="str">
        <f t="shared" ref="I1925:I1988" si="242">IF(OR(H1925="",H1925=0),"",IFERROR(SUMIFS($D$5:$D$2003,$C$5:$C$2003,C1925,$A$5:$A$2003,H1925),""))</f>
        <v/>
      </c>
      <c r="J1925" s="55" t="str">
        <f t="shared" ref="J1925:J1988" si="243">IF(C1925="","",IF(I1925="",0,MAX(I1925-D1925,0)))</f>
        <v/>
      </c>
      <c r="K1925" s="4" t="str">
        <f t="shared" ref="K1925:K1988" si="244">IF(J1925="","",J1925*E1925)</f>
        <v/>
      </c>
      <c r="L1925" s="19" t="str">
        <f t="shared" ref="L1925:L1988" si="245">IF(C1925="","",IF(COUNTIFS($A$5:$A$2003,A1925,$C$5:$C$2003,C1925)&gt;1,"⚠️ مادة مكررة بنفس الشهر",IF(OR(H1925="",H1925=0),"🆕 أول ظهور لهذه المادة",IF(D1925&gt;I1925,"ℹ️ زيادة كمية (شراء/تصحيح) - لا تُحتسب استهلاكاً",IF(D1925=I1925,"➖ لا تغيير","")))))</f>
        <v/>
      </c>
      <c r="M1925" s="12" t="str">
        <f>IF(A1925="","",IFERROR(INDEX(المدخلات!$M$4:$M$15,MATCH(A1925,المدخلات!$L$4:$L$15,0)),""))</f>
        <v/>
      </c>
      <c r="N1925" s="4" t="str">
        <f t="shared" ref="N1925:N1988" si="246">IF(OR(G1925="",F1925=""),"",IF(F1925="دولار أمريكي",IF(M1925="","⚠️ لا يوجد سعر صرف",G1925*M1925),G1925))</f>
        <v/>
      </c>
      <c r="O1925" s="4" t="str">
        <f t="shared" ref="O1925:O1988" si="247">IF(OR(K1925="",F1925=""),"",IF(F1925="دولار أمريكي",IF(M1925="","⚠️ لا يوجد سعر صرف",K1925*M1925),K1925))</f>
        <v/>
      </c>
    </row>
    <row r="1926" spans="1:15">
      <c r="A1926" s="11"/>
      <c r="B1926" s="19"/>
      <c r="C1926" s="19"/>
      <c r="D1926" s="55"/>
      <c r="E1926" s="56"/>
      <c r="F1926" s="19"/>
      <c r="G1926" s="4" t="str">
        <f t="shared" si="240"/>
        <v/>
      </c>
      <c r="H1926" s="11" t="str">
        <f t="shared" si="241"/>
        <v/>
      </c>
      <c r="I1926" s="55" t="str">
        <f t="shared" si="242"/>
        <v/>
      </c>
      <c r="J1926" s="55" t="str">
        <f t="shared" si="243"/>
        <v/>
      </c>
      <c r="K1926" s="4" t="str">
        <f t="shared" si="244"/>
        <v/>
      </c>
      <c r="L1926" s="19" t="str">
        <f t="shared" si="245"/>
        <v/>
      </c>
      <c r="M1926" s="12" t="str">
        <f>IF(A1926="","",IFERROR(INDEX(المدخلات!$M$4:$M$15,MATCH(A1926,المدخلات!$L$4:$L$15,0)),""))</f>
        <v/>
      </c>
      <c r="N1926" s="4" t="str">
        <f t="shared" si="246"/>
        <v/>
      </c>
      <c r="O1926" s="4" t="str">
        <f t="shared" si="247"/>
        <v/>
      </c>
    </row>
    <row r="1927" spans="1:15">
      <c r="A1927" s="11"/>
      <c r="B1927" s="19"/>
      <c r="C1927" s="19"/>
      <c r="D1927" s="55"/>
      <c r="E1927" s="56"/>
      <c r="F1927" s="19"/>
      <c r="G1927" s="4" t="str">
        <f t="shared" si="240"/>
        <v/>
      </c>
      <c r="H1927" s="11" t="str">
        <f t="shared" si="241"/>
        <v/>
      </c>
      <c r="I1927" s="55" t="str">
        <f t="shared" si="242"/>
        <v/>
      </c>
      <c r="J1927" s="55" t="str">
        <f t="shared" si="243"/>
        <v/>
      </c>
      <c r="K1927" s="4" t="str">
        <f t="shared" si="244"/>
        <v/>
      </c>
      <c r="L1927" s="19" t="str">
        <f t="shared" si="245"/>
        <v/>
      </c>
      <c r="M1927" s="12" t="str">
        <f>IF(A1927="","",IFERROR(INDEX(المدخلات!$M$4:$M$15,MATCH(A1927,المدخلات!$L$4:$L$15,0)),""))</f>
        <v/>
      </c>
      <c r="N1927" s="4" t="str">
        <f t="shared" si="246"/>
        <v/>
      </c>
      <c r="O1927" s="4" t="str">
        <f t="shared" si="247"/>
        <v/>
      </c>
    </row>
    <row r="1928" spans="1:15">
      <c r="A1928" s="11"/>
      <c r="B1928" s="19"/>
      <c r="C1928" s="19"/>
      <c r="D1928" s="55"/>
      <c r="E1928" s="56"/>
      <c r="F1928" s="19"/>
      <c r="G1928" s="4" t="str">
        <f t="shared" si="240"/>
        <v/>
      </c>
      <c r="H1928" s="11" t="str">
        <f t="shared" si="241"/>
        <v/>
      </c>
      <c r="I1928" s="55" t="str">
        <f t="shared" si="242"/>
        <v/>
      </c>
      <c r="J1928" s="55" t="str">
        <f t="shared" si="243"/>
        <v/>
      </c>
      <c r="K1928" s="4" t="str">
        <f t="shared" si="244"/>
        <v/>
      </c>
      <c r="L1928" s="19" t="str">
        <f t="shared" si="245"/>
        <v/>
      </c>
      <c r="M1928" s="12" t="str">
        <f>IF(A1928="","",IFERROR(INDEX(المدخلات!$M$4:$M$15,MATCH(A1928,المدخلات!$L$4:$L$15,0)),""))</f>
        <v/>
      </c>
      <c r="N1928" s="4" t="str">
        <f t="shared" si="246"/>
        <v/>
      </c>
      <c r="O1928" s="4" t="str">
        <f t="shared" si="247"/>
        <v/>
      </c>
    </row>
    <row r="1929" spans="1:15">
      <c r="A1929" s="11"/>
      <c r="B1929" s="19"/>
      <c r="C1929" s="19"/>
      <c r="D1929" s="55"/>
      <c r="E1929" s="56"/>
      <c r="F1929" s="19"/>
      <c r="G1929" s="4" t="str">
        <f t="shared" si="240"/>
        <v/>
      </c>
      <c r="H1929" s="11" t="str">
        <f t="shared" si="241"/>
        <v/>
      </c>
      <c r="I1929" s="55" t="str">
        <f t="shared" si="242"/>
        <v/>
      </c>
      <c r="J1929" s="55" t="str">
        <f t="shared" si="243"/>
        <v/>
      </c>
      <c r="K1929" s="4" t="str">
        <f t="shared" si="244"/>
        <v/>
      </c>
      <c r="L1929" s="19" t="str">
        <f t="shared" si="245"/>
        <v/>
      </c>
      <c r="M1929" s="12" t="str">
        <f>IF(A1929="","",IFERROR(INDEX(المدخلات!$M$4:$M$15,MATCH(A1929,المدخلات!$L$4:$L$15,0)),""))</f>
        <v/>
      </c>
      <c r="N1929" s="4" t="str">
        <f t="shared" si="246"/>
        <v/>
      </c>
      <c r="O1929" s="4" t="str">
        <f t="shared" si="247"/>
        <v/>
      </c>
    </row>
    <row r="1930" spans="1:15">
      <c r="A1930" s="11"/>
      <c r="B1930" s="19"/>
      <c r="C1930" s="19"/>
      <c r="D1930" s="55"/>
      <c r="E1930" s="56"/>
      <c r="F1930" s="19"/>
      <c r="G1930" s="4" t="str">
        <f t="shared" si="240"/>
        <v/>
      </c>
      <c r="H1930" s="11" t="str">
        <f t="shared" si="241"/>
        <v/>
      </c>
      <c r="I1930" s="55" t="str">
        <f t="shared" si="242"/>
        <v/>
      </c>
      <c r="J1930" s="55" t="str">
        <f t="shared" si="243"/>
        <v/>
      </c>
      <c r="K1930" s="4" t="str">
        <f t="shared" si="244"/>
        <v/>
      </c>
      <c r="L1930" s="19" t="str">
        <f t="shared" si="245"/>
        <v/>
      </c>
      <c r="M1930" s="12" t="str">
        <f>IF(A1930="","",IFERROR(INDEX(المدخلات!$M$4:$M$15,MATCH(A1930,المدخلات!$L$4:$L$15,0)),""))</f>
        <v/>
      </c>
      <c r="N1930" s="4" t="str">
        <f t="shared" si="246"/>
        <v/>
      </c>
      <c r="O1930" s="4" t="str">
        <f t="shared" si="247"/>
        <v/>
      </c>
    </row>
    <row r="1931" spans="1:15">
      <c r="A1931" s="11"/>
      <c r="B1931" s="19"/>
      <c r="C1931" s="19"/>
      <c r="D1931" s="55"/>
      <c r="E1931" s="56"/>
      <c r="F1931" s="19"/>
      <c r="G1931" s="4" t="str">
        <f t="shared" si="240"/>
        <v/>
      </c>
      <c r="H1931" s="11" t="str">
        <f t="shared" si="241"/>
        <v/>
      </c>
      <c r="I1931" s="55" t="str">
        <f t="shared" si="242"/>
        <v/>
      </c>
      <c r="J1931" s="55" t="str">
        <f t="shared" si="243"/>
        <v/>
      </c>
      <c r="K1931" s="4" t="str">
        <f t="shared" si="244"/>
        <v/>
      </c>
      <c r="L1931" s="19" t="str">
        <f t="shared" si="245"/>
        <v/>
      </c>
      <c r="M1931" s="12" t="str">
        <f>IF(A1931="","",IFERROR(INDEX(المدخلات!$M$4:$M$15,MATCH(A1931,المدخلات!$L$4:$L$15,0)),""))</f>
        <v/>
      </c>
      <c r="N1931" s="4" t="str">
        <f t="shared" si="246"/>
        <v/>
      </c>
      <c r="O1931" s="4" t="str">
        <f t="shared" si="247"/>
        <v/>
      </c>
    </row>
    <row r="1932" spans="1:15">
      <c r="A1932" s="11"/>
      <c r="B1932" s="19"/>
      <c r="C1932" s="19"/>
      <c r="D1932" s="55"/>
      <c r="E1932" s="56"/>
      <c r="F1932" s="19"/>
      <c r="G1932" s="4" t="str">
        <f t="shared" si="240"/>
        <v/>
      </c>
      <c r="H1932" s="11" t="str">
        <f t="shared" si="241"/>
        <v/>
      </c>
      <c r="I1932" s="55" t="str">
        <f t="shared" si="242"/>
        <v/>
      </c>
      <c r="J1932" s="55" t="str">
        <f t="shared" si="243"/>
        <v/>
      </c>
      <c r="K1932" s="4" t="str">
        <f t="shared" si="244"/>
        <v/>
      </c>
      <c r="L1932" s="19" t="str">
        <f t="shared" si="245"/>
        <v/>
      </c>
      <c r="M1932" s="12" t="str">
        <f>IF(A1932="","",IFERROR(INDEX(المدخلات!$M$4:$M$15,MATCH(A1932,المدخلات!$L$4:$L$15,0)),""))</f>
        <v/>
      </c>
      <c r="N1932" s="4" t="str">
        <f t="shared" si="246"/>
        <v/>
      </c>
      <c r="O1932" s="4" t="str">
        <f t="shared" si="247"/>
        <v/>
      </c>
    </row>
    <row r="1933" spans="1:15">
      <c r="A1933" s="11"/>
      <c r="B1933" s="19"/>
      <c r="C1933" s="19"/>
      <c r="D1933" s="55"/>
      <c r="E1933" s="56"/>
      <c r="F1933" s="19"/>
      <c r="G1933" s="4" t="str">
        <f t="shared" si="240"/>
        <v/>
      </c>
      <c r="H1933" s="11" t="str">
        <f t="shared" si="241"/>
        <v/>
      </c>
      <c r="I1933" s="55" t="str">
        <f t="shared" si="242"/>
        <v/>
      </c>
      <c r="J1933" s="55" t="str">
        <f t="shared" si="243"/>
        <v/>
      </c>
      <c r="K1933" s="4" t="str">
        <f t="shared" si="244"/>
        <v/>
      </c>
      <c r="L1933" s="19" t="str">
        <f t="shared" si="245"/>
        <v/>
      </c>
      <c r="M1933" s="12" t="str">
        <f>IF(A1933="","",IFERROR(INDEX(المدخلات!$M$4:$M$15,MATCH(A1933,المدخلات!$L$4:$L$15,0)),""))</f>
        <v/>
      </c>
      <c r="N1933" s="4" t="str">
        <f t="shared" si="246"/>
        <v/>
      </c>
      <c r="O1933" s="4" t="str">
        <f t="shared" si="247"/>
        <v/>
      </c>
    </row>
    <row r="1934" spans="1:15">
      <c r="A1934" s="11"/>
      <c r="B1934" s="19"/>
      <c r="C1934" s="19"/>
      <c r="D1934" s="55"/>
      <c r="E1934" s="56"/>
      <c r="F1934" s="19"/>
      <c r="G1934" s="4" t="str">
        <f t="shared" si="240"/>
        <v/>
      </c>
      <c r="H1934" s="11" t="str">
        <f t="shared" si="241"/>
        <v/>
      </c>
      <c r="I1934" s="55" t="str">
        <f t="shared" si="242"/>
        <v/>
      </c>
      <c r="J1934" s="55" t="str">
        <f t="shared" si="243"/>
        <v/>
      </c>
      <c r="K1934" s="4" t="str">
        <f t="shared" si="244"/>
        <v/>
      </c>
      <c r="L1934" s="19" t="str">
        <f t="shared" si="245"/>
        <v/>
      </c>
      <c r="M1934" s="12" t="str">
        <f>IF(A1934="","",IFERROR(INDEX(المدخلات!$M$4:$M$15,MATCH(A1934,المدخلات!$L$4:$L$15,0)),""))</f>
        <v/>
      </c>
      <c r="N1934" s="4" t="str">
        <f t="shared" si="246"/>
        <v/>
      </c>
      <c r="O1934" s="4" t="str">
        <f t="shared" si="247"/>
        <v/>
      </c>
    </row>
    <row r="1935" spans="1:15">
      <c r="A1935" s="11"/>
      <c r="B1935" s="19"/>
      <c r="C1935" s="19"/>
      <c r="D1935" s="55"/>
      <c r="E1935" s="56"/>
      <c r="F1935" s="19"/>
      <c r="G1935" s="4" t="str">
        <f t="shared" si="240"/>
        <v/>
      </c>
      <c r="H1935" s="11" t="str">
        <f t="shared" si="241"/>
        <v/>
      </c>
      <c r="I1935" s="55" t="str">
        <f t="shared" si="242"/>
        <v/>
      </c>
      <c r="J1935" s="55" t="str">
        <f t="shared" si="243"/>
        <v/>
      </c>
      <c r="K1935" s="4" t="str">
        <f t="shared" si="244"/>
        <v/>
      </c>
      <c r="L1935" s="19" t="str">
        <f t="shared" si="245"/>
        <v/>
      </c>
      <c r="M1935" s="12" t="str">
        <f>IF(A1935="","",IFERROR(INDEX(المدخلات!$M$4:$M$15,MATCH(A1935,المدخلات!$L$4:$L$15,0)),""))</f>
        <v/>
      </c>
      <c r="N1935" s="4" t="str">
        <f t="shared" si="246"/>
        <v/>
      </c>
      <c r="O1935" s="4" t="str">
        <f t="shared" si="247"/>
        <v/>
      </c>
    </row>
    <row r="1936" spans="1:15">
      <c r="A1936" s="11"/>
      <c r="B1936" s="19"/>
      <c r="C1936" s="19"/>
      <c r="D1936" s="55"/>
      <c r="E1936" s="56"/>
      <c r="F1936" s="19"/>
      <c r="G1936" s="4" t="str">
        <f t="shared" si="240"/>
        <v/>
      </c>
      <c r="H1936" s="11" t="str">
        <f t="shared" si="241"/>
        <v/>
      </c>
      <c r="I1936" s="55" t="str">
        <f t="shared" si="242"/>
        <v/>
      </c>
      <c r="J1936" s="55" t="str">
        <f t="shared" si="243"/>
        <v/>
      </c>
      <c r="K1936" s="4" t="str">
        <f t="shared" si="244"/>
        <v/>
      </c>
      <c r="L1936" s="19" t="str">
        <f t="shared" si="245"/>
        <v/>
      </c>
      <c r="M1936" s="12" t="str">
        <f>IF(A1936="","",IFERROR(INDEX(المدخلات!$M$4:$M$15,MATCH(A1936,المدخلات!$L$4:$L$15,0)),""))</f>
        <v/>
      </c>
      <c r="N1936" s="4" t="str">
        <f t="shared" si="246"/>
        <v/>
      </c>
      <c r="O1936" s="4" t="str">
        <f t="shared" si="247"/>
        <v/>
      </c>
    </row>
    <row r="1937" spans="1:15">
      <c r="A1937" s="11"/>
      <c r="B1937" s="19"/>
      <c r="C1937" s="19"/>
      <c r="D1937" s="55"/>
      <c r="E1937" s="56"/>
      <c r="F1937" s="19"/>
      <c r="G1937" s="4" t="str">
        <f t="shared" si="240"/>
        <v/>
      </c>
      <c r="H1937" s="11" t="str">
        <f t="shared" si="241"/>
        <v/>
      </c>
      <c r="I1937" s="55" t="str">
        <f t="shared" si="242"/>
        <v/>
      </c>
      <c r="J1937" s="55" t="str">
        <f t="shared" si="243"/>
        <v/>
      </c>
      <c r="K1937" s="4" t="str">
        <f t="shared" si="244"/>
        <v/>
      </c>
      <c r="L1937" s="19" t="str">
        <f t="shared" si="245"/>
        <v/>
      </c>
      <c r="M1937" s="12" t="str">
        <f>IF(A1937="","",IFERROR(INDEX(المدخلات!$M$4:$M$15,MATCH(A1937,المدخلات!$L$4:$L$15,0)),""))</f>
        <v/>
      </c>
      <c r="N1937" s="4" t="str">
        <f t="shared" si="246"/>
        <v/>
      </c>
      <c r="O1937" s="4" t="str">
        <f t="shared" si="247"/>
        <v/>
      </c>
    </row>
    <row r="1938" spans="1:15">
      <c r="A1938" s="11"/>
      <c r="B1938" s="19"/>
      <c r="C1938" s="19"/>
      <c r="D1938" s="55"/>
      <c r="E1938" s="56"/>
      <c r="F1938" s="19"/>
      <c r="G1938" s="4" t="str">
        <f t="shared" si="240"/>
        <v/>
      </c>
      <c r="H1938" s="11" t="str">
        <f t="shared" si="241"/>
        <v/>
      </c>
      <c r="I1938" s="55" t="str">
        <f t="shared" si="242"/>
        <v/>
      </c>
      <c r="J1938" s="55" t="str">
        <f t="shared" si="243"/>
        <v/>
      </c>
      <c r="K1938" s="4" t="str">
        <f t="shared" si="244"/>
        <v/>
      </c>
      <c r="L1938" s="19" t="str">
        <f t="shared" si="245"/>
        <v/>
      </c>
      <c r="M1938" s="12" t="str">
        <f>IF(A1938="","",IFERROR(INDEX(المدخلات!$M$4:$M$15,MATCH(A1938,المدخلات!$L$4:$L$15,0)),""))</f>
        <v/>
      </c>
      <c r="N1938" s="4" t="str">
        <f t="shared" si="246"/>
        <v/>
      </c>
      <c r="O1938" s="4" t="str">
        <f t="shared" si="247"/>
        <v/>
      </c>
    </row>
    <row r="1939" spans="1:15">
      <c r="A1939" s="11"/>
      <c r="B1939" s="19"/>
      <c r="C1939" s="19"/>
      <c r="D1939" s="55"/>
      <c r="E1939" s="56"/>
      <c r="F1939" s="19"/>
      <c r="G1939" s="4" t="str">
        <f t="shared" si="240"/>
        <v/>
      </c>
      <c r="H1939" s="11" t="str">
        <f t="shared" si="241"/>
        <v/>
      </c>
      <c r="I1939" s="55" t="str">
        <f t="shared" si="242"/>
        <v/>
      </c>
      <c r="J1939" s="55" t="str">
        <f t="shared" si="243"/>
        <v/>
      </c>
      <c r="K1939" s="4" t="str">
        <f t="shared" si="244"/>
        <v/>
      </c>
      <c r="L1939" s="19" t="str">
        <f t="shared" si="245"/>
        <v/>
      </c>
      <c r="M1939" s="12" t="str">
        <f>IF(A1939="","",IFERROR(INDEX(المدخلات!$M$4:$M$15,MATCH(A1939,المدخلات!$L$4:$L$15,0)),""))</f>
        <v/>
      </c>
      <c r="N1939" s="4" t="str">
        <f t="shared" si="246"/>
        <v/>
      </c>
      <c r="O1939" s="4" t="str">
        <f t="shared" si="247"/>
        <v/>
      </c>
    </row>
    <row r="1940" spans="1:15">
      <c r="A1940" s="11"/>
      <c r="B1940" s="19"/>
      <c r="C1940" s="19"/>
      <c r="D1940" s="55"/>
      <c r="E1940" s="56"/>
      <c r="F1940" s="19"/>
      <c r="G1940" s="4" t="str">
        <f t="shared" si="240"/>
        <v/>
      </c>
      <c r="H1940" s="11" t="str">
        <f t="shared" si="241"/>
        <v/>
      </c>
      <c r="I1940" s="55" t="str">
        <f t="shared" si="242"/>
        <v/>
      </c>
      <c r="J1940" s="55" t="str">
        <f t="shared" si="243"/>
        <v/>
      </c>
      <c r="K1940" s="4" t="str">
        <f t="shared" si="244"/>
        <v/>
      </c>
      <c r="L1940" s="19" t="str">
        <f t="shared" si="245"/>
        <v/>
      </c>
      <c r="M1940" s="12" t="str">
        <f>IF(A1940="","",IFERROR(INDEX(المدخلات!$M$4:$M$15,MATCH(A1940,المدخلات!$L$4:$L$15,0)),""))</f>
        <v/>
      </c>
      <c r="N1940" s="4" t="str">
        <f t="shared" si="246"/>
        <v/>
      </c>
      <c r="O1940" s="4" t="str">
        <f t="shared" si="247"/>
        <v/>
      </c>
    </row>
    <row r="1941" spans="1:15">
      <c r="A1941" s="11"/>
      <c r="B1941" s="19"/>
      <c r="C1941" s="19"/>
      <c r="D1941" s="55"/>
      <c r="E1941" s="56"/>
      <c r="F1941" s="19"/>
      <c r="G1941" s="4" t="str">
        <f t="shared" si="240"/>
        <v/>
      </c>
      <c r="H1941" s="11" t="str">
        <f t="shared" si="241"/>
        <v/>
      </c>
      <c r="I1941" s="55" t="str">
        <f t="shared" si="242"/>
        <v/>
      </c>
      <c r="J1941" s="55" t="str">
        <f t="shared" si="243"/>
        <v/>
      </c>
      <c r="K1941" s="4" t="str">
        <f t="shared" si="244"/>
        <v/>
      </c>
      <c r="L1941" s="19" t="str">
        <f t="shared" si="245"/>
        <v/>
      </c>
      <c r="M1941" s="12" t="str">
        <f>IF(A1941="","",IFERROR(INDEX(المدخلات!$M$4:$M$15,MATCH(A1941,المدخلات!$L$4:$L$15,0)),""))</f>
        <v/>
      </c>
      <c r="N1941" s="4" t="str">
        <f t="shared" si="246"/>
        <v/>
      </c>
      <c r="O1941" s="4" t="str">
        <f t="shared" si="247"/>
        <v/>
      </c>
    </row>
    <row r="1942" spans="1:15">
      <c r="A1942" s="11"/>
      <c r="B1942" s="19"/>
      <c r="C1942" s="19"/>
      <c r="D1942" s="55"/>
      <c r="E1942" s="56"/>
      <c r="F1942" s="19"/>
      <c r="G1942" s="4" t="str">
        <f t="shared" si="240"/>
        <v/>
      </c>
      <c r="H1942" s="11" t="str">
        <f t="shared" si="241"/>
        <v/>
      </c>
      <c r="I1942" s="55" t="str">
        <f t="shared" si="242"/>
        <v/>
      </c>
      <c r="J1942" s="55" t="str">
        <f t="shared" si="243"/>
        <v/>
      </c>
      <c r="K1942" s="4" t="str">
        <f t="shared" si="244"/>
        <v/>
      </c>
      <c r="L1942" s="19" t="str">
        <f t="shared" si="245"/>
        <v/>
      </c>
      <c r="M1942" s="12" t="str">
        <f>IF(A1942="","",IFERROR(INDEX(المدخلات!$M$4:$M$15,MATCH(A1942,المدخلات!$L$4:$L$15,0)),""))</f>
        <v/>
      </c>
      <c r="N1942" s="4" t="str">
        <f t="shared" si="246"/>
        <v/>
      </c>
      <c r="O1942" s="4" t="str">
        <f t="shared" si="247"/>
        <v/>
      </c>
    </row>
    <row r="1943" spans="1:15">
      <c r="A1943" s="11"/>
      <c r="B1943" s="19"/>
      <c r="C1943" s="19"/>
      <c r="D1943" s="55"/>
      <c r="E1943" s="56"/>
      <c r="F1943" s="19"/>
      <c r="G1943" s="4" t="str">
        <f t="shared" si="240"/>
        <v/>
      </c>
      <c r="H1943" s="11" t="str">
        <f t="shared" si="241"/>
        <v/>
      </c>
      <c r="I1943" s="55" t="str">
        <f t="shared" si="242"/>
        <v/>
      </c>
      <c r="J1943" s="55" t="str">
        <f t="shared" si="243"/>
        <v/>
      </c>
      <c r="K1943" s="4" t="str">
        <f t="shared" si="244"/>
        <v/>
      </c>
      <c r="L1943" s="19" t="str">
        <f t="shared" si="245"/>
        <v/>
      </c>
      <c r="M1943" s="12" t="str">
        <f>IF(A1943="","",IFERROR(INDEX(المدخلات!$M$4:$M$15,MATCH(A1943,المدخلات!$L$4:$L$15,0)),""))</f>
        <v/>
      </c>
      <c r="N1943" s="4" t="str">
        <f t="shared" si="246"/>
        <v/>
      </c>
      <c r="O1943" s="4" t="str">
        <f t="shared" si="247"/>
        <v/>
      </c>
    </row>
    <row r="1944" spans="1:15">
      <c r="A1944" s="11"/>
      <c r="B1944" s="19"/>
      <c r="C1944" s="19"/>
      <c r="D1944" s="55"/>
      <c r="E1944" s="56"/>
      <c r="F1944" s="19"/>
      <c r="G1944" s="4" t="str">
        <f t="shared" si="240"/>
        <v/>
      </c>
      <c r="H1944" s="11" t="str">
        <f t="shared" si="241"/>
        <v/>
      </c>
      <c r="I1944" s="55" t="str">
        <f t="shared" si="242"/>
        <v/>
      </c>
      <c r="J1944" s="55" t="str">
        <f t="shared" si="243"/>
        <v/>
      </c>
      <c r="K1944" s="4" t="str">
        <f t="shared" si="244"/>
        <v/>
      </c>
      <c r="L1944" s="19" t="str">
        <f t="shared" si="245"/>
        <v/>
      </c>
      <c r="M1944" s="12" t="str">
        <f>IF(A1944="","",IFERROR(INDEX(المدخلات!$M$4:$M$15,MATCH(A1944,المدخلات!$L$4:$L$15,0)),""))</f>
        <v/>
      </c>
      <c r="N1944" s="4" t="str">
        <f t="shared" si="246"/>
        <v/>
      </c>
      <c r="O1944" s="4" t="str">
        <f t="shared" si="247"/>
        <v/>
      </c>
    </row>
    <row r="1945" spans="1:15">
      <c r="A1945" s="11"/>
      <c r="B1945" s="19"/>
      <c r="C1945" s="19"/>
      <c r="D1945" s="55"/>
      <c r="E1945" s="56"/>
      <c r="F1945" s="19"/>
      <c r="G1945" s="4" t="str">
        <f t="shared" si="240"/>
        <v/>
      </c>
      <c r="H1945" s="11" t="str">
        <f t="shared" si="241"/>
        <v/>
      </c>
      <c r="I1945" s="55" t="str">
        <f t="shared" si="242"/>
        <v/>
      </c>
      <c r="J1945" s="55" t="str">
        <f t="shared" si="243"/>
        <v/>
      </c>
      <c r="K1945" s="4" t="str">
        <f t="shared" si="244"/>
        <v/>
      </c>
      <c r="L1945" s="19" t="str">
        <f t="shared" si="245"/>
        <v/>
      </c>
      <c r="M1945" s="12" t="str">
        <f>IF(A1945="","",IFERROR(INDEX(المدخلات!$M$4:$M$15,MATCH(A1945,المدخلات!$L$4:$L$15,0)),""))</f>
        <v/>
      </c>
      <c r="N1945" s="4" t="str">
        <f t="shared" si="246"/>
        <v/>
      </c>
      <c r="O1945" s="4" t="str">
        <f t="shared" si="247"/>
        <v/>
      </c>
    </row>
    <row r="1946" spans="1:15">
      <c r="A1946" s="11"/>
      <c r="B1946" s="19"/>
      <c r="C1946" s="19"/>
      <c r="D1946" s="55"/>
      <c r="E1946" s="56"/>
      <c r="F1946" s="19"/>
      <c r="G1946" s="4" t="str">
        <f t="shared" si="240"/>
        <v/>
      </c>
      <c r="H1946" s="11" t="str">
        <f t="shared" si="241"/>
        <v/>
      </c>
      <c r="I1946" s="55" t="str">
        <f t="shared" si="242"/>
        <v/>
      </c>
      <c r="J1946" s="55" t="str">
        <f t="shared" si="243"/>
        <v/>
      </c>
      <c r="K1946" s="4" t="str">
        <f t="shared" si="244"/>
        <v/>
      </c>
      <c r="L1946" s="19" t="str">
        <f t="shared" si="245"/>
        <v/>
      </c>
      <c r="M1946" s="12" t="str">
        <f>IF(A1946="","",IFERROR(INDEX(المدخلات!$M$4:$M$15,MATCH(A1946,المدخلات!$L$4:$L$15,0)),""))</f>
        <v/>
      </c>
      <c r="N1946" s="4" t="str">
        <f t="shared" si="246"/>
        <v/>
      </c>
      <c r="O1946" s="4" t="str">
        <f t="shared" si="247"/>
        <v/>
      </c>
    </row>
    <row r="1947" spans="1:15">
      <c r="A1947" s="11"/>
      <c r="B1947" s="19"/>
      <c r="C1947" s="19"/>
      <c r="D1947" s="55"/>
      <c r="E1947" s="56"/>
      <c r="F1947" s="19"/>
      <c r="G1947" s="4" t="str">
        <f t="shared" si="240"/>
        <v/>
      </c>
      <c r="H1947" s="11" t="str">
        <f t="shared" si="241"/>
        <v/>
      </c>
      <c r="I1947" s="55" t="str">
        <f t="shared" si="242"/>
        <v/>
      </c>
      <c r="J1947" s="55" t="str">
        <f t="shared" si="243"/>
        <v/>
      </c>
      <c r="K1947" s="4" t="str">
        <f t="shared" si="244"/>
        <v/>
      </c>
      <c r="L1947" s="19" t="str">
        <f t="shared" si="245"/>
        <v/>
      </c>
      <c r="M1947" s="12" t="str">
        <f>IF(A1947="","",IFERROR(INDEX(المدخلات!$M$4:$M$15,MATCH(A1947,المدخلات!$L$4:$L$15,0)),""))</f>
        <v/>
      </c>
      <c r="N1947" s="4" t="str">
        <f t="shared" si="246"/>
        <v/>
      </c>
      <c r="O1947" s="4" t="str">
        <f t="shared" si="247"/>
        <v/>
      </c>
    </row>
    <row r="1948" spans="1:15">
      <c r="A1948" s="11"/>
      <c r="B1948" s="19"/>
      <c r="C1948" s="19"/>
      <c r="D1948" s="55"/>
      <c r="E1948" s="56"/>
      <c r="F1948" s="19"/>
      <c r="G1948" s="4" t="str">
        <f t="shared" si="240"/>
        <v/>
      </c>
      <c r="H1948" s="11" t="str">
        <f t="shared" si="241"/>
        <v/>
      </c>
      <c r="I1948" s="55" t="str">
        <f t="shared" si="242"/>
        <v/>
      </c>
      <c r="J1948" s="55" t="str">
        <f t="shared" si="243"/>
        <v/>
      </c>
      <c r="K1948" s="4" t="str">
        <f t="shared" si="244"/>
        <v/>
      </c>
      <c r="L1948" s="19" t="str">
        <f t="shared" si="245"/>
        <v/>
      </c>
      <c r="M1948" s="12" t="str">
        <f>IF(A1948="","",IFERROR(INDEX(المدخلات!$M$4:$M$15,MATCH(A1948,المدخلات!$L$4:$L$15,0)),""))</f>
        <v/>
      </c>
      <c r="N1948" s="4" t="str">
        <f t="shared" si="246"/>
        <v/>
      </c>
      <c r="O1948" s="4" t="str">
        <f t="shared" si="247"/>
        <v/>
      </c>
    </row>
    <row r="1949" spans="1:15">
      <c r="A1949" s="11"/>
      <c r="B1949" s="19"/>
      <c r="C1949" s="19"/>
      <c r="D1949" s="55"/>
      <c r="E1949" s="56"/>
      <c r="F1949" s="19"/>
      <c r="G1949" s="4" t="str">
        <f t="shared" si="240"/>
        <v/>
      </c>
      <c r="H1949" s="11" t="str">
        <f t="shared" si="241"/>
        <v/>
      </c>
      <c r="I1949" s="55" t="str">
        <f t="shared" si="242"/>
        <v/>
      </c>
      <c r="J1949" s="55" t="str">
        <f t="shared" si="243"/>
        <v/>
      </c>
      <c r="K1949" s="4" t="str">
        <f t="shared" si="244"/>
        <v/>
      </c>
      <c r="L1949" s="19" t="str">
        <f t="shared" si="245"/>
        <v/>
      </c>
      <c r="M1949" s="12" t="str">
        <f>IF(A1949="","",IFERROR(INDEX(المدخلات!$M$4:$M$15,MATCH(A1949,المدخلات!$L$4:$L$15,0)),""))</f>
        <v/>
      </c>
      <c r="N1949" s="4" t="str">
        <f t="shared" si="246"/>
        <v/>
      </c>
      <c r="O1949" s="4" t="str">
        <f t="shared" si="247"/>
        <v/>
      </c>
    </row>
    <row r="1950" spans="1:15">
      <c r="A1950" s="11"/>
      <c r="B1950" s="19"/>
      <c r="C1950" s="19"/>
      <c r="D1950" s="55"/>
      <c r="E1950" s="56"/>
      <c r="F1950" s="19"/>
      <c r="G1950" s="4" t="str">
        <f t="shared" si="240"/>
        <v/>
      </c>
      <c r="H1950" s="11" t="str">
        <f t="shared" si="241"/>
        <v/>
      </c>
      <c r="I1950" s="55" t="str">
        <f t="shared" si="242"/>
        <v/>
      </c>
      <c r="J1950" s="55" t="str">
        <f t="shared" si="243"/>
        <v/>
      </c>
      <c r="K1950" s="4" t="str">
        <f t="shared" si="244"/>
        <v/>
      </c>
      <c r="L1950" s="19" t="str">
        <f t="shared" si="245"/>
        <v/>
      </c>
      <c r="M1950" s="12" t="str">
        <f>IF(A1950="","",IFERROR(INDEX(المدخلات!$M$4:$M$15,MATCH(A1950,المدخلات!$L$4:$L$15,0)),""))</f>
        <v/>
      </c>
      <c r="N1950" s="4" t="str">
        <f t="shared" si="246"/>
        <v/>
      </c>
      <c r="O1950" s="4" t="str">
        <f t="shared" si="247"/>
        <v/>
      </c>
    </row>
    <row r="1951" spans="1:15">
      <c r="A1951" s="11"/>
      <c r="B1951" s="19"/>
      <c r="C1951" s="19"/>
      <c r="D1951" s="55"/>
      <c r="E1951" s="56"/>
      <c r="F1951" s="19"/>
      <c r="G1951" s="4" t="str">
        <f t="shared" si="240"/>
        <v/>
      </c>
      <c r="H1951" s="11" t="str">
        <f t="shared" si="241"/>
        <v/>
      </c>
      <c r="I1951" s="55" t="str">
        <f t="shared" si="242"/>
        <v/>
      </c>
      <c r="J1951" s="55" t="str">
        <f t="shared" si="243"/>
        <v/>
      </c>
      <c r="K1951" s="4" t="str">
        <f t="shared" si="244"/>
        <v/>
      </c>
      <c r="L1951" s="19" t="str">
        <f t="shared" si="245"/>
        <v/>
      </c>
      <c r="M1951" s="12" t="str">
        <f>IF(A1951="","",IFERROR(INDEX(المدخلات!$M$4:$M$15,MATCH(A1951,المدخلات!$L$4:$L$15,0)),""))</f>
        <v/>
      </c>
      <c r="N1951" s="4" t="str">
        <f t="shared" si="246"/>
        <v/>
      </c>
      <c r="O1951" s="4" t="str">
        <f t="shared" si="247"/>
        <v/>
      </c>
    </row>
    <row r="1952" spans="1:15">
      <c r="A1952" s="11"/>
      <c r="B1952" s="19"/>
      <c r="C1952" s="19"/>
      <c r="D1952" s="55"/>
      <c r="E1952" s="56"/>
      <c r="F1952" s="19"/>
      <c r="G1952" s="4" t="str">
        <f t="shared" si="240"/>
        <v/>
      </c>
      <c r="H1952" s="11" t="str">
        <f t="shared" si="241"/>
        <v/>
      </c>
      <c r="I1952" s="55" t="str">
        <f t="shared" si="242"/>
        <v/>
      </c>
      <c r="J1952" s="55" t="str">
        <f t="shared" si="243"/>
        <v/>
      </c>
      <c r="K1952" s="4" t="str">
        <f t="shared" si="244"/>
        <v/>
      </c>
      <c r="L1952" s="19" t="str">
        <f t="shared" si="245"/>
        <v/>
      </c>
      <c r="M1952" s="12" t="str">
        <f>IF(A1952="","",IFERROR(INDEX(المدخلات!$M$4:$M$15,MATCH(A1952,المدخلات!$L$4:$L$15,0)),""))</f>
        <v/>
      </c>
      <c r="N1952" s="4" t="str">
        <f t="shared" si="246"/>
        <v/>
      </c>
      <c r="O1952" s="4" t="str">
        <f t="shared" si="247"/>
        <v/>
      </c>
    </row>
    <row r="1953" spans="1:15">
      <c r="A1953" s="11"/>
      <c r="B1953" s="19"/>
      <c r="C1953" s="19"/>
      <c r="D1953" s="55"/>
      <c r="E1953" s="56"/>
      <c r="F1953" s="19"/>
      <c r="G1953" s="4" t="str">
        <f t="shared" si="240"/>
        <v/>
      </c>
      <c r="H1953" s="11" t="str">
        <f t="shared" si="241"/>
        <v/>
      </c>
      <c r="I1953" s="55" t="str">
        <f t="shared" si="242"/>
        <v/>
      </c>
      <c r="J1953" s="55" t="str">
        <f t="shared" si="243"/>
        <v/>
      </c>
      <c r="K1953" s="4" t="str">
        <f t="shared" si="244"/>
        <v/>
      </c>
      <c r="L1953" s="19" t="str">
        <f t="shared" si="245"/>
        <v/>
      </c>
      <c r="M1953" s="12" t="str">
        <f>IF(A1953="","",IFERROR(INDEX(المدخلات!$M$4:$M$15,MATCH(A1953,المدخلات!$L$4:$L$15,0)),""))</f>
        <v/>
      </c>
      <c r="N1953" s="4" t="str">
        <f t="shared" si="246"/>
        <v/>
      </c>
      <c r="O1953" s="4" t="str">
        <f t="shared" si="247"/>
        <v/>
      </c>
    </row>
    <row r="1954" spans="1:15">
      <c r="A1954" s="11"/>
      <c r="B1954" s="19"/>
      <c r="C1954" s="19"/>
      <c r="D1954" s="55"/>
      <c r="E1954" s="56"/>
      <c r="F1954" s="19"/>
      <c r="G1954" s="4" t="str">
        <f t="shared" si="240"/>
        <v/>
      </c>
      <c r="H1954" s="11" t="str">
        <f t="shared" si="241"/>
        <v/>
      </c>
      <c r="I1954" s="55" t="str">
        <f t="shared" si="242"/>
        <v/>
      </c>
      <c r="J1954" s="55" t="str">
        <f t="shared" si="243"/>
        <v/>
      </c>
      <c r="K1954" s="4" t="str">
        <f t="shared" si="244"/>
        <v/>
      </c>
      <c r="L1954" s="19" t="str">
        <f t="shared" si="245"/>
        <v/>
      </c>
      <c r="M1954" s="12" t="str">
        <f>IF(A1954="","",IFERROR(INDEX(المدخلات!$M$4:$M$15,MATCH(A1954,المدخلات!$L$4:$L$15,0)),""))</f>
        <v/>
      </c>
      <c r="N1954" s="4" t="str">
        <f t="shared" si="246"/>
        <v/>
      </c>
      <c r="O1954" s="4" t="str">
        <f t="shared" si="247"/>
        <v/>
      </c>
    </row>
    <row r="1955" spans="1:15">
      <c r="A1955" s="11"/>
      <c r="B1955" s="19"/>
      <c r="C1955" s="19"/>
      <c r="D1955" s="55"/>
      <c r="E1955" s="56"/>
      <c r="F1955" s="19"/>
      <c r="G1955" s="4" t="str">
        <f t="shared" si="240"/>
        <v/>
      </c>
      <c r="H1955" s="11" t="str">
        <f t="shared" si="241"/>
        <v/>
      </c>
      <c r="I1955" s="55" t="str">
        <f t="shared" si="242"/>
        <v/>
      </c>
      <c r="J1955" s="55" t="str">
        <f t="shared" si="243"/>
        <v/>
      </c>
      <c r="K1955" s="4" t="str">
        <f t="shared" si="244"/>
        <v/>
      </c>
      <c r="L1955" s="19" t="str">
        <f t="shared" si="245"/>
        <v/>
      </c>
      <c r="M1955" s="12" t="str">
        <f>IF(A1955="","",IFERROR(INDEX(المدخلات!$M$4:$M$15,MATCH(A1955,المدخلات!$L$4:$L$15,0)),""))</f>
        <v/>
      </c>
      <c r="N1955" s="4" t="str">
        <f t="shared" si="246"/>
        <v/>
      </c>
      <c r="O1955" s="4" t="str">
        <f t="shared" si="247"/>
        <v/>
      </c>
    </row>
    <row r="1956" spans="1:15">
      <c r="A1956" s="11"/>
      <c r="B1956" s="19"/>
      <c r="C1956" s="19"/>
      <c r="D1956" s="55"/>
      <c r="E1956" s="56"/>
      <c r="F1956" s="19"/>
      <c r="G1956" s="4" t="str">
        <f t="shared" si="240"/>
        <v/>
      </c>
      <c r="H1956" s="11" t="str">
        <f t="shared" si="241"/>
        <v/>
      </c>
      <c r="I1956" s="55" t="str">
        <f t="shared" si="242"/>
        <v/>
      </c>
      <c r="J1956" s="55" t="str">
        <f t="shared" si="243"/>
        <v/>
      </c>
      <c r="K1956" s="4" t="str">
        <f t="shared" si="244"/>
        <v/>
      </c>
      <c r="L1956" s="19" t="str">
        <f t="shared" si="245"/>
        <v/>
      </c>
      <c r="M1956" s="12" t="str">
        <f>IF(A1956="","",IFERROR(INDEX(المدخلات!$M$4:$M$15,MATCH(A1956,المدخلات!$L$4:$L$15,0)),""))</f>
        <v/>
      </c>
      <c r="N1956" s="4" t="str">
        <f t="shared" si="246"/>
        <v/>
      </c>
      <c r="O1956" s="4" t="str">
        <f t="shared" si="247"/>
        <v/>
      </c>
    </row>
    <row r="1957" spans="1:15">
      <c r="A1957" s="11"/>
      <c r="B1957" s="19"/>
      <c r="C1957" s="19"/>
      <c r="D1957" s="55"/>
      <c r="E1957" s="56"/>
      <c r="F1957" s="19"/>
      <c r="G1957" s="4" t="str">
        <f t="shared" si="240"/>
        <v/>
      </c>
      <c r="H1957" s="11" t="str">
        <f t="shared" si="241"/>
        <v/>
      </c>
      <c r="I1957" s="55" t="str">
        <f t="shared" si="242"/>
        <v/>
      </c>
      <c r="J1957" s="55" t="str">
        <f t="shared" si="243"/>
        <v/>
      </c>
      <c r="K1957" s="4" t="str">
        <f t="shared" si="244"/>
        <v/>
      </c>
      <c r="L1957" s="19" t="str">
        <f t="shared" si="245"/>
        <v/>
      </c>
      <c r="M1957" s="12" t="str">
        <f>IF(A1957="","",IFERROR(INDEX(المدخلات!$M$4:$M$15,MATCH(A1957,المدخلات!$L$4:$L$15,0)),""))</f>
        <v/>
      </c>
      <c r="N1957" s="4" t="str">
        <f t="shared" si="246"/>
        <v/>
      </c>
      <c r="O1957" s="4" t="str">
        <f t="shared" si="247"/>
        <v/>
      </c>
    </row>
    <row r="1958" spans="1:15">
      <c r="A1958" s="11"/>
      <c r="B1958" s="19"/>
      <c r="C1958" s="19"/>
      <c r="D1958" s="55"/>
      <c r="E1958" s="56"/>
      <c r="F1958" s="19"/>
      <c r="G1958" s="4" t="str">
        <f t="shared" si="240"/>
        <v/>
      </c>
      <c r="H1958" s="11" t="str">
        <f t="shared" si="241"/>
        <v/>
      </c>
      <c r="I1958" s="55" t="str">
        <f t="shared" si="242"/>
        <v/>
      </c>
      <c r="J1958" s="55" t="str">
        <f t="shared" si="243"/>
        <v/>
      </c>
      <c r="K1958" s="4" t="str">
        <f t="shared" si="244"/>
        <v/>
      </c>
      <c r="L1958" s="19" t="str">
        <f t="shared" si="245"/>
        <v/>
      </c>
      <c r="M1958" s="12" t="str">
        <f>IF(A1958="","",IFERROR(INDEX(المدخلات!$M$4:$M$15,MATCH(A1958,المدخلات!$L$4:$L$15,0)),""))</f>
        <v/>
      </c>
      <c r="N1958" s="4" t="str">
        <f t="shared" si="246"/>
        <v/>
      </c>
      <c r="O1958" s="4" t="str">
        <f t="shared" si="247"/>
        <v/>
      </c>
    </row>
    <row r="1959" spans="1:15">
      <c r="A1959" s="11"/>
      <c r="B1959" s="19"/>
      <c r="C1959" s="19"/>
      <c r="D1959" s="55"/>
      <c r="E1959" s="56"/>
      <c r="F1959" s="19"/>
      <c r="G1959" s="4" t="str">
        <f t="shared" si="240"/>
        <v/>
      </c>
      <c r="H1959" s="11" t="str">
        <f t="shared" si="241"/>
        <v/>
      </c>
      <c r="I1959" s="55" t="str">
        <f t="shared" si="242"/>
        <v/>
      </c>
      <c r="J1959" s="55" t="str">
        <f t="shared" si="243"/>
        <v/>
      </c>
      <c r="K1959" s="4" t="str">
        <f t="shared" si="244"/>
        <v/>
      </c>
      <c r="L1959" s="19" t="str">
        <f t="shared" si="245"/>
        <v/>
      </c>
      <c r="M1959" s="12" t="str">
        <f>IF(A1959="","",IFERROR(INDEX(المدخلات!$M$4:$M$15,MATCH(A1959,المدخلات!$L$4:$L$15,0)),""))</f>
        <v/>
      </c>
      <c r="N1959" s="4" t="str">
        <f t="shared" si="246"/>
        <v/>
      </c>
      <c r="O1959" s="4" t="str">
        <f t="shared" si="247"/>
        <v/>
      </c>
    </row>
    <row r="1960" spans="1:15">
      <c r="A1960" s="11"/>
      <c r="B1960" s="19"/>
      <c r="C1960" s="19"/>
      <c r="D1960" s="55"/>
      <c r="E1960" s="56"/>
      <c r="F1960" s="19"/>
      <c r="G1960" s="4" t="str">
        <f t="shared" si="240"/>
        <v/>
      </c>
      <c r="H1960" s="11" t="str">
        <f t="shared" si="241"/>
        <v/>
      </c>
      <c r="I1960" s="55" t="str">
        <f t="shared" si="242"/>
        <v/>
      </c>
      <c r="J1960" s="55" t="str">
        <f t="shared" si="243"/>
        <v/>
      </c>
      <c r="K1960" s="4" t="str">
        <f t="shared" si="244"/>
        <v/>
      </c>
      <c r="L1960" s="19" t="str">
        <f t="shared" si="245"/>
        <v/>
      </c>
      <c r="M1960" s="12" t="str">
        <f>IF(A1960="","",IFERROR(INDEX(المدخلات!$M$4:$M$15,MATCH(A1960,المدخلات!$L$4:$L$15,0)),""))</f>
        <v/>
      </c>
      <c r="N1960" s="4" t="str">
        <f t="shared" si="246"/>
        <v/>
      </c>
      <c r="O1960" s="4" t="str">
        <f t="shared" si="247"/>
        <v/>
      </c>
    </row>
    <row r="1961" spans="1:15">
      <c r="A1961" s="11"/>
      <c r="B1961" s="19"/>
      <c r="C1961" s="19"/>
      <c r="D1961" s="55"/>
      <c r="E1961" s="56"/>
      <c r="F1961" s="19"/>
      <c r="G1961" s="4" t="str">
        <f t="shared" si="240"/>
        <v/>
      </c>
      <c r="H1961" s="11" t="str">
        <f t="shared" si="241"/>
        <v/>
      </c>
      <c r="I1961" s="55" t="str">
        <f t="shared" si="242"/>
        <v/>
      </c>
      <c r="J1961" s="55" t="str">
        <f t="shared" si="243"/>
        <v/>
      </c>
      <c r="K1961" s="4" t="str">
        <f t="shared" si="244"/>
        <v/>
      </c>
      <c r="L1961" s="19" t="str">
        <f t="shared" si="245"/>
        <v/>
      </c>
      <c r="M1961" s="12" t="str">
        <f>IF(A1961="","",IFERROR(INDEX(المدخلات!$M$4:$M$15,MATCH(A1961,المدخلات!$L$4:$L$15,0)),""))</f>
        <v/>
      </c>
      <c r="N1961" s="4" t="str">
        <f t="shared" si="246"/>
        <v/>
      </c>
      <c r="O1961" s="4" t="str">
        <f t="shared" si="247"/>
        <v/>
      </c>
    </row>
    <row r="1962" spans="1:15">
      <c r="A1962" s="11"/>
      <c r="B1962" s="19"/>
      <c r="C1962" s="19"/>
      <c r="D1962" s="55"/>
      <c r="E1962" s="56"/>
      <c r="F1962" s="19"/>
      <c r="G1962" s="4" t="str">
        <f t="shared" si="240"/>
        <v/>
      </c>
      <c r="H1962" s="11" t="str">
        <f t="shared" si="241"/>
        <v/>
      </c>
      <c r="I1962" s="55" t="str">
        <f t="shared" si="242"/>
        <v/>
      </c>
      <c r="J1962" s="55" t="str">
        <f t="shared" si="243"/>
        <v/>
      </c>
      <c r="K1962" s="4" t="str">
        <f t="shared" si="244"/>
        <v/>
      </c>
      <c r="L1962" s="19" t="str">
        <f t="shared" si="245"/>
        <v/>
      </c>
      <c r="M1962" s="12" t="str">
        <f>IF(A1962="","",IFERROR(INDEX(المدخلات!$M$4:$M$15,MATCH(A1962,المدخلات!$L$4:$L$15,0)),""))</f>
        <v/>
      </c>
      <c r="N1962" s="4" t="str">
        <f t="shared" si="246"/>
        <v/>
      </c>
      <c r="O1962" s="4" t="str">
        <f t="shared" si="247"/>
        <v/>
      </c>
    </row>
    <row r="1963" spans="1:15">
      <c r="A1963" s="11"/>
      <c r="B1963" s="19"/>
      <c r="C1963" s="19"/>
      <c r="D1963" s="55"/>
      <c r="E1963" s="56"/>
      <c r="F1963" s="19"/>
      <c r="G1963" s="4" t="str">
        <f t="shared" si="240"/>
        <v/>
      </c>
      <c r="H1963" s="11" t="str">
        <f t="shared" si="241"/>
        <v/>
      </c>
      <c r="I1963" s="55" t="str">
        <f t="shared" si="242"/>
        <v/>
      </c>
      <c r="J1963" s="55" t="str">
        <f t="shared" si="243"/>
        <v/>
      </c>
      <c r="K1963" s="4" t="str">
        <f t="shared" si="244"/>
        <v/>
      </c>
      <c r="L1963" s="19" t="str">
        <f t="shared" si="245"/>
        <v/>
      </c>
      <c r="M1963" s="12" t="str">
        <f>IF(A1963="","",IFERROR(INDEX(المدخلات!$M$4:$M$15,MATCH(A1963,المدخلات!$L$4:$L$15,0)),""))</f>
        <v/>
      </c>
      <c r="N1963" s="4" t="str">
        <f t="shared" si="246"/>
        <v/>
      </c>
      <c r="O1963" s="4" t="str">
        <f t="shared" si="247"/>
        <v/>
      </c>
    </row>
    <row r="1964" spans="1:15">
      <c r="A1964" s="11"/>
      <c r="B1964" s="19"/>
      <c r="C1964" s="19"/>
      <c r="D1964" s="55"/>
      <c r="E1964" s="56"/>
      <c r="F1964" s="19"/>
      <c r="G1964" s="4" t="str">
        <f t="shared" si="240"/>
        <v/>
      </c>
      <c r="H1964" s="11" t="str">
        <f t="shared" si="241"/>
        <v/>
      </c>
      <c r="I1964" s="55" t="str">
        <f t="shared" si="242"/>
        <v/>
      </c>
      <c r="J1964" s="55" t="str">
        <f t="shared" si="243"/>
        <v/>
      </c>
      <c r="K1964" s="4" t="str">
        <f t="shared" si="244"/>
        <v/>
      </c>
      <c r="L1964" s="19" t="str">
        <f t="shared" si="245"/>
        <v/>
      </c>
      <c r="M1964" s="12" t="str">
        <f>IF(A1964="","",IFERROR(INDEX(المدخلات!$M$4:$M$15,MATCH(A1964,المدخلات!$L$4:$L$15,0)),""))</f>
        <v/>
      </c>
      <c r="N1964" s="4" t="str">
        <f t="shared" si="246"/>
        <v/>
      </c>
      <c r="O1964" s="4" t="str">
        <f t="shared" si="247"/>
        <v/>
      </c>
    </row>
    <row r="1965" spans="1:15">
      <c r="A1965" s="11"/>
      <c r="B1965" s="19"/>
      <c r="C1965" s="19"/>
      <c r="D1965" s="55"/>
      <c r="E1965" s="56"/>
      <c r="F1965" s="19"/>
      <c r="G1965" s="4" t="str">
        <f t="shared" si="240"/>
        <v/>
      </c>
      <c r="H1965" s="11" t="str">
        <f t="shared" si="241"/>
        <v/>
      </c>
      <c r="I1965" s="55" t="str">
        <f t="shared" si="242"/>
        <v/>
      </c>
      <c r="J1965" s="55" t="str">
        <f t="shared" si="243"/>
        <v/>
      </c>
      <c r="K1965" s="4" t="str">
        <f t="shared" si="244"/>
        <v/>
      </c>
      <c r="L1965" s="19" t="str">
        <f t="shared" si="245"/>
        <v/>
      </c>
      <c r="M1965" s="12" t="str">
        <f>IF(A1965="","",IFERROR(INDEX(المدخلات!$M$4:$M$15,MATCH(A1965,المدخلات!$L$4:$L$15,0)),""))</f>
        <v/>
      </c>
      <c r="N1965" s="4" t="str">
        <f t="shared" si="246"/>
        <v/>
      </c>
      <c r="O1965" s="4" t="str">
        <f t="shared" si="247"/>
        <v/>
      </c>
    </row>
    <row r="1966" spans="1:15">
      <c r="A1966" s="11"/>
      <c r="B1966" s="19"/>
      <c r="C1966" s="19"/>
      <c r="D1966" s="55"/>
      <c r="E1966" s="56"/>
      <c r="F1966" s="19"/>
      <c r="G1966" s="4" t="str">
        <f t="shared" si="240"/>
        <v/>
      </c>
      <c r="H1966" s="11" t="str">
        <f t="shared" si="241"/>
        <v/>
      </c>
      <c r="I1966" s="55" t="str">
        <f t="shared" si="242"/>
        <v/>
      </c>
      <c r="J1966" s="55" t="str">
        <f t="shared" si="243"/>
        <v/>
      </c>
      <c r="K1966" s="4" t="str">
        <f t="shared" si="244"/>
        <v/>
      </c>
      <c r="L1966" s="19" t="str">
        <f t="shared" si="245"/>
        <v/>
      </c>
      <c r="M1966" s="12" t="str">
        <f>IF(A1966="","",IFERROR(INDEX(المدخلات!$M$4:$M$15,MATCH(A1966,المدخلات!$L$4:$L$15,0)),""))</f>
        <v/>
      </c>
      <c r="N1966" s="4" t="str">
        <f t="shared" si="246"/>
        <v/>
      </c>
      <c r="O1966" s="4" t="str">
        <f t="shared" si="247"/>
        <v/>
      </c>
    </row>
    <row r="1967" spans="1:15">
      <c r="A1967" s="11"/>
      <c r="B1967" s="19"/>
      <c r="C1967" s="19"/>
      <c r="D1967" s="55"/>
      <c r="E1967" s="56"/>
      <c r="F1967" s="19"/>
      <c r="G1967" s="4" t="str">
        <f t="shared" si="240"/>
        <v/>
      </c>
      <c r="H1967" s="11" t="str">
        <f t="shared" si="241"/>
        <v/>
      </c>
      <c r="I1967" s="55" t="str">
        <f t="shared" si="242"/>
        <v/>
      </c>
      <c r="J1967" s="55" t="str">
        <f t="shared" si="243"/>
        <v/>
      </c>
      <c r="K1967" s="4" t="str">
        <f t="shared" si="244"/>
        <v/>
      </c>
      <c r="L1967" s="19" t="str">
        <f t="shared" si="245"/>
        <v/>
      </c>
      <c r="M1967" s="12" t="str">
        <f>IF(A1967="","",IFERROR(INDEX(المدخلات!$M$4:$M$15,MATCH(A1967,المدخلات!$L$4:$L$15,0)),""))</f>
        <v/>
      </c>
      <c r="N1967" s="4" t="str">
        <f t="shared" si="246"/>
        <v/>
      </c>
      <c r="O1967" s="4" t="str">
        <f t="shared" si="247"/>
        <v/>
      </c>
    </row>
    <row r="1968" spans="1:15">
      <c r="A1968" s="11"/>
      <c r="B1968" s="19"/>
      <c r="C1968" s="19"/>
      <c r="D1968" s="55"/>
      <c r="E1968" s="56"/>
      <c r="F1968" s="19"/>
      <c r="G1968" s="4" t="str">
        <f t="shared" si="240"/>
        <v/>
      </c>
      <c r="H1968" s="11" t="str">
        <f t="shared" si="241"/>
        <v/>
      </c>
      <c r="I1968" s="55" t="str">
        <f t="shared" si="242"/>
        <v/>
      </c>
      <c r="J1968" s="55" t="str">
        <f t="shared" si="243"/>
        <v/>
      </c>
      <c r="K1968" s="4" t="str">
        <f t="shared" si="244"/>
        <v/>
      </c>
      <c r="L1968" s="19" t="str">
        <f t="shared" si="245"/>
        <v/>
      </c>
      <c r="M1968" s="12" t="str">
        <f>IF(A1968="","",IFERROR(INDEX(المدخلات!$M$4:$M$15,MATCH(A1968,المدخلات!$L$4:$L$15,0)),""))</f>
        <v/>
      </c>
      <c r="N1968" s="4" t="str">
        <f t="shared" si="246"/>
        <v/>
      </c>
      <c r="O1968" s="4" t="str">
        <f t="shared" si="247"/>
        <v/>
      </c>
    </row>
    <row r="1969" spans="1:15">
      <c r="A1969" s="11"/>
      <c r="B1969" s="19"/>
      <c r="C1969" s="19"/>
      <c r="D1969" s="55"/>
      <c r="E1969" s="56"/>
      <c r="F1969" s="19"/>
      <c r="G1969" s="4" t="str">
        <f t="shared" si="240"/>
        <v/>
      </c>
      <c r="H1969" s="11" t="str">
        <f t="shared" si="241"/>
        <v/>
      </c>
      <c r="I1969" s="55" t="str">
        <f t="shared" si="242"/>
        <v/>
      </c>
      <c r="J1969" s="55" t="str">
        <f t="shared" si="243"/>
        <v/>
      </c>
      <c r="K1969" s="4" t="str">
        <f t="shared" si="244"/>
        <v/>
      </c>
      <c r="L1969" s="19" t="str">
        <f t="shared" si="245"/>
        <v/>
      </c>
      <c r="M1969" s="12" t="str">
        <f>IF(A1969="","",IFERROR(INDEX(المدخلات!$M$4:$M$15,MATCH(A1969,المدخلات!$L$4:$L$15,0)),""))</f>
        <v/>
      </c>
      <c r="N1969" s="4" t="str">
        <f t="shared" si="246"/>
        <v/>
      </c>
      <c r="O1969" s="4" t="str">
        <f t="shared" si="247"/>
        <v/>
      </c>
    </row>
    <row r="1970" spans="1:15">
      <c r="A1970" s="11"/>
      <c r="B1970" s="19"/>
      <c r="C1970" s="19"/>
      <c r="D1970" s="55"/>
      <c r="E1970" s="56"/>
      <c r="F1970" s="19"/>
      <c r="G1970" s="4" t="str">
        <f t="shared" si="240"/>
        <v/>
      </c>
      <c r="H1970" s="11" t="str">
        <f t="shared" si="241"/>
        <v/>
      </c>
      <c r="I1970" s="55" t="str">
        <f t="shared" si="242"/>
        <v/>
      </c>
      <c r="J1970" s="55" t="str">
        <f t="shared" si="243"/>
        <v/>
      </c>
      <c r="K1970" s="4" t="str">
        <f t="shared" si="244"/>
        <v/>
      </c>
      <c r="L1970" s="19" t="str">
        <f t="shared" si="245"/>
        <v/>
      </c>
      <c r="M1970" s="12" t="str">
        <f>IF(A1970="","",IFERROR(INDEX(المدخلات!$M$4:$M$15,MATCH(A1970,المدخلات!$L$4:$L$15,0)),""))</f>
        <v/>
      </c>
      <c r="N1970" s="4" t="str">
        <f t="shared" si="246"/>
        <v/>
      </c>
      <c r="O1970" s="4" t="str">
        <f t="shared" si="247"/>
        <v/>
      </c>
    </row>
    <row r="1971" spans="1:15">
      <c r="A1971" s="11"/>
      <c r="B1971" s="19"/>
      <c r="C1971" s="19"/>
      <c r="D1971" s="55"/>
      <c r="E1971" s="56"/>
      <c r="F1971" s="19"/>
      <c r="G1971" s="4" t="str">
        <f t="shared" si="240"/>
        <v/>
      </c>
      <c r="H1971" s="11" t="str">
        <f t="shared" si="241"/>
        <v/>
      </c>
      <c r="I1971" s="55" t="str">
        <f t="shared" si="242"/>
        <v/>
      </c>
      <c r="J1971" s="55" t="str">
        <f t="shared" si="243"/>
        <v/>
      </c>
      <c r="K1971" s="4" t="str">
        <f t="shared" si="244"/>
        <v/>
      </c>
      <c r="L1971" s="19" t="str">
        <f t="shared" si="245"/>
        <v/>
      </c>
      <c r="M1971" s="12" t="str">
        <f>IF(A1971="","",IFERROR(INDEX(المدخلات!$M$4:$M$15,MATCH(A1971,المدخلات!$L$4:$L$15,0)),""))</f>
        <v/>
      </c>
      <c r="N1971" s="4" t="str">
        <f t="shared" si="246"/>
        <v/>
      </c>
      <c r="O1971" s="4" t="str">
        <f t="shared" si="247"/>
        <v/>
      </c>
    </row>
    <row r="1972" spans="1:15">
      <c r="A1972" s="11"/>
      <c r="B1972" s="19"/>
      <c r="C1972" s="19"/>
      <c r="D1972" s="55"/>
      <c r="E1972" s="56"/>
      <c r="F1972" s="19"/>
      <c r="G1972" s="4" t="str">
        <f t="shared" si="240"/>
        <v/>
      </c>
      <c r="H1972" s="11" t="str">
        <f t="shared" si="241"/>
        <v/>
      </c>
      <c r="I1972" s="55" t="str">
        <f t="shared" si="242"/>
        <v/>
      </c>
      <c r="J1972" s="55" t="str">
        <f t="shared" si="243"/>
        <v/>
      </c>
      <c r="K1972" s="4" t="str">
        <f t="shared" si="244"/>
        <v/>
      </c>
      <c r="L1972" s="19" t="str">
        <f t="shared" si="245"/>
        <v/>
      </c>
      <c r="M1972" s="12" t="str">
        <f>IF(A1972="","",IFERROR(INDEX(المدخلات!$M$4:$M$15,MATCH(A1972,المدخلات!$L$4:$L$15,0)),""))</f>
        <v/>
      </c>
      <c r="N1972" s="4" t="str">
        <f t="shared" si="246"/>
        <v/>
      </c>
      <c r="O1972" s="4" t="str">
        <f t="shared" si="247"/>
        <v/>
      </c>
    </row>
    <row r="1973" spans="1:15">
      <c r="A1973" s="11"/>
      <c r="B1973" s="19"/>
      <c r="C1973" s="19"/>
      <c r="D1973" s="55"/>
      <c r="E1973" s="56"/>
      <c r="F1973" s="19"/>
      <c r="G1973" s="4" t="str">
        <f t="shared" si="240"/>
        <v/>
      </c>
      <c r="H1973" s="11" t="str">
        <f t="shared" si="241"/>
        <v/>
      </c>
      <c r="I1973" s="55" t="str">
        <f t="shared" si="242"/>
        <v/>
      </c>
      <c r="J1973" s="55" t="str">
        <f t="shared" si="243"/>
        <v/>
      </c>
      <c r="K1973" s="4" t="str">
        <f t="shared" si="244"/>
        <v/>
      </c>
      <c r="L1973" s="19" t="str">
        <f t="shared" si="245"/>
        <v/>
      </c>
      <c r="M1973" s="12" t="str">
        <f>IF(A1973="","",IFERROR(INDEX(المدخلات!$M$4:$M$15,MATCH(A1973,المدخلات!$L$4:$L$15,0)),""))</f>
        <v/>
      </c>
      <c r="N1973" s="4" t="str">
        <f t="shared" si="246"/>
        <v/>
      </c>
      <c r="O1973" s="4" t="str">
        <f t="shared" si="247"/>
        <v/>
      </c>
    </row>
    <row r="1974" spans="1:15">
      <c r="A1974" s="11"/>
      <c r="B1974" s="19"/>
      <c r="C1974" s="19"/>
      <c r="D1974" s="55"/>
      <c r="E1974" s="56"/>
      <c r="F1974" s="19"/>
      <c r="G1974" s="4" t="str">
        <f t="shared" si="240"/>
        <v/>
      </c>
      <c r="H1974" s="11" t="str">
        <f t="shared" si="241"/>
        <v/>
      </c>
      <c r="I1974" s="55" t="str">
        <f t="shared" si="242"/>
        <v/>
      </c>
      <c r="J1974" s="55" t="str">
        <f t="shared" si="243"/>
        <v/>
      </c>
      <c r="K1974" s="4" t="str">
        <f t="shared" si="244"/>
        <v/>
      </c>
      <c r="L1974" s="19" t="str">
        <f t="shared" si="245"/>
        <v/>
      </c>
      <c r="M1974" s="12" t="str">
        <f>IF(A1974="","",IFERROR(INDEX(المدخلات!$M$4:$M$15,MATCH(A1974,المدخلات!$L$4:$L$15,0)),""))</f>
        <v/>
      </c>
      <c r="N1974" s="4" t="str">
        <f t="shared" si="246"/>
        <v/>
      </c>
      <c r="O1974" s="4" t="str">
        <f t="shared" si="247"/>
        <v/>
      </c>
    </row>
    <row r="1975" spans="1:15">
      <c r="A1975" s="11"/>
      <c r="B1975" s="19"/>
      <c r="C1975" s="19"/>
      <c r="D1975" s="55"/>
      <c r="E1975" s="56"/>
      <c r="F1975" s="19"/>
      <c r="G1975" s="4" t="str">
        <f t="shared" si="240"/>
        <v/>
      </c>
      <c r="H1975" s="11" t="str">
        <f t="shared" si="241"/>
        <v/>
      </c>
      <c r="I1975" s="55" t="str">
        <f t="shared" si="242"/>
        <v/>
      </c>
      <c r="J1975" s="55" t="str">
        <f t="shared" si="243"/>
        <v/>
      </c>
      <c r="K1975" s="4" t="str">
        <f t="shared" si="244"/>
        <v/>
      </c>
      <c r="L1975" s="19" t="str">
        <f t="shared" si="245"/>
        <v/>
      </c>
      <c r="M1975" s="12" t="str">
        <f>IF(A1975="","",IFERROR(INDEX(المدخلات!$M$4:$M$15,MATCH(A1975,المدخلات!$L$4:$L$15,0)),""))</f>
        <v/>
      </c>
      <c r="N1975" s="4" t="str">
        <f t="shared" si="246"/>
        <v/>
      </c>
      <c r="O1975" s="4" t="str">
        <f t="shared" si="247"/>
        <v/>
      </c>
    </row>
    <row r="1976" spans="1:15">
      <c r="A1976" s="11"/>
      <c r="B1976" s="19"/>
      <c r="C1976" s="19"/>
      <c r="D1976" s="55"/>
      <c r="E1976" s="56"/>
      <c r="F1976" s="19"/>
      <c r="G1976" s="4" t="str">
        <f t="shared" si="240"/>
        <v/>
      </c>
      <c r="H1976" s="11" t="str">
        <f t="shared" si="241"/>
        <v/>
      </c>
      <c r="I1976" s="55" t="str">
        <f t="shared" si="242"/>
        <v/>
      </c>
      <c r="J1976" s="55" t="str">
        <f t="shared" si="243"/>
        <v/>
      </c>
      <c r="K1976" s="4" t="str">
        <f t="shared" si="244"/>
        <v/>
      </c>
      <c r="L1976" s="19" t="str">
        <f t="shared" si="245"/>
        <v/>
      </c>
      <c r="M1976" s="12" t="str">
        <f>IF(A1976="","",IFERROR(INDEX(المدخلات!$M$4:$M$15,MATCH(A1976,المدخلات!$L$4:$L$15,0)),""))</f>
        <v/>
      </c>
      <c r="N1976" s="4" t="str">
        <f t="shared" si="246"/>
        <v/>
      </c>
      <c r="O1976" s="4" t="str">
        <f t="shared" si="247"/>
        <v/>
      </c>
    </row>
    <row r="1977" spans="1:15">
      <c r="A1977" s="11"/>
      <c r="B1977" s="19"/>
      <c r="C1977" s="19"/>
      <c r="D1977" s="55"/>
      <c r="E1977" s="56"/>
      <c r="F1977" s="19"/>
      <c r="G1977" s="4" t="str">
        <f t="shared" si="240"/>
        <v/>
      </c>
      <c r="H1977" s="11" t="str">
        <f t="shared" si="241"/>
        <v/>
      </c>
      <c r="I1977" s="55" t="str">
        <f t="shared" si="242"/>
        <v/>
      </c>
      <c r="J1977" s="55" t="str">
        <f t="shared" si="243"/>
        <v/>
      </c>
      <c r="K1977" s="4" t="str">
        <f t="shared" si="244"/>
        <v/>
      </c>
      <c r="L1977" s="19" t="str">
        <f t="shared" si="245"/>
        <v/>
      </c>
      <c r="M1977" s="12" t="str">
        <f>IF(A1977="","",IFERROR(INDEX(المدخلات!$M$4:$M$15,MATCH(A1977,المدخلات!$L$4:$L$15,0)),""))</f>
        <v/>
      </c>
      <c r="N1977" s="4" t="str">
        <f t="shared" si="246"/>
        <v/>
      </c>
      <c r="O1977" s="4" t="str">
        <f t="shared" si="247"/>
        <v/>
      </c>
    </row>
    <row r="1978" spans="1:15">
      <c r="A1978" s="11"/>
      <c r="B1978" s="19"/>
      <c r="C1978" s="19"/>
      <c r="D1978" s="55"/>
      <c r="E1978" s="56"/>
      <c r="F1978" s="19"/>
      <c r="G1978" s="4" t="str">
        <f t="shared" si="240"/>
        <v/>
      </c>
      <c r="H1978" s="11" t="str">
        <f t="shared" si="241"/>
        <v/>
      </c>
      <c r="I1978" s="55" t="str">
        <f t="shared" si="242"/>
        <v/>
      </c>
      <c r="J1978" s="55" t="str">
        <f t="shared" si="243"/>
        <v/>
      </c>
      <c r="K1978" s="4" t="str">
        <f t="shared" si="244"/>
        <v/>
      </c>
      <c r="L1978" s="19" t="str">
        <f t="shared" si="245"/>
        <v/>
      </c>
      <c r="M1978" s="12" t="str">
        <f>IF(A1978="","",IFERROR(INDEX(المدخلات!$M$4:$M$15,MATCH(A1978,المدخلات!$L$4:$L$15,0)),""))</f>
        <v/>
      </c>
      <c r="N1978" s="4" t="str">
        <f t="shared" si="246"/>
        <v/>
      </c>
      <c r="O1978" s="4" t="str">
        <f t="shared" si="247"/>
        <v/>
      </c>
    </row>
    <row r="1979" spans="1:15">
      <c r="A1979" s="11"/>
      <c r="B1979" s="19"/>
      <c r="C1979" s="19"/>
      <c r="D1979" s="55"/>
      <c r="E1979" s="56"/>
      <c r="F1979" s="19"/>
      <c r="G1979" s="4" t="str">
        <f t="shared" si="240"/>
        <v/>
      </c>
      <c r="H1979" s="11" t="str">
        <f t="shared" si="241"/>
        <v/>
      </c>
      <c r="I1979" s="55" t="str">
        <f t="shared" si="242"/>
        <v/>
      </c>
      <c r="J1979" s="55" t="str">
        <f t="shared" si="243"/>
        <v/>
      </c>
      <c r="K1979" s="4" t="str">
        <f t="shared" si="244"/>
        <v/>
      </c>
      <c r="L1979" s="19" t="str">
        <f t="shared" si="245"/>
        <v/>
      </c>
      <c r="M1979" s="12" t="str">
        <f>IF(A1979="","",IFERROR(INDEX(المدخلات!$M$4:$M$15,MATCH(A1979,المدخلات!$L$4:$L$15,0)),""))</f>
        <v/>
      </c>
      <c r="N1979" s="4" t="str">
        <f t="shared" si="246"/>
        <v/>
      </c>
      <c r="O1979" s="4" t="str">
        <f t="shared" si="247"/>
        <v/>
      </c>
    </row>
    <row r="1980" spans="1:15">
      <c r="A1980" s="11"/>
      <c r="B1980" s="19"/>
      <c r="C1980" s="19"/>
      <c r="D1980" s="55"/>
      <c r="E1980" s="56"/>
      <c r="F1980" s="19"/>
      <c r="G1980" s="4" t="str">
        <f t="shared" si="240"/>
        <v/>
      </c>
      <c r="H1980" s="11" t="str">
        <f t="shared" si="241"/>
        <v/>
      </c>
      <c r="I1980" s="55" t="str">
        <f t="shared" si="242"/>
        <v/>
      </c>
      <c r="J1980" s="55" t="str">
        <f t="shared" si="243"/>
        <v/>
      </c>
      <c r="K1980" s="4" t="str">
        <f t="shared" si="244"/>
        <v/>
      </c>
      <c r="L1980" s="19" t="str">
        <f t="shared" si="245"/>
        <v/>
      </c>
      <c r="M1980" s="12" t="str">
        <f>IF(A1980="","",IFERROR(INDEX(المدخلات!$M$4:$M$15,MATCH(A1980,المدخلات!$L$4:$L$15,0)),""))</f>
        <v/>
      </c>
      <c r="N1980" s="4" t="str">
        <f t="shared" si="246"/>
        <v/>
      </c>
      <c r="O1980" s="4" t="str">
        <f t="shared" si="247"/>
        <v/>
      </c>
    </row>
    <row r="1981" spans="1:15">
      <c r="A1981" s="11"/>
      <c r="B1981" s="19"/>
      <c r="C1981" s="19"/>
      <c r="D1981" s="55"/>
      <c r="E1981" s="56"/>
      <c r="F1981" s="19"/>
      <c r="G1981" s="4" t="str">
        <f t="shared" si="240"/>
        <v/>
      </c>
      <c r="H1981" s="11" t="str">
        <f t="shared" si="241"/>
        <v/>
      </c>
      <c r="I1981" s="55" t="str">
        <f t="shared" si="242"/>
        <v/>
      </c>
      <c r="J1981" s="55" t="str">
        <f t="shared" si="243"/>
        <v/>
      </c>
      <c r="K1981" s="4" t="str">
        <f t="shared" si="244"/>
        <v/>
      </c>
      <c r="L1981" s="19" t="str">
        <f t="shared" si="245"/>
        <v/>
      </c>
      <c r="M1981" s="12" t="str">
        <f>IF(A1981="","",IFERROR(INDEX(المدخلات!$M$4:$M$15,MATCH(A1981,المدخلات!$L$4:$L$15,0)),""))</f>
        <v/>
      </c>
      <c r="N1981" s="4" t="str">
        <f t="shared" si="246"/>
        <v/>
      </c>
      <c r="O1981" s="4" t="str">
        <f t="shared" si="247"/>
        <v/>
      </c>
    </row>
    <row r="1982" spans="1:15">
      <c r="A1982" s="11"/>
      <c r="B1982" s="19"/>
      <c r="C1982" s="19"/>
      <c r="D1982" s="55"/>
      <c r="E1982" s="56"/>
      <c r="F1982" s="19"/>
      <c r="G1982" s="4" t="str">
        <f t="shared" si="240"/>
        <v/>
      </c>
      <c r="H1982" s="11" t="str">
        <f t="shared" si="241"/>
        <v/>
      </c>
      <c r="I1982" s="55" t="str">
        <f t="shared" si="242"/>
        <v/>
      </c>
      <c r="J1982" s="55" t="str">
        <f t="shared" si="243"/>
        <v/>
      </c>
      <c r="K1982" s="4" t="str">
        <f t="shared" si="244"/>
        <v/>
      </c>
      <c r="L1982" s="19" t="str">
        <f t="shared" si="245"/>
        <v/>
      </c>
      <c r="M1982" s="12" t="str">
        <f>IF(A1982="","",IFERROR(INDEX(المدخلات!$M$4:$M$15,MATCH(A1982,المدخلات!$L$4:$L$15,0)),""))</f>
        <v/>
      </c>
      <c r="N1982" s="4" t="str">
        <f t="shared" si="246"/>
        <v/>
      </c>
      <c r="O1982" s="4" t="str">
        <f t="shared" si="247"/>
        <v/>
      </c>
    </row>
    <row r="1983" spans="1:15">
      <c r="A1983" s="11"/>
      <c r="B1983" s="19"/>
      <c r="C1983" s="19"/>
      <c r="D1983" s="55"/>
      <c r="E1983" s="56"/>
      <c r="F1983" s="19"/>
      <c r="G1983" s="4" t="str">
        <f t="shared" si="240"/>
        <v/>
      </c>
      <c r="H1983" s="11" t="str">
        <f t="shared" si="241"/>
        <v/>
      </c>
      <c r="I1983" s="55" t="str">
        <f t="shared" si="242"/>
        <v/>
      </c>
      <c r="J1983" s="55" t="str">
        <f t="shared" si="243"/>
        <v/>
      </c>
      <c r="K1983" s="4" t="str">
        <f t="shared" si="244"/>
        <v/>
      </c>
      <c r="L1983" s="19" t="str">
        <f t="shared" si="245"/>
        <v/>
      </c>
      <c r="M1983" s="12" t="str">
        <f>IF(A1983="","",IFERROR(INDEX(المدخلات!$M$4:$M$15,MATCH(A1983,المدخلات!$L$4:$L$15,0)),""))</f>
        <v/>
      </c>
      <c r="N1983" s="4" t="str">
        <f t="shared" si="246"/>
        <v/>
      </c>
      <c r="O1983" s="4" t="str">
        <f t="shared" si="247"/>
        <v/>
      </c>
    </row>
    <row r="1984" spans="1:15">
      <c r="A1984" s="11"/>
      <c r="B1984" s="19"/>
      <c r="C1984" s="19"/>
      <c r="D1984" s="55"/>
      <c r="E1984" s="56"/>
      <c r="F1984" s="19"/>
      <c r="G1984" s="4" t="str">
        <f t="shared" si="240"/>
        <v/>
      </c>
      <c r="H1984" s="11" t="str">
        <f t="shared" si="241"/>
        <v/>
      </c>
      <c r="I1984" s="55" t="str">
        <f t="shared" si="242"/>
        <v/>
      </c>
      <c r="J1984" s="55" t="str">
        <f t="shared" si="243"/>
        <v/>
      </c>
      <c r="K1984" s="4" t="str">
        <f t="shared" si="244"/>
        <v/>
      </c>
      <c r="L1984" s="19" t="str">
        <f t="shared" si="245"/>
        <v/>
      </c>
      <c r="M1984" s="12" t="str">
        <f>IF(A1984="","",IFERROR(INDEX(المدخلات!$M$4:$M$15,MATCH(A1984,المدخلات!$L$4:$L$15,0)),""))</f>
        <v/>
      </c>
      <c r="N1984" s="4" t="str">
        <f t="shared" si="246"/>
        <v/>
      </c>
      <c r="O1984" s="4" t="str">
        <f t="shared" si="247"/>
        <v/>
      </c>
    </row>
    <row r="1985" spans="1:15">
      <c r="A1985" s="11"/>
      <c r="B1985" s="19"/>
      <c r="C1985" s="19"/>
      <c r="D1985" s="55"/>
      <c r="E1985" s="56"/>
      <c r="F1985" s="19"/>
      <c r="G1985" s="4" t="str">
        <f t="shared" si="240"/>
        <v/>
      </c>
      <c r="H1985" s="11" t="str">
        <f t="shared" si="241"/>
        <v/>
      </c>
      <c r="I1985" s="55" t="str">
        <f t="shared" si="242"/>
        <v/>
      </c>
      <c r="J1985" s="55" t="str">
        <f t="shared" si="243"/>
        <v/>
      </c>
      <c r="K1985" s="4" t="str">
        <f t="shared" si="244"/>
        <v/>
      </c>
      <c r="L1985" s="19" t="str">
        <f t="shared" si="245"/>
        <v/>
      </c>
      <c r="M1985" s="12" t="str">
        <f>IF(A1985="","",IFERROR(INDEX(المدخلات!$M$4:$M$15,MATCH(A1985,المدخلات!$L$4:$L$15,0)),""))</f>
        <v/>
      </c>
      <c r="N1985" s="4" t="str">
        <f t="shared" si="246"/>
        <v/>
      </c>
      <c r="O1985" s="4" t="str">
        <f t="shared" si="247"/>
        <v/>
      </c>
    </row>
    <row r="1986" spans="1:15">
      <c r="A1986" s="11"/>
      <c r="B1986" s="19"/>
      <c r="C1986" s="19"/>
      <c r="D1986" s="55"/>
      <c r="E1986" s="56"/>
      <c r="F1986" s="19"/>
      <c r="G1986" s="4" t="str">
        <f t="shared" si="240"/>
        <v/>
      </c>
      <c r="H1986" s="11" t="str">
        <f t="shared" si="241"/>
        <v/>
      </c>
      <c r="I1986" s="55" t="str">
        <f t="shared" si="242"/>
        <v/>
      </c>
      <c r="J1986" s="55" t="str">
        <f t="shared" si="243"/>
        <v/>
      </c>
      <c r="K1986" s="4" t="str">
        <f t="shared" si="244"/>
        <v/>
      </c>
      <c r="L1986" s="19" t="str">
        <f t="shared" si="245"/>
        <v/>
      </c>
      <c r="M1986" s="12" t="str">
        <f>IF(A1986="","",IFERROR(INDEX(المدخلات!$M$4:$M$15,MATCH(A1986,المدخلات!$L$4:$L$15,0)),""))</f>
        <v/>
      </c>
      <c r="N1986" s="4" t="str">
        <f t="shared" si="246"/>
        <v/>
      </c>
      <c r="O1986" s="4" t="str">
        <f t="shared" si="247"/>
        <v/>
      </c>
    </row>
    <row r="1987" spans="1:15">
      <c r="A1987" s="11"/>
      <c r="B1987" s="19"/>
      <c r="C1987" s="19"/>
      <c r="D1987" s="55"/>
      <c r="E1987" s="56"/>
      <c r="F1987" s="19"/>
      <c r="G1987" s="4" t="str">
        <f t="shared" si="240"/>
        <v/>
      </c>
      <c r="H1987" s="11" t="str">
        <f t="shared" si="241"/>
        <v/>
      </c>
      <c r="I1987" s="55" t="str">
        <f t="shared" si="242"/>
        <v/>
      </c>
      <c r="J1987" s="55" t="str">
        <f t="shared" si="243"/>
        <v/>
      </c>
      <c r="K1987" s="4" t="str">
        <f t="shared" si="244"/>
        <v/>
      </c>
      <c r="L1987" s="19" t="str">
        <f t="shared" si="245"/>
        <v/>
      </c>
      <c r="M1987" s="12" t="str">
        <f>IF(A1987="","",IFERROR(INDEX(المدخلات!$M$4:$M$15,MATCH(A1987,المدخلات!$L$4:$L$15,0)),""))</f>
        <v/>
      </c>
      <c r="N1987" s="4" t="str">
        <f t="shared" si="246"/>
        <v/>
      </c>
      <c r="O1987" s="4" t="str">
        <f t="shared" si="247"/>
        <v/>
      </c>
    </row>
    <row r="1988" spans="1:15">
      <c r="A1988" s="11"/>
      <c r="B1988" s="19"/>
      <c r="C1988" s="19"/>
      <c r="D1988" s="55"/>
      <c r="E1988" s="56"/>
      <c r="F1988" s="19"/>
      <c r="G1988" s="4" t="str">
        <f t="shared" si="240"/>
        <v/>
      </c>
      <c r="H1988" s="11" t="str">
        <f t="shared" si="241"/>
        <v/>
      </c>
      <c r="I1988" s="55" t="str">
        <f t="shared" si="242"/>
        <v/>
      </c>
      <c r="J1988" s="55" t="str">
        <f t="shared" si="243"/>
        <v/>
      </c>
      <c r="K1988" s="4" t="str">
        <f t="shared" si="244"/>
        <v/>
      </c>
      <c r="L1988" s="19" t="str">
        <f t="shared" si="245"/>
        <v/>
      </c>
      <c r="M1988" s="12" t="str">
        <f>IF(A1988="","",IFERROR(INDEX(المدخلات!$M$4:$M$15,MATCH(A1988,المدخلات!$L$4:$L$15,0)),""))</f>
        <v/>
      </c>
      <c r="N1988" s="4" t="str">
        <f t="shared" si="246"/>
        <v/>
      </c>
      <c r="O1988" s="4" t="str">
        <f t="shared" si="247"/>
        <v/>
      </c>
    </row>
    <row r="1989" spans="1:15">
      <c r="A1989" s="11"/>
      <c r="B1989" s="19"/>
      <c r="C1989" s="19"/>
      <c r="D1989" s="55"/>
      <c r="E1989" s="56"/>
      <c r="F1989" s="19"/>
      <c r="G1989" s="4" t="str">
        <f t="shared" ref="G1989:G2003" si="248">IF(OR(D1989="",E1989=""),"",D1989*E1989)</f>
        <v/>
      </c>
      <c r="H1989" s="11" t="str">
        <f t="shared" ref="H1989:H2003" si="249">IF(C1989="","",IFERROR(_xlfn.MAXIFS($A$5:$A$2003,$C$5:$C$2003,C1989,$A$5:$A$2003,"&lt;"&amp;A1989),0))</f>
        <v/>
      </c>
      <c r="I1989" s="55" t="str">
        <f t="shared" ref="I1989:I2003" si="250">IF(OR(H1989="",H1989=0),"",IFERROR(SUMIFS($D$5:$D$2003,$C$5:$C$2003,C1989,$A$5:$A$2003,H1989),""))</f>
        <v/>
      </c>
      <c r="J1989" s="55" t="str">
        <f t="shared" ref="J1989:J2003" si="251">IF(C1989="","",IF(I1989="",0,MAX(I1989-D1989,0)))</f>
        <v/>
      </c>
      <c r="K1989" s="4" t="str">
        <f t="shared" ref="K1989:K2003" si="252">IF(J1989="","",J1989*E1989)</f>
        <v/>
      </c>
      <c r="L1989" s="19" t="str">
        <f t="shared" ref="L1989:L2003" si="253">IF(C1989="","",IF(COUNTIFS($A$5:$A$2003,A1989,$C$5:$C$2003,C1989)&gt;1,"⚠️ مادة مكررة بنفس الشهر",IF(OR(H1989="",H1989=0),"🆕 أول ظهور لهذه المادة",IF(D1989&gt;I1989,"ℹ️ زيادة كمية (شراء/تصحيح) - لا تُحتسب استهلاكاً",IF(D1989=I1989,"➖ لا تغيير","")))))</f>
        <v/>
      </c>
      <c r="M1989" s="12" t="str">
        <f>IF(A1989="","",IFERROR(INDEX(المدخلات!$M$4:$M$15,MATCH(A1989,المدخلات!$L$4:$L$15,0)),""))</f>
        <v/>
      </c>
      <c r="N1989" s="4" t="str">
        <f t="shared" ref="N1989:N2004" si="254">IF(OR(G1989="",F1989=""),"",IF(F1989="دولار أمريكي",IF(M1989="","⚠️ لا يوجد سعر صرف",G1989*M1989),G1989))</f>
        <v/>
      </c>
      <c r="O1989" s="4" t="str">
        <f t="shared" ref="O1989:O2004" si="255">IF(OR(K1989="",F1989=""),"",IF(F1989="دولار أمريكي",IF(M1989="","⚠️ لا يوجد سعر صرف",K1989*M1989),K1989))</f>
        <v/>
      </c>
    </row>
    <row r="1990" spans="1:15">
      <c r="A1990" s="11"/>
      <c r="B1990" s="19"/>
      <c r="C1990" s="19"/>
      <c r="D1990" s="55"/>
      <c r="E1990" s="56"/>
      <c r="F1990" s="19"/>
      <c r="G1990" s="4" t="str">
        <f t="shared" si="248"/>
        <v/>
      </c>
      <c r="H1990" s="11" t="str">
        <f t="shared" si="249"/>
        <v/>
      </c>
      <c r="I1990" s="55" t="str">
        <f t="shared" si="250"/>
        <v/>
      </c>
      <c r="J1990" s="55" t="str">
        <f t="shared" si="251"/>
        <v/>
      </c>
      <c r="K1990" s="4" t="str">
        <f t="shared" si="252"/>
        <v/>
      </c>
      <c r="L1990" s="19" t="str">
        <f t="shared" si="253"/>
        <v/>
      </c>
      <c r="M1990" s="12" t="str">
        <f>IF(A1990="","",IFERROR(INDEX(المدخلات!$M$4:$M$15,MATCH(A1990,المدخلات!$L$4:$L$15,0)),""))</f>
        <v/>
      </c>
      <c r="N1990" s="4" t="str">
        <f t="shared" si="254"/>
        <v/>
      </c>
      <c r="O1990" s="4" t="str">
        <f t="shared" si="255"/>
        <v/>
      </c>
    </row>
    <row r="1991" spans="1:15">
      <c r="A1991" s="11"/>
      <c r="B1991" s="19"/>
      <c r="C1991" s="19"/>
      <c r="D1991" s="55"/>
      <c r="E1991" s="56"/>
      <c r="F1991" s="19"/>
      <c r="G1991" s="4" t="str">
        <f t="shared" si="248"/>
        <v/>
      </c>
      <c r="H1991" s="11" t="str">
        <f t="shared" si="249"/>
        <v/>
      </c>
      <c r="I1991" s="55" t="str">
        <f t="shared" si="250"/>
        <v/>
      </c>
      <c r="J1991" s="55" t="str">
        <f t="shared" si="251"/>
        <v/>
      </c>
      <c r="K1991" s="4" t="str">
        <f t="shared" si="252"/>
        <v/>
      </c>
      <c r="L1991" s="19" t="str">
        <f t="shared" si="253"/>
        <v/>
      </c>
      <c r="M1991" s="12" t="str">
        <f>IF(A1991="","",IFERROR(INDEX(المدخلات!$M$4:$M$15,MATCH(A1991,المدخلات!$L$4:$L$15,0)),""))</f>
        <v/>
      </c>
      <c r="N1991" s="4" t="str">
        <f t="shared" si="254"/>
        <v/>
      </c>
      <c r="O1991" s="4" t="str">
        <f t="shared" si="255"/>
        <v/>
      </c>
    </row>
    <row r="1992" spans="1:15">
      <c r="A1992" s="11"/>
      <c r="B1992" s="19"/>
      <c r="C1992" s="19"/>
      <c r="D1992" s="55"/>
      <c r="E1992" s="56"/>
      <c r="F1992" s="19"/>
      <c r="G1992" s="4" t="str">
        <f t="shared" si="248"/>
        <v/>
      </c>
      <c r="H1992" s="11" t="str">
        <f t="shared" si="249"/>
        <v/>
      </c>
      <c r="I1992" s="55" t="str">
        <f t="shared" si="250"/>
        <v/>
      </c>
      <c r="J1992" s="55" t="str">
        <f t="shared" si="251"/>
        <v/>
      </c>
      <c r="K1992" s="4" t="str">
        <f t="shared" si="252"/>
        <v/>
      </c>
      <c r="L1992" s="19" t="str">
        <f t="shared" si="253"/>
        <v/>
      </c>
      <c r="M1992" s="12" t="str">
        <f>IF(A1992="","",IFERROR(INDEX(المدخلات!$M$4:$M$15,MATCH(A1992,المدخلات!$L$4:$L$15,0)),""))</f>
        <v/>
      </c>
      <c r="N1992" s="4" t="str">
        <f t="shared" si="254"/>
        <v/>
      </c>
      <c r="O1992" s="4" t="str">
        <f t="shared" si="255"/>
        <v/>
      </c>
    </row>
    <row r="1993" spans="1:15">
      <c r="A1993" s="11"/>
      <c r="B1993" s="19"/>
      <c r="C1993" s="19"/>
      <c r="D1993" s="55"/>
      <c r="E1993" s="56"/>
      <c r="F1993" s="19"/>
      <c r="G1993" s="4" t="str">
        <f t="shared" si="248"/>
        <v/>
      </c>
      <c r="H1993" s="11" t="str">
        <f t="shared" si="249"/>
        <v/>
      </c>
      <c r="I1993" s="55" t="str">
        <f t="shared" si="250"/>
        <v/>
      </c>
      <c r="J1993" s="55" t="str">
        <f t="shared" si="251"/>
        <v/>
      </c>
      <c r="K1993" s="4" t="str">
        <f t="shared" si="252"/>
        <v/>
      </c>
      <c r="L1993" s="19" t="str">
        <f t="shared" si="253"/>
        <v/>
      </c>
      <c r="M1993" s="12" t="str">
        <f>IF(A1993="","",IFERROR(INDEX(المدخلات!$M$4:$M$15,MATCH(A1993,المدخلات!$L$4:$L$15,0)),""))</f>
        <v/>
      </c>
      <c r="N1993" s="4" t="str">
        <f t="shared" si="254"/>
        <v/>
      </c>
      <c r="O1993" s="4" t="str">
        <f t="shared" si="255"/>
        <v/>
      </c>
    </row>
    <row r="1994" spans="1:15">
      <c r="A1994" s="11"/>
      <c r="B1994" s="19"/>
      <c r="C1994" s="19"/>
      <c r="D1994" s="55"/>
      <c r="E1994" s="56"/>
      <c r="F1994" s="19"/>
      <c r="G1994" s="4" t="str">
        <f t="shared" si="248"/>
        <v/>
      </c>
      <c r="H1994" s="11" t="str">
        <f t="shared" si="249"/>
        <v/>
      </c>
      <c r="I1994" s="55" t="str">
        <f t="shared" si="250"/>
        <v/>
      </c>
      <c r="J1994" s="55" t="str">
        <f t="shared" si="251"/>
        <v/>
      </c>
      <c r="K1994" s="4" t="str">
        <f t="shared" si="252"/>
        <v/>
      </c>
      <c r="L1994" s="19" t="str">
        <f t="shared" si="253"/>
        <v/>
      </c>
      <c r="M1994" s="12" t="str">
        <f>IF(A1994="","",IFERROR(INDEX(المدخلات!$M$4:$M$15,MATCH(A1994,المدخلات!$L$4:$L$15,0)),""))</f>
        <v/>
      </c>
      <c r="N1994" s="4" t="str">
        <f t="shared" si="254"/>
        <v/>
      </c>
      <c r="O1994" s="4" t="str">
        <f t="shared" si="255"/>
        <v/>
      </c>
    </row>
    <row r="1995" spans="1:15">
      <c r="A1995" s="11"/>
      <c r="B1995" s="19"/>
      <c r="C1995" s="19"/>
      <c r="D1995" s="55"/>
      <c r="E1995" s="56"/>
      <c r="F1995" s="19"/>
      <c r="G1995" s="4" t="str">
        <f t="shared" si="248"/>
        <v/>
      </c>
      <c r="H1995" s="11" t="str">
        <f t="shared" si="249"/>
        <v/>
      </c>
      <c r="I1995" s="55" t="str">
        <f t="shared" si="250"/>
        <v/>
      </c>
      <c r="J1995" s="55" t="str">
        <f t="shared" si="251"/>
        <v/>
      </c>
      <c r="K1995" s="4" t="str">
        <f t="shared" si="252"/>
        <v/>
      </c>
      <c r="L1995" s="19" t="str">
        <f t="shared" si="253"/>
        <v/>
      </c>
      <c r="M1995" s="12" t="str">
        <f>IF(A1995="","",IFERROR(INDEX(المدخلات!$M$4:$M$15,MATCH(A1995,المدخلات!$L$4:$L$15,0)),""))</f>
        <v/>
      </c>
      <c r="N1995" s="4" t="str">
        <f t="shared" si="254"/>
        <v/>
      </c>
      <c r="O1995" s="4" t="str">
        <f t="shared" si="255"/>
        <v/>
      </c>
    </row>
    <row r="1996" spans="1:15">
      <c r="A1996" s="11"/>
      <c r="B1996" s="19"/>
      <c r="C1996" s="19"/>
      <c r="D1996" s="55"/>
      <c r="E1996" s="56"/>
      <c r="F1996" s="19"/>
      <c r="G1996" s="4" t="str">
        <f t="shared" si="248"/>
        <v/>
      </c>
      <c r="H1996" s="11" t="str">
        <f t="shared" si="249"/>
        <v/>
      </c>
      <c r="I1996" s="55" t="str">
        <f t="shared" si="250"/>
        <v/>
      </c>
      <c r="J1996" s="55" t="str">
        <f t="shared" si="251"/>
        <v/>
      </c>
      <c r="K1996" s="4" t="str">
        <f t="shared" si="252"/>
        <v/>
      </c>
      <c r="L1996" s="19" t="str">
        <f t="shared" si="253"/>
        <v/>
      </c>
      <c r="M1996" s="12" t="str">
        <f>IF(A1996="","",IFERROR(INDEX(المدخلات!$M$4:$M$15,MATCH(A1996,المدخلات!$L$4:$L$15,0)),""))</f>
        <v/>
      </c>
      <c r="N1996" s="4" t="str">
        <f t="shared" si="254"/>
        <v/>
      </c>
      <c r="O1996" s="4" t="str">
        <f t="shared" si="255"/>
        <v/>
      </c>
    </row>
    <row r="1997" spans="1:15">
      <c r="A1997" s="11"/>
      <c r="B1997" s="19"/>
      <c r="C1997" s="19"/>
      <c r="D1997" s="55"/>
      <c r="E1997" s="56"/>
      <c r="F1997" s="19"/>
      <c r="G1997" s="4" t="str">
        <f t="shared" si="248"/>
        <v/>
      </c>
      <c r="H1997" s="11" t="str">
        <f t="shared" si="249"/>
        <v/>
      </c>
      <c r="I1997" s="55" t="str">
        <f t="shared" si="250"/>
        <v/>
      </c>
      <c r="J1997" s="55" t="str">
        <f t="shared" si="251"/>
        <v/>
      </c>
      <c r="K1997" s="4" t="str">
        <f t="shared" si="252"/>
        <v/>
      </c>
      <c r="L1997" s="19" t="str">
        <f t="shared" si="253"/>
        <v/>
      </c>
      <c r="M1997" s="12" t="str">
        <f>IF(A1997="","",IFERROR(INDEX(المدخلات!$M$4:$M$15,MATCH(A1997,المدخلات!$L$4:$L$15,0)),""))</f>
        <v/>
      </c>
      <c r="N1997" s="4" t="str">
        <f t="shared" si="254"/>
        <v/>
      </c>
      <c r="O1997" s="4" t="str">
        <f t="shared" si="255"/>
        <v/>
      </c>
    </row>
    <row r="1998" spans="1:15">
      <c r="A1998" s="11"/>
      <c r="B1998" s="19"/>
      <c r="C1998" s="19"/>
      <c r="D1998" s="55"/>
      <c r="E1998" s="56"/>
      <c r="F1998" s="19"/>
      <c r="G1998" s="4" t="str">
        <f t="shared" si="248"/>
        <v/>
      </c>
      <c r="H1998" s="11" t="str">
        <f t="shared" si="249"/>
        <v/>
      </c>
      <c r="I1998" s="55" t="str">
        <f t="shared" si="250"/>
        <v/>
      </c>
      <c r="J1998" s="55" t="str">
        <f t="shared" si="251"/>
        <v/>
      </c>
      <c r="K1998" s="4" t="str">
        <f t="shared" si="252"/>
        <v/>
      </c>
      <c r="L1998" s="19" t="str">
        <f t="shared" si="253"/>
        <v/>
      </c>
      <c r="M1998" s="12" t="str">
        <f>IF(A1998="","",IFERROR(INDEX(المدخلات!$M$4:$M$15,MATCH(A1998,المدخلات!$L$4:$L$15,0)),""))</f>
        <v/>
      </c>
      <c r="N1998" s="4" t="str">
        <f t="shared" si="254"/>
        <v/>
      </c>
      <c r="O1998" s="4" t="str">
        <f t="shared" si="255"/>
        <v/>
      </c>
    </row>
    <row r="1999" spans="1:15">
      <c r="A1999" s="11"/>
      <c r="B1999" s="19"/>
      <c r="C1999" s="19"/>
      <c r="D1999" s="55"/>
      <c r="E1999" s="56"/>
      <c r="F1999" s="19"/>
      <c r="G1999" s="4" t="str">
        <f t="shared" si="248"/>
        <v/>
      </c>
      <c r="H1999" s="11" t="str">
        <f t="shared" si="249"/>
        <v/>
      </c>
      <c r="I1999" s="55" t="str">
        <f t="shared" si="250"/>
        <v/>
      </c>
      <c r="J1999" s="55" t="str">
        <f t="shared" si="251"/>
        <v/>
      </c>
      <c r="K1999" s="4" t="str">
        <f t="shared" si="252"/>
        <v/>
      </c>
      <c r="L1999" s="19" t="str">
        <f t="shared" si="253"/>
        <v/>
      </c>
      <c r="M1999" s="12" t="str">
        <f>IF(A1999="","",IFERROR(INDEX(المدخلات!$M$4:$M$15,MATCH(A1999,المدخلات!$L$4:$L$15,0)),""))</f>
        <v/>
      </c>
      <c r="N1999" s="4" t="str">
        <f t="shared" si="254"/>
        <v/>
      </c>
      <c r="O1999" s="4" t="str">
        <f t="shared" si="255"/>
        <v/>
      </c>
    </row>
    <row r="2000" spans="1:15">
      <c r="A2000" s="11"/>
      <c r="B2000" s="19"/>
      <c r="C2000" s="19"/>
      <c r="D2000" s="55"/>
      <c r="E2000" s="56"/>
      <c r="F2000" s="19"/>
      <c r="G2000" s="4" t="str">
        <f t="shared" si="248"/>
        <v/>
      </c>
      <c r="H2000" s="11" t="str">
        <f t="shared" si="249"/>
        <v/>
      </c>
      <c r="I2000" s="55" t="str">
        <f t="shared" si="250"/>
        <v/>
      </c>
      <c r="J2000" s="55" t="str">
        <f t="shared" si="251"/>
        <v/>
      </c>
      <c r="K2000" s="4" t="str">
        <f t="shared" si="252"/>
        <v/>
      </c>
      <c r="L2000" s="19" t="str">
        <f t="shared" si="253"/>
        <v/>
      </c>
      <c r="M2000" s="12" t="str">
        <f>IF(A2000="","",IFERROR(INDEX(المدخلات!$M$4:$M$15,MATCH(A2000,المدخلات!$L$4:$L$15,0)),""))</f>
        <v/>
      </c>
      <c r="N2000" s="4" t="str">
        <f t="shared" si="254"/>
        <v/>
      </c>
      <c r="O2000" s="4" t="str">
        <f t="shared" si="255"/>
        <v/>
      </c>
    </row>
    <row r="2001" spans="1:15">
      <c r="A2001" s="11"/>
      <c r="B2001" s="19"/>
      <c r="C2001" s="19"/>
      <c r="D2001" s="55"/>
      <c r="E2001" s="56"/>
      <c r="F2001" s="19"/>
      <c r="G2001" s="4" t="str">
        <f t="shared" si="248"/>
        <v/>
      </c>
      <c r="H2001" s="11" t="str">
        <f t="shared" si="249"/>
        <v/>
      </c>
      <c r="I2001" s="55" t="str">
        <f t="shared" si="250"/>
        <v/>
      </c>
      <c r="J2001" s="55" t="str">
        <f t="shared" si="251"/>
        <v/>
      </c>
      <c r="K2001" s="4" t="str">
        <f t="shared" si="252"/>
        <v/>
      </c>
      <c r="L2001" s="19" t="str">
        <f t="shared" si="253"/>
        <v/>
      </c>
      <c r="M2001" s="12" t="str">
        <f>IF(A2001="","",IFERROR(INDEX(المدخلات!$M$4:$M$15,MATCH(A2001,المدخلات!$L$4:$L$15,0)),""))</f>
        <v/>
      </c>
      <c r="N2001" s="4" t="str">
        <f t="shared" si="254"/>
        <v/>
      </c>
      <c r="O2001" s="4" t="str">
        <f t="shared" si="255"/>
        <v/>
      </c>
    </row>
    <row r="2002" spans="1:15">
      <c r="A2002" s="11"/>
      <c r="B2002" s="19"/>
      <c r="C2002" s="19"/>
      <c r="D2002" s="55"/>
      <c r="E2002" s="56"/>
      <c r="F2002" s="19"/>
      <c r="G2002" s="4" t="str">
        <f t="shared" si="248"/>
        <v/>
      </c>
      <c r="H2002" s="11" t="str">
        <f t="shared" si="249"/>
        <v/>
      </c>
      <c r="I2002" s="55" t="str">
        <f t="shared" si="250"/>
        <v/>
      </c>
      <c r="J2002" s="55" t="str">
        <f t="shared" si="251"/>
        <v/>
      </c>
      <c r="K2002" s="4" t="str">
        <f t="shared" si="252"/>
        <v/>
      </c>
      <c r="L2002" s="19" t="str">
        <f t="shared" si="253"/>
        <v/>
      </c>
      <c r="M2002" s="12" t="str">
        <f>IF(A2002="","",IFERROR(INDEX(المدخلات!$M$4:$M$15,MATCH(A2002,المدخلات!$L$4:$L$15,0)),""))</f>
        <v/>
      </c>
      <c r="N2002" s="4" t="str">
        <f t="shared" si="254"/>
        <v/>
      </c>
      <c r="O2002" s="4" t="str">
        <f t="shared" si="255"/>
        <v/>
      </c>
    </row>
    <row r="2003" spans="1:15">
      <c r="A2003" s="11"/>
      <c r="B2003" s="19"/>
      <c r="C2003" s="19"/>
      <c r="D2003" s="55"/>
      <c r="E2003" s="56"/>
      <c r="F2003" s="19"/>
      <c r="G2003" s="4" t="str">
        <f t="shared" si="248"/>
        <v/>
      </c>
      <c r="H2003" s="11" t="str">
        <f t="shared" si="249"/>
        <v/>
      </c>
      <c r="I2003" s="55" t="str">
        <f t="shared" si="250"/>
        <v/>
      </c>
      <c r="J2003" s="55" t="str">
        <f t="shared" si="251"/>
        <v/>
      </c>
      <c r="K2003" s="4" t="str">
        <f t="shared" si="252"/>
        <v/>
      </c>
      <c r="L2003" s="19" t="str">
        <f t="shared" si="253"/>
        <v/>
      </c>
      <c r="M2003" s="12" t="str">
        <f>IF(A2003="","",IFERROR(INDEX(المدخلات!$M$4:$M$15,MATCH(A2003,المدخلات!$L$4:$L$15,0)),""))</f>
        <v/>
      </c>
      <c r="N2003" s="4" t="str">
        <f t="shared" si="254"/>
        <v/>
      </c>
      <c r="O2003" s="4" t="str">
        <f t="shared" si="255"/>
        <v/>
      </c>
    </row>
    <row r="2004" spans="1:15">
      <c r="M2004" s="12" t="str">
        <f>IF(A2004="","",IFERROR(INDEX(المدخلات!$M$4:$M$15,MATCH(A2004,المدخلات!$L$4:$L$15,0)),""))</f>
        <v/>
      </c>
      <c r="N2004" s="4" t="str">
        <f t="shared" si="254"/>
        <v/>
      </c>
      <c r="O2004" s="4" t="str">
        <f t="shared" si="255"/>
        <v/>
      </c>
    </row>
    <row r="2005" spans="1:15" ht="15" customHeight="1">
      <c r="A2005" s="58" t="s">
        <v>365</v>
      </c>
      <c r="B2005" s="58"/>
      <c r="C2005" s="58"/>
      <c r="D2005" s="58"/>
      <c r="E2005" s="58"/>
      <c r="F2005" s="58"/>
      <c r="G2005" s="58"/>
      <c r="H2005" s="58"/>
      <c r="I2005" s="58"/>
      <c r="J2005" s="58"/>
      <c r="K2005" s="58"/>
      <c r="L2005" s="58"/>
    </row>
    <row r="2007" spans="1:15" ht="15" customHeight="1">
      <c r="A2007" s="58" t="s">
        <v>366</v>
      </c>
      <c r="B2007" s="58"/>
      <c r="C2007" s="58"/>
      <c r="D2007" s="58"/>
      <c r="E2007" s="58"/>
      <c r="F2007" s="58"/>
      <c r="G2007" s="58"/>
      <c r="H2007" s="58"/>
      <c r="I2007" s="58"/>
      <c r="J2007" s="58"/>
      <c r="K2007" s="58"/>
      <c r="L2007" s="58"/>
      <c r="M2007" s="58"/>
      <c r="N2007" s="58"/>
      <c r="O2007" s="58"/>
    </row>
  </sheetData>
  <mergeCells count="4">
    <mergeCell ref="A1:L1"/>
    <mergeCell ref="A2:L2"/>
    <mergeCell ref="A2005:L2005"/>
    <mergeCell ref="A2007:O200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C99E-DF15-4C97-97EB-52150004CDC0}">
  <dimension ref="A1"/>
  <sheetViews>
    <sheetView rightToLeft="1"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أوراق العمل</vt:lpstr>
      </vt:variant>
      <vt:variant>
        <vt:i4>8</vt:i4>
      </vt:variant>
      <vt:variant>
        <vt:lpstr>النطاقات المسماة</vt:lpstr>
      </vt:variant>
      <vt:variant>
        <vt:i4>5</vt:i4>
      </vt:variant>
    </vt:vector>
  </HeadingPairs>
  <TitlesOfParts>
    <vt:vector size="13" baseType="lpstr">
      <vt:lpstr>المدخلات</vt:lpstr>
      <vt:lpstr>الحسابات</vt:lpstr>
      <vt:lpstr>لوحة التحكم</vt:lpstr>
      <vt:lpstr>الرسوم البيانية</vt:lpstr>
      <vt:lpstr>تقرير السيولة</vt:lpstr>
      <vt:lpstr>استيراد بيانات الشهر</vt:lpstr>
      <vt:lpstr>أرشيف المخزون</vt:lpstr>
      <vt:lpstr>ورقة1</vt:lpstr>
      <vt:lpstr>الحسابات!Print_Titles</vt:lpstr>
      <vt:lpstr>'الرسوم البيانية'!Print_Titles</vt:lpstr>
      <vt:lpstr>المدخلات!Print_Titles</vt:lpstr>
      <vt:lpstr>'تقرير السيولة'!Print_Titles</vt:lpstr>
      <vt:lpstr>'لوحة التحكم'!Print_Titles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4</cp:revision>
  <dcterms:created xsi:type="dcterms:W3CDTF">2026-05-02T14:01:29Z</dcterms:created>
  <dcterms:modified xsi:type="dcterms:W3CDTF">2026-08-01T11:35:53Z</dcterms:modified>
  <dc:language>en-US</dc:language>
</cp:coreProperties>
</file>